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igorsantos\Desktop\DOCS\data-analysis-python\Integration-Quality\"/>
    </mc:Choice>
  </mc:AlternateContent>
  <xr:revisionPtr revIDLastSave="0" documentId="13_ncr:1_{63C18633-F901-4B73-835E-4B6E794582C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shboard" sheetId="1" r:id="rId1"/>
    <sheet name="Processado Erro - BASE" sheetId="2" r:id="rId2"/>
  </sheets>
  <definedNames>
    <definedName name="_xlnm._FilterDatabase" localSheetId="1" hidden="1">'Processado Erro - BASE'!$A$1:$AQ$1444</definedName>
  </definedNames>
  <calcPr calcId="191029"/>
  <pivotCaches>
    <pivotCache cacheId="41" r:id="rId3"/>
    <pivotCache cacheId="153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A16" i="1"/>
  <c r="A1" i="1"/>
</calcChain>
</file>

<file path=xl/sharedStrings.xml><?xml version="1.0" encoding="utf-8"?>
<sst xmlns="http://schemas.openxmlformats.org/spreadsheetml/2006/main" count="17878" uniqueCount="2147">
  <si>
    <t>Aging por Produto - AGING INCLUSÃO</t>
  </si>
  <si>
    <t>Casos novos - por OBT e Responsavel</t>
  </si>
  <si>
    <t>Contagem de AGING INCLUSÃO</t>
  </si>
  <si>
    <t>Serviço</t>
  </si>
  <si>
    <t>Contagem de RESPONSÁVEL</t>
  </si>
  <si>
    <t>OBTS</t>
  </si>
  <si>
    <t>Aging Alteração</t>
  </si>
  <si>
    <t>Aéreo</t>
  </si>
  <si>
    <t>Carro</t>
  </si>
  <si>
    <t>Hotel</t>
  </si>
  <si>
    <t>Total Geral</t>
  </si>
  <si>
    <t>RESPONSÁVEL</t>
  </si>
  <si>
    <t>TIPO DE ERRO</t>
  </si>
  <si>
    <t>ARGO(TMS)</t>
  </si>
  <si>
    <t>GOVER</t>
  </si>
  <si>
    <t>LEMONTECH</t>
  </si>
  <si>
    <t>MANUAL</t>
  </si>
  <si>
    <t>SABRE</t>
  </si>
  <si>
    <t>WOOBA</t>
  </si>
  <si>
    <t>0 a 02 dias</t>
  </si>
  <si>
    <t>Suporte KCS</t>
  </si>
  <si>
    <t>Dados do Fornecedor</t>
  </si>
  <si>
    <t>03 a 05 dias</t>
  </si>
  <si>
    <t>Edição não Permitida</t>
  </si>
  <si>
    <t>06 a 08 dias</t>
  </si>
  <si>
    <t>Suporte KCS Total</t>
  </si>
  <si>
    <t>09 a 15 dias</t>
  </si>
  <si>
    <t>Operações - FCM</t>
  </si>
  <si>
    <t>16 a 23 dias</t>
  </si>
  <si>
    <t>24 a 31 dias</t>
  </si>
  <si>
    <t>Dados Gerenciais</t>
  </si>
  <si>
    <t>31 dias ou +</t>
  </si>
  <si>
    <t>Sistema</t>
  </si>
  <si>
    <t>Operações - FCM Total</t>
  </si>
  <si>
    <t>Suporte Benner</t>
  </si>
  <si>
    <t>Resolvidos em D-2</t>
  </si>
  <si>
    <t>Suporte Benner Total</t>
  </si>
  <si>
    <t>Central de Emissão</t>
  </si>
  <si>
    <t>Ofensores - OBT x Produto</t>
  </si>
  <si>
    <t>Contagem de Serviço</t>
  </si>
  <si>
    <t>Rótulos de Coluna</t>
  </si>
  <si>
    <t>Rótulos de Linha</t>
  </si>
  <si>
    <t>Central de Emissão Total</t>
  </si>
  <si>
    <t>KONTRIP</t>
  </si>
  <si>
    <t>Todos os Produtos - Canal de Venda</t>
  </si>
  <si>
    <t>Contagem de OBT</t>
  </si>
  <si>
    <t>ZUPPER</t>
  </si>
  <si>
    <t>KON-OPE-RIO-PVI-CASAS BAHIA</t>
  </si>
  <si>
    <t>KON-OPE-SAO-PVI-BTC-ARGO</t>
  </si>
  <si>
    <t>Analise de ofensores por OBT</t>
  </si>
  <si>
    <t>FCM-OPE-SAO-PVI-BAT</t>
  </si>
  <si>
    <t>Contagem de TIPO DE ERRO</t>
  </si>
  <si>
    <t>KON-OPE-SAO-PVI-BIOLAB</t>
  </si>
  <si>
    <t>FCM-OPE-SAO-PVI-BTC-CONCUR</t>
  </si>
  <si>
    <t>KON-OPE-RIO-POS-OCEANPACT</t>
  </si>
  <si>
    <t>FCM-OPE-SAO-PVI-BASF</t>
  </si>
  <si>
    <t>FCM-OPE-SAO-PVI-BTC</t>
  </si>
  <si>
    <t>KON-OPE-SAO-PVI-CCR</t>
  </si>
  <si>
    <t>KON-OPE-SAO-PVI-BRASKEM</t>
  </si>
  <si>
    <t>FCM-OPE-SAO-PVI-BTC-CONCUR-HONEYWELL</t>
  </si>
  <si>
    <t>Analise de ofensores por OBT - Campos</t>
  </si>
  <si>
    <t>KON-OPE-SAO-PVI-BERNOULLI</t>
  </si>
  <si>
    <t>Contagem de OBTS</t>
  </si>
  <si>
    <t>KON-OPE-SAO-PVI-KPMG</t>
  </si>
  <si>
    <t>FCM-OPE-SAO-PVI-BOSCH</t>
  </si>
  <si>
    <t>Falta de Fornecedor</t>
  </si>
  <si>
    <t>KON-OPE-SAO-PVI-YAMAHA</t>
  </si>
  <si>
    <t>Pagamento não permitido para cobrança</t>
  </si>
  <si>
    <t>KON-OPE-RIO-PVI-ENAEX</t>
  </si>
  <si>
    <t>Centro de custo</t>
  </si>
  <si>
    <t>KON-OPE-SAO-PVI-ACHE</t>
  </si>
  <si>
    <t>Mais de um campo não preenchido</t>
  </si>
  <si>
    <t>KON-OPE-RIO-PVI-CONSTELLATION</t>
  </si>
  <si>
    <t>Empenho/departamento</t>
  </si>
  <si>
    <t>EMERGENCIAL</t>
  </si>
  <si>
    <t>Matrícula</t>
  </si>
  <si>
    <t>KON-OPE-RIO-PVI-RENNER</t>
  </si>
  <si>
    <t>Enriquecimento de dados pendente</t>
  </si>
  <si>
    <t>Tarifa mínima</t>
  </si>
  <si>
    <t>KON-OPE-SAO-PVI-BTC-ARGO-ODONTOPREV</t>
  </si>
  <si>
    <t>Configuração de Administradora</t>
  </si>
  <si>
    <t>FCM-OPE-SAO-PVI-ADM</t>
  </si>
  <si>
    <t>Cadastro enviado errado no Benner</t>
  </si>
  <si>
    <t>KON-OPE-SAO-PVI-ENERGISA</t>
  </si>
  <si>
    <t>Contrato de fornecedor</t>
  </si>
  <si>
    <t xml:space="preserve">FCM-OPE-SAO-PVI-BTC-CONCUR-IRON </t>
  </si>
  <si>
    <t>Venda sem bilhete</t>
  </si>
  <si>
    <t>KON-OPE-RIO-PVI-UOL</t>
  </si>
  <si>
    <t>Conciliação de Cartão</t>
  </si>
  <si>
    <t>KON-OPE-SAO-PVI-HYPERA</t>
  </si>
  <si>
    <t>Documento fora do período financeiro</t>
  </si>
  <si>
    <t>FCM-OPE-SAO-PVI-BTC-FM GLOBAL</t>
  </si>
  <si>
    <t>Falta informação nos trechos</t>
  </si>
  <si>
    <t>-</t>
  </si>
  <si>
    <t>Não identificado</t>
  </si>
  <si>
    <t>KON-OPE-SAO-PVI-BTC ARGO</t>
  </si>
  <si>
    <t>Finalidade</t>
  </si>
  <si>
    <t>FCM-OPE-SAO-PVI-BTC-CONCUR-AXA</t>
  </si>
  <si>
    <t>Caractere inválido</t>
  </si>
  <si>
    <t>KON-OPE-SAO-PVI-BTC-ARGO-DELOITTE</t>
  </si>
  <si>
    <t>Cliente</t>
  </si>
  <si>
    <t>FCM-OPE-SAO-PVI-BTC-CONCUR-NIELSENIQ</t>
  </si>
  <si>
    <t>Falha de comunicação</t>
  </si>
  <si>
    <t>KON-OPE-SAO-PVI-MOVER</t>
  </si>
  <si>
    <t>Projeto</t>
  </si>
  <si>
    <t>FCM-OPE-SAO-PVI-SHELL</t>
  </si>
  <si>
    <t>Canal de venda</t>
  </si>
  <si>
    <t>KON-OPE-RIO-PVI-BTC</t>
  </si>
  <si>
    <t>Email do passageiro</t>
  </si>
  <si>
    <t>FCM-OPE-SAO-PVI-DIAGEO</t>
  </si>
  <si>
    <t>FCM-OPE-SAO-PVI-ARCADIS</t>
  </si>
  <si>
    <t>FCM-OPE-SAO-PVI-BTC-CYTRIC-S&amp;P</t>
  </si>
  <si>
    <t>FCM-OPE-POA-PVI-SYNGENTA</t>
  </si>
  <si>
    <t>KON-OPE-RIO-PVI-BTC-ASPEN PHARMA</t>
  </si>
  <si>
    <t>KON-OPE-SAO-POS-CLARO</t>
  </si>
  <si>
    <t>KON-OPE-RIO-POS-TAESA</t>
  </si>
  <si>
    <t>FCM-OPE-POA-PVI-BTC CONCUR</t>
  </si>
  <si>
    <t>KON-OPE-RIO-PVI-BTC RJ</t>
  </si>
  <si>
    <t>FCM-OPE-SAO-PVI-BTC-CONCUR-</t>
  </si>
  <si>
    <t>FCM-OPE-SAO-PVI-BTC-CONCUR-CHANEL</t>
  </si>
  <si>
    <t>Contagem AGING por RESPONSÁVEL - AGING  ALTERAÇÃO</t>
  </si>
  <si>
    <t>KON-OPE-RIO-PVI-BTC-PETRORECONCAVO</t>
  </si>
  <si>
    <t>KON-OPE-SAO-SUP-CENTRAL DE EMISSAO</t>
  </si>
  <si>
    <t>Operações - KONTRIP</t>
  </si>
  <si>
    <t>Operações - ZUPPER</t>
  </si>
  <si>
    <t>Operações - CORP</t>
  </si>
  <si>
    <t>KON-OPE-SAO-PVI-PWC</t>
  </si>
  <si>
    <t>KON-OPE-SAO-PVI-BTC-ARGO-HTB</t>
  </si>
  <si>
    <t>FCM-OPE-POA-PVI-ATENTO</t>
  </si>
  <si>
    <t>KON-OPE-SAO-SUP-KONTIK ONE</t>
  </si>
  <si>
    <t>KON-OPE-RIO-PVI-BTC-BIOMERIEUX</t>
  </si>
  <si>
    <t>FCM-OPE-SAO-PVI-INGREDION</t>
  </si>
  <si>
    <t>FCM-OPE-SAO-PVI-BTC FCM</t>
  </si>
  <si>
    <t>FCM-OPE-POA-BTC FCM</t>
  </si>
  <si>
    <t>Contagem de RESPONSÁVEL por SERVIÇO</t>
  </si>
  <si>
    <t>EMF DIRETORIA</t>
  </si>
  <si>
    <t>KON-OPE-SAO-SUP-KONTIK DESPESAS</t>
  </si>
  <si>
    <t>FCM-OPE-SAO-PVI-BTC-CYTRIC-AMWAY</t>
  </si>
  <si>
    <t>KON-OPE-SAO-PVI-BTC-ARGO-CIELO</t>
  </si>
  <si>
    <t>Todos os Produtos - Grupo Empresarial</t>
  </si>
  <si>
    <t>Contagem de Grupo Empresarial</t>
  </si>
  <si>
    <t>Grupo Casas Bahia</t>
  </si>
  <si>
    <t>Grupo British American Tobacco</t>
  </si>
  <si>
    <t>Grupo Biolab</t>
  </si>
  <si>
    <t>Grupo Ocean Pact</t>
  </si>
  <si>
    <t>Grupo Basf</t>
  </si>
  <si>
    <t>Grupo Motiva</t>
  </si>
  <si>
    <t>Grupo Braskem</t>
  </si>
  <si>
    <t>Grupo Honeywell</t>
  </si>
  <si>
    <t>Grupo Ultra</t>
  </si>
  <si>
    <t>Grupo Bernoulli Educacao</t>
  </si>
  <si>
    <t>Grupo Kpmg</t>
  </si>
  <si>
    <t>Grupo Weir Group</t>
  </si>
  <si>
    <t>Grupo Bosch</t>
  </si>
  <si>
    <t>Grupo Track e Field</t>
  </si>
  <si>
    <t>Independente</t>
  </si>
  <si>
    <t>Grupo Yamaha</t>
  </si>
  <si>
    <t>Grupo Enaex</t>
  </si>
  <si>
    <t>Grupo Ache</t>
  </si>
  <si>
    <t>Tarifa</t>
  </si>
  <si>
    <t>(Vários itens)</t>
  </si>
  <si>
    <t>Grupo Constellation</t>
  </si>
  <si>
    <t>Tarifa - por aging</t>
  </si>
  <si>
    <t>Tarifa por Data de EMISSÃO</t>
  </si>
  <si>
    <t>Tarifa por Data de INCLUSÃO</t>
  </si>
  <si>
    <t>Grupo Odontoprev</t>
  </si>
  <si>
    <t>Soma de Tarifa</t>
  </si>
  <si>
    <t>Grupo Energisa</t>
  </si>
  <si>
    <t>2026</t>
  </si>
  <si>
    <t>Grupo Zupper</t>
  </si>
  <si>
    <t>jun</t>
  </si>
  <si>
    <t>Grupo Lojas Renner</t>
  </si>
  <si>
    <t>jul</t>
  </si>
  <si>
    <t>Grupo Iron Mountain</t>
  </si>
  <si>
    <t>Grupo Nielseniq</t>
  </si>
  <si>
    <t>Grupo Fm Global</t>
  </si>
  <si>
    <t>GRUPO ADM ARCHER DANIELS MIDLAND</t>
  </si>
  <si>
    <t>Grupo Sep</t>
  </si>
  <si>
    <t>Grupo Hypera</t>
  </si>
  <si>
    <t>Grupo Kontrip</t>
  </si>
  <si>
    <t>Grupo Uol</t>
  </si>
  <si>
    <t>Grupo Deloitte</t>
  </si>
  <si>
    <t>Grupo Elanco</t>
  </si>
  <si>
    <t>Grupo Axa</t>
  </si>
  <si>
    <t>Grupo Intercement</t>
  </si>
  <si>
    <t>Grupo Innomotics</t>
  </si>
  <si>
    <t>Grupo Hpe</t>
  </si>
  <si>
    <t>Grupo Shell</t>
  </si>
  <si>
    <t>Grupo Tecban</t>
  </si>
  <si>
    <t>Grupo Diageo</t>
  </si>
  <si>
    <t>Grupo Arcadis</t>
  </si>
  <si>
    <t>Grupo Stanley Black e Decker</t>
  </si>
  <si>
    <t>Grupo Atlas Copco</t>
  </si>
  <si>
    <t>Grupo Baker Mckenzie</t>
  </si>
  <si>
    <t>Grupo Ultragaz</t>
  </si>
  <si>
    <t>Grupo Ihs</t>
  </si>
  <si>
    <t>Grupo Syngenta</t>
  </si>
  <si>
    <t>Grupo Claro Sa</t>
  </si>
  <si>
    <t>Grupo Chanel</t>
  </si>
  <si>
    <t>Grupo Epson</t>
  </si>
  <si>
    <t>Grupo Parexel</t>
  </si>
  <si>
    <t>Grupo Petroreconcavo</t>
  </si>
  <si>
    <t>Grupo Vertex</t>
  </si>
  <si>
    <t>Kontik</t>
  </si>
  <si>
    <t>Grupo Taesa</t>
  </si>
  <si>
    <t>Grupo Livanova</t>
  </si>
  <si>
    <t>Grupo Aspen Pharma</t>
  </si>
  <si>
    <t>Grupo Worldvision</t>
  </si>
  <si>
    <t>Grupo PWC</t>
  </si>
  <si>
    <t>Grupo Rede Gazeta</t>
  </si>
  <si>
    <t>Grupo Rhenus</t>
  </si>
  <si>
    <t>Grupo Ingredion</t>
  </si>
  <si>
    <t>Grupo Jti</t>
  </si>
  <si>
    <t>Grupo Htb</t>
  </si>
  <si>
    <t>Grupo Pepsico</t>
  </si>
  <si>
    <t>Grupo Banco Genial Investimentos</t>
  </si>
  <si>
    <t>Grupo Atento</t>
  </si>
  <si>
    <t>Grupo Biomerieux</t>
  </si>
  <si>
    <t>Grupo Meguro</t>
  </si>
  <si>
    <t>Grupo Zf</t>
  </si>
  <si>
    <t>Grupo Santista</t>
  </si>
  <si>
    <t>Grupo Amway</t>
  </si>
  <si>
    <t>Grupo Airbus/helibras</t>
  </si>
  <si>
    <t>Grupo Nzte</t>
  </si>
  <si>
    <t>Grupo Orizon</t>
  </si>
  <si>
    <t>Grupo Neon</t>
  </si>
  <si>
    <t>Grupo Lyondell Basell</t>
  </si>
  <si>
    <t>Grupo Benner</t>
  </si>
  <si>
    <t>Grupo Kontik Businees Travel</t>
  </si>
  <si>
    <t>Grupo Lazer Kontik</t>
  </si>
  <si>
    <t>Handle PNR</t>
  </si>
  <si>
    <t>Handle ACC</t>
  </si>
  <si>
    <t>Sequencia</t>
  </si>
  <si>
    <t>Data Inclusão</t>
  </si>
  <si>
    <t>Data Alteração</t>
  </si>
  <si>
    <t>Aging Inclusão</t>
  </si>
  <si>
    <t>Localizadora</t>
  </si>
  <si>
    <t>OBT</t>
  </si>
  <si>
    <t>Pax</t>
  </si>
  <si>
    <t>Agente Emissão</t>
  </si>
  <si>
    <t>Agente Criação</t>
  </si>
  <si>
    <t>Data Emissão</t>
  </si>
  <si>
    <t>Requisição</t>
  </si>
  <si>
    <t>Local Retirada</t>
  </si>
  <si>
    <t>Status Requisicao</t>
  </si>
  <si>
    <t>Forma Pagamento</t>
  </si>
  <si>
    <t>Forma Recebimento</t>
  </si>
  <si>
    <t>Cancelado</t>
  </si>
  <si>
    <t>Grupo Empresarial</t>
  </si>
  <si>
    <t>Cliente Fee POS</t>
  </si>
  <si>
    <t>Fornecedor</t>
  </si>
  <si>
    <t>Bilhete</t>
  </si>
  <si>
    <t>Canal de Vendas</t>
  </si>
  <si>
    <t>Codigo Evento</t>
  </si>
  <si>
    <t>Taxa</t>
  </si>
  <si>
    <t>Outras Taxas</t>
  </si>
  <si>
    <t>Taxa DU</t>
  </si>
  <si>
    <t>Taxa BR</t>
  </si>
  <si>
    <t>Taxa Extra</t>
  </si>
  <si>
    <t>Fee</t>
  </si>
  <si>
    <t>Observação</t>
  </si>
  <si>
    <t>Mensagem Erro</t>
  </si>
  <si>
    <t>CAMPO</t>
  </si>
  <si>
    <t>ORIGEM DO ERRO</t>
  </si>
  <si>
    <t>CATEGORIA DE ERRO</t>
  </si>
  <si>
    <t>EMPRESA</t>
  </si>
  <si>
    <t>ACC01</t>
  </si>
  <si>
    <t>OPQOIS</t>
  </si>
  <si>
    <t>TMS</t>
  </si>
  <si>
    <t>NATHALLE PERES</t>
  </si>
  <si>
    <t>Tms</t>
  </si>
  <si>
    <t>ON LINE</t>
  </si>
  <si>
    <t>Faturado</t>
  </si>
  <si>
    <t>Cartão convênio</t>
  </si>
  <si>
    <t>N</t>
  </si>
  <si>
    <t>Neon Pagamentos Sa Instituicao de Pagamento</t>
  </si>
  <si>
    <t>Latam Airlines Brasil</t>
  </si>
  <si>
    <t>Reserva importada do Sistema TMS. OS: 312</t>
  </si>
  <si>
    <t>Não foi possível encontrar configuração válida para Administradora de código 1 e Data transação 01/04/2026</t>
  </si>
  <si>
    <t>Validação de Dados</t>
  </si>
  <si>
    <t>Qualidade dos dados</t>
  </si>
  <si>
    <t>GRUPO KONTIK</t>
  </si>
  <si>
    <t>GFLQEYT</t>
  </si>
  <si>
    <t>SANTACROCE/RENATO</t>
  </si>
  <si>
    <t>WS</t>
  </si>
  <si>
    <t>GFLQEY</t>
  </si>
  <si>
    <t>Cartão de crédito</t>
  </si>
  <si>
    <t>Honeywell</t>
  </si>
  <si>
    <t>Cliente FEE no POS</t>
  </si>
  <si>
    <t>Hilton Mexico City Santa Fe</t>
  </si>
  <si>
    <t>Reserva importada por HubTravel</t>
  </si>
  <si>
    <t>Fornecedor não preenchido! (ACC02)</t>
  </si>
  <si>
    <t>Campo Fornecedor</t>
  </si>
  <si>
    <t>Sistêmico</t>
  </si>
  <si>
    <t>ACC02</t>
  </si>
  <si>
    <t>UMNBHJ</t>
  </si>
  <si>
    <t>BRUNO SOUZA</t>
  </si>
  <si>
    <t>Track e Field Co Sa Matriz</t>
  </si>
  <si>
    <t>Gol Linhas Aereas</t>
  </si>
  <si>
    <t>Reserva importada do Sistema TMS. OS: 6655</t>
  </si>
  <si>
    <t>Não foi possível encontrar configuração válida para Administradora de código 1 e Data transação 02/04/2026</t>
  </si>
  <si>
    <t>JMIUDE</t>
  </si>
  <si>
    <t>GUSTAVO MENDES</t>
  </si>
  <si>
    <t>Invoice</t>
  </si>
  <si>
    <t>Reserva importada do Sistema TMS. OS: 6652</t>
  </si>
  <si>
    <t>Não foi possível encontrar configuração válida para Administradora de código 1 e Data transação 02/07/2026</t>
  </si>
  <si>
    <t>KZVDFU</t>
  </si>
  <si>
    <t>KEVIN SANTOS</t>
  </si>
  <si>
    <t>Reserva importada do Sistema TMS. OS: 6648</t>
  </si>
  <si>
    <t>KXZLZIT</t>
  </si>
  <si>
    <t>BRAGA/VITOR NUNES MR</t>
  </si>
  <si>
    <t>KXZLZI</t>
  </si>
  <si>
    <t>USFPJAT</t>
  </si>
  <si>
    <t>MOREIRA/RODRIGO MR</t>
  </si>
  <si>
    <t>CT</t>
  </si>
  <si>
    <t>USFPJA</t>
  </si>
  <si>
    <t>Innomotics Motores e Grandes Conversores Ltda</t>
  </si>
  <si>
    <t>DJNSRA</t>
  </si>
  <si>
    <t>HIRANOBE/LUCAS</t>
  </si>
  <si>
    <t>VANESSA ARAUJO ALVES</t>
  </si>
  <si>
    <t>?</t>
  </si>
  <si>
    <t>Standard And Poors Ratings do Brasil Ltda</t>
  </si>
  <si>
    <t>Este cliente não possui permissão para usar este tipo de pagamento e recebimento para este produto.</t>
  </si>
  <si>
    <t>Forma PG. e REC.</t>
  </si>
  <si>
    <t>KONTIK BUSINESS TRAVEL</t>
  </si>
  <si>
    <t>JIHIAF</t>
  </si>
  <si>
    <t>WILLIAM NEVER</t>
  </si>
  <si>
    <t>Oceanpact Marau Navegacao</t>
  </si>
  <si>
    <t>Reserva importada do Sistema TMS. OS: 106435</t>
  </si>
  <si>
    <t>Não foi possível encontrar configuração válida para Administradora de código 1 e Data transação 06/04/2026</t>
  </si>
  <si>
    <t>LUQMIXC</t>
  </si>
  <si>
    <t>ROSSOLINO/ANTONIO MR</t>
  </si>
  <si>
    <t>LUQMIX</t>
  </si>
  <si>
    <t>CGR</t>
  </si>
  <si>
    <t>Sep Global Informacoes do Brasil Ltda</t>
  </si>
  <si>
    <t>Localiza - Br - Ms - Campo Grande - Santo Antonio</t>
  </si>
  <si>
    <t>Email do passageiro não preenchido! (ACC01)</t>
  </si>
  <si>
    <t>Falta de informação Gerencial</t>
  </si>
  <si>
    <t>GDSXAZNP-F1</t>
  </si>
  <si>
    <t>ISABELLA PEREIRA ALVES</t>
  </si>
  <si>
    <t>DIEGO FERNANDES ROCHA</t>
  </si>
  <si>
    <t>Localiza - Br - Am - Manaus - Aeroporto de Manaus Endereço: Av.santos Dumont, 1350 Centro</t>
  </si>
  <si>
    <t>OFF LINE</t>
  </si>
  <si>
    <t>Fm Global - Servicos</t>
  </si>
  <si>
    <t>Localiza - Br - Mg - Belo Horizonte - Cachoeirinha</t>
  </si>
  <si>
    <t>Reserva importada do sistema Gover. Id: 4656877</t>
  </si>
  <si>
    <t>Nh Erlangen</t>
  </si>
  <si>
    <t>Hilton Garden Inn Monterey</t>
  </si>
  <si>
    <t>YDBHKXT</t>
  </si>
  <si>
    <t>ALVES DE SOUZA/JARDEL</t>
  </si>
  <si>
    <t>YDBHKX</t>
  </si>
  <si>
    <t>UIGHEJT</t>
  </si>
  <si>
    <t>DALANEZE/MARCIO MR</t>
  </si>
  <si>
    <t>UIGHEJ</t>
  </si>
  <si>
    <t>Weir do Brasil Ltda</t>
  </si>
  <si>
    <t>Matrícula não preenchida! (ACC02)</t>
  </si>
  <si>
    <t>KMDJVAT</t>
  </si>
  <si>
    <t>GUIMARAES/RICARDO COELHO MR</t>
  </si>
  <si>
    <t>KMDJVA</t>
  </si>
  <si>
    <t>QRLGIQT</t>
  </si>
  <si>
    <t>VALADAO/MARCUS NANTES MR</t>
  </si>
  <si>
    <t>QRLGIQ</t>
  </si>
  <si>
    <t>WNIBQQ</t>
  </si>
  <si>
    <t>BRAZIL/TEST</t>
  </si>
  <si>
    <t>Aline Gabriela Casaro</t>
  </si>
  <si>
    <t>S</t>
  </si>
  <si>
    <t>Nielseniq do Brasil</t>
  </si>
  <si>
    <t>NTNZZK</t>
  </si>
  <si>
    <t>Gfk Brasil</t>
  </si>
  <si>
    <t>Matrícula não preenchida! (ACC01) Canal de venda não preenchido! (ACC01)</t>
  </si>
  <si>
    <t>AILTIR</t>
  </si>
  <si>
    <t>MELLO/RICARDO CHRISTANTE DE</t>
  </si>
  <si>
    <t>DS</t>
  </si>
  <si>
    <t>TKT</t>
  </si>
  <si>
    <t>6FETRR</t>
  </si>
  <si>
    <t>LUANA OLIVEIRA DA SILVA</t>
  </si>
  <si>
    <t>Herbert Amancio de Santana</t>
  </si>
  <si>
    <t>Claro S/a</t>
  </si>
  <si>
    <t>Mercure Curitiba Batel</t>
  </si>
  <si>
    <t>Reserva importada do Sistema TMS. OS: 142425</t>
  </si>
  <si>
    <t>Matrícula não preenchida! (ACC01)</t>
  </si>
  <si>
    <t>Hotel Nacional Inn Previdencia Araxa</t>
  </si>
  <si>
    <t>ACC03</t>
  </si>
  <si>
    <t>Ibis Arapiraca</t>
  </si>
  <si>
    <t>The Z Hotel Piccadilly</t>
  </si>
  <si>
    <t>Ibis Budget Parauapebas</t>
  </si>
  <si>
    <t>6GXVCG</t>
  </si>
  <si>
    <t>LURIAN RAMOS</t>
  </si>
  <si>
    <t>Pagamento direto</t>
  </si>
  <si>
    <t>Ache Laboratorios Farmaceuticos Sa</t>
  </si>
  <si>
    <t>Acdw Gestao de Hoteis</t>
  </si>
  <si>
    <t>Reserva importada do Sistema TMS. OS: 120419</t>
  </si>
  <si>
    <t>Consolidador é obrigatório para este fornecedor "Acdw Gestao de Hoteis", porém não está preenchido! (ACC01)</t>
  </si>
  <si>
    <t>Caractere invalido em campo gerencial</t>
  </si>
  <si>
    <t>6FGIYY</t>
  </si>
  <si>
    <t>GUILHERME JAYME</t>
  </si>
  <si>
    <t>Reserva importada do Sistema TMS. OS: 119301</t>
  </si>
  <si>
    <t>FXNPFRT</t>
  </si>
  <si>
    <t>SCHMIDT/SERGIO LUIS MR</t>
  </si>
  <si>
    <t>WY</t>
  </si>
  <si>
    <t>FXNPFR</t>
  </si>
  <si>
    <t>Jti Processadora</t>
  </si>
  <si>
    <t>Courtyard Aruba Resort</t>
  </si>
  <si>
    <t>Empenho/departamento não preenchido! (ACC01)</t>
  </si>
  <si>
    <t>6LRNU9</t>
  </si>
  <si>
    <t>LUCAS SILVA</t>
  </si>
  <si>
    <t>Elivani Souza de Araujo Angi</t>
  </si>
  <si>
    <t>Curacao, Antilhas Holandesas (CUR)</t>
  </si>
  <si>
    <t>Kpmg</t>
  </si>
  <si>
    <t>Reserva importada do Sistema TMS. OS: 325193</t>
  </si>
  <si>
    <t>Fornecedor não preenchido! (ACC01)</t>
  </si>
  <si>
    <t>6LN979</t>
  </si>
  <si>
    <t>IGOR SILVA</t>
  </si>
  <si>
    <t>Tuane Cristina Alves de Oliveira</t>
  </si>
  <si>
    <t>Pelotas / RS, Brasil (PET)</t>
  </si>
  <si>
    <t>Kpmg Consultoria</t>
  </si>
  <si>
    <t>Reserva importada do Sistema TMS. OS: 324839</t>
  </si>
  <si>
    <t>6L2ZKO</t>
  </si>
  <si>
    <t>EVERSON FERREIRA</t>
  </si>
  <si>
    <t>BRUNO ALVARENGA MELONI</t>
  </si>
  <si>
    <t>Sao Gabriel / RS, Brasil (PFB)</t>
  </si>
  <si>
    <t>Reserva importada do Sistema TMS. OS: 323713</t>
  </si>
  <si>
    <t>6LJ736</t>
  </si>
  <si>
    <t>THAIS CARNEIRO</t>
  </si>
  <si>
    <t>Reserva importada do Sistema TMS. OS: 324836</t>
  </si>
  <si>
    <t>6H7W4H</t>
  </si>
  <si>
    <t>CAROLINA TEIXEIRA</t>
  </si>
  <si>
    <t>Campo Mourão / PR, Brasil (CBW)</t>
  </si>
  <si>
    <t>Reserva importada do Sistema TMS. OS: 315773</t>
  </si>
  <si>
    <t>6HM3VY</t>
  </si>
  <si>
    <t>MARCOS OLIVEIRA</t>
  </si>
  <si>
    <t>Querencia / MT, Brasil</t>
  </si>
  <si>
    <t>Reserva importada do Sistema TMS. OS: 315759</t>
  </si>
  <si>
    <t>GJZNZCT</t>
  </si>
  <si>
    <t>MORENO/FABIO CAMPOS MR</t>
  </si>
  <si>
    <t>MARIA CECILIA PEREIRA SILVA</t>
  </si>
  <si>
    <t>GJZNZC</t>
  </si>
  <si>
    <t>AYSESM</t>
  </si>
  <si>
    <t>MICHAEL FERMOSELLES FANTI</t>
  </si>
  <si>
    <t>Cartão AMEX</t>
  </si>
  <si>
    <t>Claro Sao Paulo (santo Amaro)</t>
  </si>
  <si>
    <t>Reserva importada do Sistema TMS. OS: 149403</t>
  </si>
  <si>
    <t>Erro não localizado</t>
  </si>
  <si>
    <t>Análise Benner</t>
  </si>
  <si>
    <t>UJKVZO</t>
  </si>
  <si>
    <t>CAIO SANTOS</t>
  </si>
  <si>
    <t>Reserva importada do Sistema TMS. OS: 149394</t>
  </si>
  <si>
    <t>HRDVNH</t>
  </si>
  <si>
    <t>HILARIO/RENATA</t>
  </si>
  <si>
    <t>HPMECX</t>
  </si>
  <si>
    <t>Freight Logistics International do Brasil Ltda - Inativo</t>
  </si>
  <si>
    <t>Necessário cadastrar um contrato para o cliente ""</t>
  </si>
  <si>
    <t>Análise Cadastro</t>
  </si>
  <si>
    <t>DPADCR</t>
  </si>
  <si>
    <t>Outros</t>
  </si>
  <si>
    <t>Orizon</t>
  </si>
  <si>
    <t>Reserva importada do Sistema TMS. OS: 4210</t>
  </si>
  <si>
    <t>QEGSTH</t>
  </si>
  <si>
    <t>AMPUDIA/GIULIANNO</t>
  </si>
  <si>
    <t>Wellington Ribeiro da Silva</t>
  </si>
  <si>
    <t>Lila Beatriz Medeiros</t>
  </si>
  <si>
    <t>Cap1 - Planta Campinas Bosch - 9080</t>
  </si>
  <si>
    <t>Tarifa mínima não preenchida! (ACC01)</t>
  </si>
  <si>
    <t>UPBZIK</t>
  </si>
  <si>
    <t>GOMES DE OLIVEIRA JUNIOR/ADAL</t>
  </si>
  <si>
    <t>Bosch Home Comfort do Brasil Ltda</t>
  </si>
  <si>
    <t>CWKUYJ-1</t>
  </si>
  <si>
    <t>FLAVIA DA SILVA</t>
  </si>
  <si>
    <t>Reserva importada do Sistema TMS. OS: 6777</t>
  </si>
  <si>
    <t xml:space="preserve">Problema ocorrido ao cancelar o documento: Problema ao contabilizar o cancelamento:  Não é possível efetuar esta contabilização!  Societário Débitos: </t>
  </si>
  <si>
    <t>IMPGKK</t>
  </si>
  <si>
    <t>DA SILVA/MESSIAS EDUARDO</t>
  </si>
  <si>
    <t>V7</t>
  </si>
  <si>
    <t>Raquel Ribeiro Pinto Villarreal</t>
  </si>
  <si>
    <t>Livanova Brasil</t>
  </si>
  <si>
    <t>OGOGNPT</t>
  </si>
  <si>
    <t>MORAES/MARCOS  MR</t>
  </si>
  <si>
    <t>OGOGNP</t>
  </si>
  <si>
    <t>Ilheus Praia Hotel</t>
  </si>
  <si>
    <t>Empenho/departamento não preenchido! (ACC01) Matrícula não preenchida! (ACC01)</t>
  </si>
  <si>
    <t>QOYOBYT</t>
  </si>
  <si>
    <t>SOUTO/MARCIO</t>
  </si>
  <si>
    <t>QOYOBY</t>
  </si>
  <si>
    <t>Iron Mountain</t>
  </si>
  <si>
    <t>Rigo Hotel Santa Rosa</t>
  </si>
  <si>
    <t>OREBFZC</t>
  </si>
  <si>
    <t>MOURA/JONNI</t>
  </si>
  <si>
    <t>Andreia de Alencar Alves</t>
  </si>
  <si>
    <t>OREBFZ</t>
  </si>
  <si>
    <t>BEL</t>
  </si>
  <si>
    <t>Localiza - Br - Pa - Belem - Val de Canf</t>
  </si>
  <si>
    <t>AWBSNCT</t>
  </si>
  <si>
    <t>RODRIGUES/ANDRE PAES MR</t>
  </si>
  <si>
    <t>AWBSNC</t>
  </si>
  <si>
    <t>Hotel Palmares -  Para</t>
  </si>
  <si>
    <t>AWMQ2K</t>
  </si>
  <si>
    <t>DOUGLAS SANTANA SANTOS</t>
  </si>
  <si>
    <t>RAYSSA MARTINS FERREIRA</t>
  </si>
  <si>
    <t>Alexander Perez Alves</t>
  </si>
  <si>
    <t>Aspen Pharma</t>
  </si>
  <si>
    <t>Azul Linhas Aereas</t>
  </si>
  <si>
    <t>Reserva importada do sistema Gover. Id: 4693437</t>
  </si>
  <si>
    <t>Douglas Santana Santos</t>
  </si>
  <si>
    <t>FQIUZV</t>
  </si>
  <si>
    <t>RAMOS PAIVA/LEONARDO</t>
  </si>
  <si>
    <t>VITOR TEICHMANN</t>
  </si>
  <si>
    <t>FQIUZV_1</t>
  </si>
  <si>
    <t>6M6I5D</t>
  </si>
  <si>
    <t>LUIZ PAULO HITOSHI HIMENO</t>
  </si>
  <si>
    <t>Juliana dos Santos Pinto</t>
  </si>
  <si>
    <t>Energisa Rondonia - Distribuidora de Energia S.a.</t>
  </si>
  <si>
    <t>Reserva importada do sistema Gover. Id: 4639544</t>
  </si>
  <si>
    <t>Validação do documento: Documento está dentro de um período financeiro já fechado!</t>
  </si>
  <si>
    <t>Financeiro Conciliado</t>
  </si>
  <si>
    <t>GABRIEL TAKESHI ARAKAKI HIMENO</t>
  </si>
  <si>
    <t>DANIELA YURI ARAKAKI</t>
  </si>
  <si>
    <t>ACC04</t>
  </si>
  <si>
    <t>LARISSA NATSUMI ARAKAKI HIMENO</t>
  </si>
  <si>
    <t>6J95LH</t>
  </si>
  <si>
    <t>ANDREA CRISTINA MOREIRA ABREU DE PAULA</t>
  </si>
  <si>
    <t>Patricia Pinato Ferreira Lima</t>
  </si>
  <si>
    <t>Vendas Lazer - Pessoa Fisica</t>
  </si>
  <si>
    <t>Tap Air Portugal</t>
  </si>
  <si>
    <t>atendimento emergencial tkt 1276204</t>
  </si>
  <si>
    <t xml:space="preserve">Erro excluindo PNR: Ocorrência no método TBSistemaWrapper.MyException. Mensagem: Exclusão cancelada devido a vínculo(s) com registros(s) da </t>
  </si>
  <si>
    <t>Falha de Integração</t>
  </si>
  <si>
    <t>SNFXYX</t>
  </si>
  <si>
    <t>MITRE/MARCOS PEDROSA</t>
  </si>
  <si>
    <t>5I</t>
  </si>
  <si>
    <t>Axa Cs - Inativo</t>
  </si>
  <si>
    <t>Air Canada</t>
  </si>
  <si>
    <t>6L59R0</t>
  </si>
  <si>
    <t>RAMIREZ/LUIS ESTEBAN</t>
  </si>
  <si>
    <t>Clayton Alves de Rezende</t>
  </si>
  <si>
    <t>OFFLINE</t>
  </si>
  <si>
    <t>Axa Xl Resseguros Sa</t>
  </si>
  <si>
    <t>Movich Hotel Las Lomas</t>
  </si>
  <si>
    <t>6II3B9</t>
  </si>
  <si>
    <t>AUGUSTO ALMEIDA</t>
  </si>
  <si>
    <t>Ibis Natal</t>
  </si>
  <si>
    <t>Reserva importada do Sistema TMS. OS: 7607</t>
  </si>
  <si>
    <t>Cliente não preenchido! (ACC01)</t>
  </si>
  <si>
    <t>Staybridge Stes Dfw Arpt</t>
  </si>
  <si>
    <t>SNFXYXT</t>
  </si>
  <si>
    <t>MITRE/MARCOS PEDROSA MR</t>
  </si>
  <si>
    <t>Delta Hotels Saguenay Conference Centre</t>
  </si>
  <si>
    <t>Karla Barbosa</t>
  </si>
  <si>
    <t>Gover</t>
  </si>
  <si>
    <t>Benner Sistemas - Blumenau</t>
  </si>
  <si>
    <t>Reserva importada do sistema Gover. Id: 4712740</t>
  </si>
  <si>
    <t>6OGDTK</t>
  </si>
  <si>
    <t>VINICIUS ROMEIRO</t>
  </si>
  <si>
    <t>Dourados / DOU</t>
  </si>
  <si>
    <t>Reserva importada do Sistema TMS. OS: 329371</t>
  </si>
  <si>
    <t>6NFLRL</t>
  </si>
  <si>
    <t>MARIANA SILVA</t>
  </si>
  <si>
    <t>Ibiruba / RS, Brasil (PFB)</t>
  </si>
  <si>
    <t>Reserva importada do Sistema TMS. OS: 328272</t>
  </si>
  <si>
    <t>NPLPZXT</t>
  </si>
  <si>
    <t>VESPERO/JOAO FORTUNATO PEDROTTI MR</t>
  </si>
  <si>
    <t>NPLPZX</t>
  </si>
  <si>
    <t>Basf Sa</t>
  </si>
  <si>
    <t>H4712429</t>
  </si>
  <si>
    <t>Ana ROXO OLIVEIRA</t>
  </si>
  <si>
    <t>Sergio Henrique Mendes</t>
  </si>
  <si>
    <t>Arcadis</t>
  </si>
  <si>
    <t>Reserva importada do sistema Gover. Id: 4712429</t>
  </si>
  <si>
    <t>H4707120</t>
  </si>
  <si>
    <t>Roberio ACIOLE</t>
  </si>
  <si>
    <t>Reserva importada do sistema Gover. Id: 4707120</t>
  </si>
  <si>
    <t>6OUG6P</t>
  </si>
  <si>
    <t>MARIELLE SILVA</t>
  </si>
  <si>
    <t>Reserva importada do Sistema TMS. OS: 127567</t>
  </si>
  <si>
    <t>OFHFEU</t>
  </si>
  <si>
    <t>Marcondes Muniz de Jesus</t>
  </si>
  <si>
    <t>Bat | Souza Cruz - Matriz</t>
  </si>
  <si>
    <t>Reserva importada do sistema Gover. Id: 4713573</t>
  </si>
  <si>
    <t>FJLAFMT</t>
  </si>
  <si>
    <t>SILVA/FLAVIO</t>
  </si>
  <si>
    <t>Rafaela Leitao Oliveira</t>
  </si>
  <si>
    <t>FJLAFM</t>
  </si>
  <si>
    <t>Grupo Casas Bahia S.a.</t>
  </si>
  <si>
    <t>IRKXKKT</t>
  </si>
  <si>
    <t>SILVA/JOSE</t>
  </si>
  <si>
    <t>IRKXKK</t>
  </si>
  <si>
    <t>DNOEUST</t>
  </si>
  <si>
    <t>BARBOSA/ITALO</t>
  </si>
  <si>
    <t>DNOEUS</t>
  </si>
  <si>
    <t>YKCTVET</t>
  </si>
  <si>
    <t>SILVA/JOAO</t>
  </si>
  <si>
    <t>YKCTVE</t>
  </si>
  <si>
    <t>DOJYQET</t>
  </si>
  <si>
    <t>LEAO/LUCIANA</t>
  </si>
  <si>
    <t>DOJYQE</t>
  </si>
  <si>
    <t>JLBGFST</t>
  </si>
  <si>
    <t>SANTOS/MILSON</t>
  </si>
  <si>
    <t>WU</t>
  </si>
  <si>
    <t>JLBGFS</t>
  </si>
  <si>
    <t>6OZYWD</t>
  </si>
  <si>
    <t>PORCINO/ANA</t>
  </si>
  <si>
    <t>Maria Eugenia Oliva</t>
  </si>
  <si>
    <t>Reserva importada do Sistema TMS. OS: 127851</t>
  </si>
  <si>
    <t>GXSXTU</t>
  </si>
  <si>
    <t>DA SILVA/AMANDA PEREIRA</t>
  </si>
  <si>
    <t>Autorização do cartão da forma de pagamento não preenchida! (ACC01) Autorização do cartão da forma de recebimento não preenchida! (ACC01)</t>
  </si>
  <si>
    <t>WLCHGO0</t>
  </si>
  <si>
    <t>DANILLA SOUZA</t>
  </si>
  <si>
    <t>Reserva importada do Sistema TMS. OS: 7006</t>
  </si>
  <si>
    <t>IFEYML</t>
  </si>
  <si>
    <t>MORENO SAVARIS/QUELI</t>
  </si>
  <si>
    <t>Finalidade não preenchida! (ACC01)</t>
  </si>
  <si>
    <t>6OCM2W</t>
  </si>
  <si>
    <t>CACHIONI TEIXEIRA/VINICIUS</t>
  </si>
  <si>
    <t>Itamar de Souza</t>
  </si>
  <si>
    <t>KGWFCT_1_1</t>
  </si>
  <si>
    <t>ACC</t>
  </si>
  <si>
    <t>VINICIUS CACHIONI TEIXEIRA</t>
  </si>
  <si>
    <t>6OKHOS</t>
  </si>
  <si>
    <t>HERNANDO ALLUE/SERGIO</t>
  </si>
  <si>
    <t>EVA SILVA FERREIRA</t>
  </si>
  <si>
    <t>KPYAAL_3_1</t>
  </si>
  <si>
    <t>Atendimento emergencial</t>
  </si>
  <si>
    <t>SERGIO HERNANDO ALLUE</t>
  </si>
  <si>
    <t>6OTD6Z</t>
  </si>
  <si>
    <t>MIGUEL NUNO SIMOES NUNES FERREIRA SETAS</t>
  </si>
  <si>
    <t>Energisa S.a.</t>
  </si>
  <si>
    <t>Reserva importada do sistema Gover. Id: 4711199</t>
  </si>
  <si>
    <t>Problema ocorrido ao bloquear o documento: Existem remessas associadas ao documento!</t>
  </si>
  <si>
    <t>YUZPTB</t>
  </si>
  <si>
    <t>BUTTON/PAULO ALVARO NANTES</t>
  </si>
  <si>
    <t>6O7A8D</t>
  </si>
  <si>
    <t>FONSECA JUNIOR/UIRSON MIRANDA</t>
  </si>
  <si>
    <t>Cintya Cocco Figueiredo</t>
  </si>
  <si>
    <t>Htb Construcoes</t>
  </si>
  <si>
    <t>Reserva importada do Sistema TMS. OS: 50263</t>
  </si>
  <si>
    <t>6OMTO8</t>
  </si>
  <si>
    <t>STELLA BRANDAO</t>
  </si>
  <si>
    <t>Marcelo da Silva</t>
  </si>
  <si>
    <t>WATTSAPP</t>
  </si>
  <si>
    <t>Venda Particular - Cartao - Koncept</t>
  </si>
  <si>
    <t>KONCEPT SELETO</t>
  </si>
  <si>
    <t xml:space="preserve"> Módulo Operações    -&gt; Configurações      -&gt; Configurações do sistema turismo        -&gt; Importação das vendas          -&gt; Entradas/Saídas  Para o </t>
  </si>
  <si>
    <t>YPLCRA</t>
  </si>
  <si>
    <t>MONTEIRO/HELOISA ALCANTARA</t>
  </si>
  <si>
    <t>Parexel International Pesquisas Clinicas Ltda</t>
  </si>
  <si>
    <t>Necessário informar o bilhete</t>
  </si>
  <si>
    <t>CCPQDJ</t>
  </si>
  <si>
    <t>PERRELLI/LAIS</t>
  </si>
  <si>
    <t>Kontik Franstur - Sao Paulo</t>
  </si>
  <si>
    <t>DKMIAF-1</t>
  </si>
  <si>
    <t>GUILHERME  PIMENTEL</t>
  </si>
  <si>
    <t>Cristiane Santos Pio Memoria</t>
  </si>
  <si>
    <t>Reserva importada do sistema Gover. Id: 4710457</t>
  </si>
  <si>
    <t>KFKEUY</t>
  </si>
  <si>
    <t>Marcelo Deble Joaquim</t>
  </si>
  <si>
    <t>Reserva importada do sistema Gover. Id: 4707849</t>
  </si>
  <si>
    <t>CSVGEI</t>
  </si>
  <si>
    <t>PRESTON/JONATHAN FRANCIS</t>
  </si>
  <si>
    <t>Consulado Geral da Nova Zelandia</t>
  </si>
  <si>
    <t>HEEOHD</t>
  </si>
  <si>
    <t>CORREA/DENIS</t>
  </si>
  <si>
    <t>United</t>
  </si>
  <si>
    <t>6MB8FK</t>
  </si>
  <si>
    <t>VITOR BENTO</t>
  </si>
  <si>
    <t>Mercure Belo Horizonte Lourdes</t>
  </si>
  <si>
    <t>Reserva importada do Sistema TMS. OS: 1544</t>
  </si>
  <si>
    <t>Slaviero Essential Londrina Flat</t>
  </si>
  <si>
    <t>6OO5IT</t>
  </si>
  <si>
    <t>LUIS FERNANDO CARDILLO NUNES ALVES</t>
  </si>
  <si>
    <t>Geovanne Costanzi Prudencio</t>
  </si>
  <si>
    <t>EMERGENCIAL-1353510</t>
  </si>
  <si>
    <t>Deloitte Assessoria - Sao Paulo</t>
  </si>
  <si>
    <t>Localiza - Br - Pr - Curitiba - Sao Jose dos Pinhais</t>
  </si>
  <si>
    <t>Emergencial 1353510</t>
  </si>
  <si>
    <t>VMSMKW0</t>
  </si>
  <si>
    <t>PRISCILLA MORAES</t>
  </si>
  <si>
    <t>Adriana Dias de Grano</t>
  </si>
  <si>
    <t>Deloitte Consultores - Recife</t>
  </si>
  <si>
    <t>Reserva importada do Sistema TMS. OS: 133177</t>
  </si>
  <si>
    <t>6OT4QM</t>
  </si>
  <si>
    <t>GUSTAVO MAXIMO</t>
  </si>
  <si>
    <t>Accouting aérea não possui trechos (Bilhete: 0000000000)</t>
  </si>
  <si>
    <t>Atualização de Trechos</t>
  </si>
  <si>
    <t>OWHQTQ</t>
  </si>
  <si>
    <t>LNLFFX</t>
  </si>
  <si>
    <t>RIBEIRO ANDRADE/GEOMAR</t>
  </si>
  <si>
    <t>6OHZ83</t>
  </si>
  <si>
    <t>DOS SANTOS/IGOR</t>
  </si>
  <si>
    <t>Reserva importada do Sistema TMS. OS: 50264</t>
  </si>
  <si>
    <t>EQV8NH0</t>
  </si>
  <si>
    <t>RODOLFO TONI</t>
  </si>
  <si>
    <t>Genial Consig</t>
  </si>
  <si>
    <t>Reserva importada do Sistema TMS. OS: 3772</t>
  </si>
  <si>
    <t>Finalidade não preenchida! (ACC01) Convidado não preenchido! (ACC01) Solicitante não preenchido! (ACC01)</t>
  </si>
  <si>
    <t>GNHYLQ</t>
  </si>
  <si>
    <t>DOS SANTOS/JOSE CELIO</t>
  </si>
  <si>
    <t>Matrícula não preenchida! (ACC01) Departamento não preenchido! (ACC01) Finalidade não preenchida! (ACC01)</t>
  </si>
  <si>
    <t>Leonardo Teixeira</t>
  </si>
  <si>
    <t>Priscilla Andrade Sobrinho</t>
  </si>
  <si>
    <t>Biomerieux</t>
  </si>
  <si>
    <t>Hilton Barra Rio de Janeiro</t>
  </si>
  <si>
    <t>Reserva importada do sistema Gover. Id: 4712301</t>
  </si>
  <si>
    <t xml:space="preserve"> Configurações        -&gt; Configurações do sistema turismo          -&gt; Importação das vendas            -&gt; Impedir vendas com data superior à atual</t>
  </si>
  <si>
    <t>GAPYNST</t>
  </si>
  <si>
    <t>DE ALMEIDA OLIVEIRA/JESSICA</t>
  </si>
  <si>
    <t>GAPYNS</t>
  </si>
  <si>
    <t>Doubletree Santiago Vitacura</t>
  </si>
  <si>
    <t>Centro de custo não preenchido! (ACC01)</t>
  </si>
  <si>
    <t>6NKIKI</t>
  </si>
  <si>
    <t>JEAN RODRIGUES</t>
  </si>
  <si>
    <t>Neogas do Brasil Gas Natural Comprimido S.a.</t>
  </si>
  <si>
    <t>Intercity Shopping Gravatai</t>
  </si>
  <si>
    <t>Reserva importada do Sistema TMS. OS: 114592</t>
  </si>
  <si>
    <t>STEDWST</t>
  </si>
  <si>
    <t>ZAMARA/RODRIGO ALBERTO MR</t>
  </si>
  <si>
    <t>STEDWS</t>
  </si>
  <si>
    <t>Nh Collection Royal Hacienda (travelclick)</t>
  </si>
  <si>
    <t>N/I</t>
  </si>
  <si>
    <t>Jose Luiz Lace Rodrigues</t>
  </si>
  <si>
    <t>Hilton Rio de Janeiro Copacabana</t>
  </si>
  <si>
    <t>Reserva importada do sistema Gover. Id: 4712739</t>
  </si>
  <si>
    <t>h4712605a</t>
  </si>
  <si>
    <t>Bartz Hotel - Camaqua</t>
  </si>
  <si>
    <t>Reserva importada do sistema Gover. Id: 4712624</t>
  </si>
  <si>
    <t>FLUVIO  JANISCH</t>
  </si>
  <si>
    <t>6NRJ3D</t>
  </si>
  <si>
    <t>CARLOS AUGUSTO BRANDAO</t>
  </si>
  <si>
    <t>Renato Ferreira Gomes</t>
  </si>
  <si>
    <t>Braskem - Camacari</t>
  </si>
  <si>
    <t>Hilton Rotterdam</t>
  </si>
  <si>
    <t>Reserva importada do Sistema TMS. OS: 20892</t>
  </si>
  <si>
    <t xml:space="preserve">Erro excluindo PNR: Não é possivel excluir a accounting de código: 26681469. A mesma está ligada a conciliação de cartão "ANTECIPAÇÃO REDE </t>
  </si>
  <si>
    <t>Processo Operacional</t>
  </si>
  <si>
    <t>Bogari Hotel Foz do Iguacu</t>
  </si>
  <si>
    <t>h4712632b</t>
  </si>
  <si>
    <t>Bei Monti Hotel</t>
  </si>
  <si>
    <t>Reserva importada do sistema Gover. Id: 4712632</t>
  </si>
  <si>
    <t>6OSIHV</t>
  </si>
  <si>
    <t>Eduardo Augusto Pontes de Vasconcellos</t>
  </si>
  <si>
    <t>4living Bela Vista</t>
  </si>
  <si>
    <t>Reserva importada do Sistema TMS. OS: 77</t>
  </si>
  <si>
    <t>Canal de venda não preenchido! (ACC01)</t>
  </si>
  <si>
    <t>AIPYQKT</t>
  </si>
  <si>
    <t>HORTA DOS SANTOS/HELENA BARBOSA</t>
  </si>
  <si>
    <t>JULIANE MARTINS FERREIRA</t>
  </si>
  <si>
    <t>IZUFQT</t>
  </si>
  <si>
    <t>Slaviero Sao Paulo Ibirapuera</t>
  </si>
  <si>
    <t>Hotel Palace Puebla</t>
  </si>
  <si>
    <t>YILGITT</t>
  </si>
  <si>
    <t>LIMA DA SILVA/RAIANE KELLY MRS</t>
  </si>
  <si>
    <t>YILGIT</t>
  </si>
  <si>
    <t>Amway do Brasil</t>
  </si>
  <si>
    <t>Nh Collection Bogota Terra 100 Royal</t>
  </si>
  <si>
    <t>6O94J7</t>
  </si>
  <si>
    <t>LUCAS CRUZ</t>
  </si>
  <si>
    <t>EMAIL</t>
  </si>
  <si>
    <t>Oceanpact Servicos Maritimos</t>
  </si>
  <si>
    <t>Paxcar Agencia de Viagem e Turismo</t>
  </si>
  <si>
    <t>NJJRYKT</t>
  </si>
  <si>
    <t>CAMPOS JUNQUEIRA GRANDINO/LUANA</t>
  </si>
  <si>
    <t>NJJRYK</t>
  </si>
  <si>
    <t>Hyatt House Mexico City Santa Fe</t>
  </si>
  <si>
    <t>WKIGYPT</t>
  </si>
  <si>
    <t>ZAHER/JAMIL ZEIN</t>
  </si>
  <si>
    <t>BRUNA SEBBEN</t>
  </si>
  <si>
    <t>WKIGYP</t>
  </si>
  <si>
    <t>Ihs Brasil Cessao de Infraestruturas S a</t>
  </si>
  <si>
    <t>Swissotel Al Murooj Dubai</t>
  </si>
  <si>
    <t>MV4HN1LK4ERBR</t>
  </si>
  <si>
    <t>MARCOS ANTONIO FELIPE</t>
  </si>
  <si>
    <t>DANIELLE RIZZETO BEZERRA ALVES</t>
  </si>
  <si>
    <t>Movida</t>
  </si>
  <si>
    <t>Intercement Nacoes Unidas</t>
  </si>
  <si>
    <t>Movida - Br - Sp - Sao Paulo - Aeroporto Congonhas</t>
  </si>
  <si>
    <t>Reserva importada do sistema Gover. Id: 4712096</t>
  </si>
  <si>
    <t>6PFIUX</t>
  </si>
  <si>
    <t>LANA FERNANDES ARAUJO</t>
  </si>
  <si>
    <t>Jessica Soares Teixeira</t>
  </si>
  <si>
    <t>Bahiana Distribuidora de Gas</t>
  </si>
  <si>
    <t>Reserva importada do Sistema TMS. OS: 114557</t>
  </si>
  <si>
    <t>6PEKIW</t>
  </si>
  <si>
    <t>FRANCISCO RUIZ</t>
  </si>
  <si>
    <t>São Paulo / CGH</t>
  </si>
  <si>
    <t>Reserva importada do Sistema TMS. OS: 21306</t>
  </si>
  <si>
    <t>6P7WHZ</t>
  </si>
  <si>
    <t>VINICIUS OLIVEIRA</t>
  </si>
  <si>
    <t>Reserva importada do Sistema TMS. OS: 21297</t>
  </si>
  <si>
    <t>6QRQ52</t>
  </si>
  <si>
    <t>HELENO NEVES JUNIOR</t>
  </si>
  <si>
    <t>Rio de Janeiro / SDU</t>
  </si>
  <si>
    <t>Reserva importada do Sistema TMS. OS: 21435</t>
  </si>
  <si>
    <t>QRUZRTT</t>
  </si>
  <si>
    <t>ALVES ROIM/RODOLFO MR</t>
  </si>
  <si>
    <t>QRUZRT</t>
  </si>
  <si>
    <t>GLKQMET</t>
  </si>
  <si>
    <t>ARIZA/GUSTAVO KELLER MR</t>
  </si>
  <si>
    <t>GLKQME</t>
  </si>
  <si>
    <t>JCBFFPT</t>
  </si>
  <si>
    <t>RIBEIRO/CLAUDEMIR MR</t>
  </si>
  <si>
    <t>JCBFFP</t>
  </si>
  <si>
    <t>AEKABKT</t>
  </si>
  <si>
    <t>DA SILVA/MARCO FILIPE BARBOSA</t>
  </si>
  <si>
    <t>AEKABK</t>
  </si>
  <si>
    <t>NPNOICT</t>
  </si>
  <si>
    <t>MARQUES CRISOL/ALEXANDRE MR</t>
  </si>
  <si>
    <t>NPNOIC</t>
  </si>
  <si>
    <t xml:space="preserve">Marques Rocha/ Leonardo </t>
  </si>
  <si>
    <t>Toou</t>
  </si>
  <si>
    <t>Instituto Atlantico</t>
  </si>
  <si>
    <t>Reserva importada do Sistema WOOBA. Id: 13399</t>
  </si>
  <si>
    <t>KONTRIP VIAGENS</t>
  </si>
  <si>
    <t>6P5NNJ</t>
  </si>
  <si>
    <t>FERNANDA ALLEGRETTO</t>
  </si>
  <si>
    <t>Los Angeles / CA, Estados Unidos - Aeroporto Internacional de Los Angeles (LAX)</t>
  </si>
  <si>
    <t>Reserva importada do Sistema TMS. OS: 330179</t>
  </si>
  <si>
    <t>6P8J07</t>
  </si>
  <si>
    <t>Reserva importada do Sistema TMS. OS: 330085</t>
  </si>
  <si>
    <t>6PJ5WF</t>
  </si>
  <si>
    <t>CECILIO SCHIGUEMATU</t>
  </si>
  <si>
    <t>Diogo Dantas Gomes</t>
  </si>
  <si>
    <t>Reserva importada do Sistema TMS. OS: 330208</t>
  </si>
  <si>
    <t>LZQDZVC</t>
  </si>
  <si>
    <t>LZQDZV</t>
  </si>
  <si>
    <t>HHBXEJT</t>
  </si>
  <si>
    <t>DA CRUZ/ALLAN</t>
  </si>
  <si>
    <t>HHBXEJ</t>
  </si>
  <si>
    <t>ECATFTC</t>
  </si>
  <si>
    <t>SCHEURICH/JOAO PEDRO</t>
  </si>
  <si>
    <t>ECATFT</t>
  </si>
  <si>
    <t>POA</t>
  </si>
  <si>
    <t>H4713824</t>
  </si>
  <si>
    <t>Marcos de Assis Santos</t>
  </si>
  <si>
    <t>Energisa Sul-sudeste - Distribuidora de Energia S.a.</t>
  </si>
  <si>
    <t>Reserva importada do sistema Gover. Id: 4713824</t>
  </si>
  <si>
    <t>6P865A</t>
  </si>
  <si>
    <t>GISELE SANTOS SILVA</t>
  </si>
  <si>
    <t>Maria Gabriela Stella Azevedo Neves</t>
  </si>
  <si>
    <t>Ultragaz-matriz</t>
  </si>
  <si>
    <t>Reserva importada do Sistema TMS. OS: 114903</t>
  </si>
  <si>
    <t>6P3J7S</t>
  </si>
  <si>
    <t>JOAO NUNES ROBAINA</t>
  </si>
  <si>
    <t>Reserva importada do Sistema TMS. OS: 115026</t>
  </si>
  <si>
    <t>6PO7US</t>
  </si>
  <si>
    <t>JONAS JONAS BORDIGNON</t>
  </si>
  <si>
    <t>Reserva importada do Sistema TMS. OS: 114757</t>
  </si>
  <si>
    <t>OZHACWT</t>
  </si>
  <si>
    <t>DELGADO FARIA/MARCO AURELIO</t>
  </si>
  <si>
    <t>OZHACW</t>
  </si>
  <si>
    <t>NOXBGGC</t>
  </si>
  <si>
    <t>CORSINI/HILQUIAS MR</t>
  </si>
  <si>
    <t>NOXBGG</t>
  </si>
  <si>
    <t>QDV</t>
  </si>
  <si>
    <t>Chemetall do Brasil</t>
  </si>
  <si>
    <t>6PC8DU</t>
  </si>
  <si>
    <t>EDEVALDO MACHADO</t>
  </si>
  <si>
    <t>São Paulo / GRU</t>
  </si>
  <si>
    <t>Mediservice Operadora de Planos de Saude S.a.</t>
  </si>
  <si>
    <t>Reserva importada do Sistema TMS. OS: 17984</t>
  </si>
  <si>
    <t>NUOZOET</t>
  </si>
  <si>
    <t>ESPANHA/ANDERSON PEREGO MR</t>
  </si>
  <si>
    <t>NUOZOE</t>
  </si>
  <si>
    <t>6P87XE</t>
  </si>
  <si>
    <t>HUGO ANTONIO SOUZA JUNIOR</t>
  </si>
  <si>
    <t>Reserva importada do Sistema TMS. OS: 117119</t>
  </si>
  <si>
    <t>6PM8WC</t>
  </si>
  <si>
    <t>RENATO RANGEL</t>
  </si>
  <si>
    <t>Reserva importada do Sistema TMS. OS: 117117</t>
  </si>
  <si>
    <t>6PZEVA</t>
  </si>
  <si>
    <t>ROGERIO LIMA</t>
  </si>
  <si>
    <t>Nataly Franca Regal de Castro</t>
  </si>
  <si>
    <t>Reserva importada do Sistema TMS. OS: 117022</t>
  </si>
  <si>
    <t>6PK0DJ</t>
  </si>
  <si>
    <t>GABRIELLA SILVA</t>
  </si>
  <si>
    <t>Reserva importada do Sistema TMS. OS: 117463</t>
  </si>
  <si>
    <t>6PP13U</t>
  </si>
  <si>
    <t>CHRISTIAN EDUARDO SAIS</t>
  </si>
  <si>
    <t>Reserva importada do Sistema TMS. OS: 117459</t>
  </si>
  <si>
    <t>6Q230P</t>
  </si>
  <si>
    <t>IGOR OLIVEIRA</t>
  </si>
  <si>
    <t>Reserva importada do Sistema TMS. OS: 117587</t>
  </si>
  <si>
    <t>6QT9OB</t>
  </si>
  <si>
    <t>ANA ROSA FERNANDES</t>
  </si>
  <si>
    <t>Múltiplos</t>
  </si>
  <si>
    <t>Reserva importada do Sistema TMS. OS: 117734</t>
  </si>
  <si>
    <t>6QWUPQ</t>
  </si>
  <si>
    <t>EBER TRUGILHO MOURA</t>
  </si>
  <si>
    <t>Reserva importada do Sistema TMS. OS: 117633</t>
  </si>
  <si>
    <t>6QIJYQ</t>
  </si>
  <si>
    <t>Reserva importada do Sistema TMS. OS: 117687</t>
  </si>
  <si>
    <t>6Q286A</t>
  </si>
  <si>
    <t>RAUL CARVALHO LOPES</t>
  </si>
  <si>
    <t>Reserva importada do Sistema TMS. OS: 117484</t>
  </si>
  <si>
    <t>6P2P38</t>
  </si>
  <si>
    <t>MAXWELL SILVA ALVES</t>
  </si>
  <si>
    <t>Reserva importada do Sistema TMS. OS: 117460</t>
  </si>
  <si>
    <t>6PBLXL</t>
  </si>
  <si>
    <t>BEATRIZ PINHEIRO</t>
  </si>
  <si>
    <t>Reserva importada do Sistema TMS. OS: 117458</t>
  </si>
  <si>
    <t>6PAOS9</t>
  </si>
  <si>
    <t>EVELLIN CASSIA SILVA</t>
  </si>
  <si>
    <t>Reserva importada do Sistema TMS. OS: 117456</t>
  </si>
  <si>
    <t>6PXNSL</t>
  </si>
  <si>
    <t>ARTUR DA SILVA</t>
  </si>
  <si>
    <t>Reserva importada do Sistema TMS. OS: 117455</t>
  </si>
  <si>
    <t>6PENSO</t>
  </si>
  <si>
    <t>Reserva importada do Sistema TMS. OS: 117454</t>
  </si>
  <si>
    <t>6PFO2L</t>
  </si>
  <si>
    <t>PAULO SIQUEIRA LORENCINI</t>
  </si>
  <si>
    <t>Reserva importada do Sistema TMS. OS: 117452</t>
  </si>
  <si>
    <t>6P6HNH</t>
  </si>
  <si>
    <t>GIMENEZ/ANDERSON</t>
  </si>
  <si>
    <t>Vitoria Silva Lopes</t>
  </si>
  <si>
    <t>Lojas Renner</t>
  </si>
  <si>
    <t>Reserva importada do Sistema Lemontech. Solicitação: 19507492</t>
  </si>
  <si>
    <t>6PU6NY</t>
  </si>
  <si>
    <t>AYDOS DE ASSIS/GRETA</t>
  </si>
  <si>
    <t>Reserva importada do Sistema Lemontech. Solicitação: 19507493</t>
  </si>
  <si>
    <t>6QXKSB</t>
  </si>
  <si>
    <t>MULLER/MARINA</t>
  </si>
  <si>
    <t>Reserva importada do Sistema Lemontech. Solicitação: 19509128</t>
  </si>
  <si>
    <t>6QE8WB</t>
  </si>
  <si>
    <t>DIAS MONTEIRO CHAVES/JULIANA</t>
  </si>
  <si>
    <t>Reserva importada do Sistema Lemontech. Solicitação: 19509191</t>
  </si>
  <si>
    <t>6PDL7S</t>
  </si>
  <si>
    <t>RENATO DE PAULA</t>
  </si>
  <si>
    <t>Araraquara / AQA</t>
  </si>
  <si>
    <t>Compass Uol Araraquara</t>
  </si>
  <si>
    <t>Reserva importada do Sistema TMS. OS: 44583</t>
  </si>
  <si>
    <t>6POLRU</t>
  </si>
  <si>
    <t>Reserva importada do Sistema TMS. OS: 44739</t>
  </si>
  <si>
    <t>H4703520</t>
  </si>
  <si>
    <t>Saulo Pimentel dos Santos</t>
  </si>
  <si>
    <t>Francisca Maria Mangueira</t>
  </si>
  <si>
    <t>Reserva importada do sistema Gover. Id: 4703520</t>
  </si>
  <si>
    <t>H4709754</t>
  </si>
  <si>
    <t>Reserva importada do sistema Gover. Id: 4709754</t>
  </si>
  <si>
    <t>h4706456</t>
  </si>
  <si>
    <t>Reserva importada do sistema Gover. Id: 4706456</t>
  </si>
  <si>
    <t>MELO/MICHAEL BEZERRA LOPES</t>
  </si>
  <si>
    <t>RAYANE ROCHA MONIZ</t>
  </si>
  <si>
    <t>Constellation</t>
  </si>
  <si>
    <t>Reserva importada do Sistema WOOBA. Id: 13415</t>
  </si>
  <si>
    <t>SANTOS/JOELINGTON FREITAS</t>
  </si>
  <si>
    <t>Reserva importada do Sistema WOOBA. Id: 13416</t>
  </si>
  <si>
    <t>SANTOS/FELIPE VELOSO BARBOSA</t>
  </si>
  <si>
    <t>Reserva importada do Sistema WOOBA. Id: 13417</t>
  </si>
  <si>
    <t>SILVA/AUGUSTO SILVA</t>
  </si>
  <si>
    <t>Reserva importada do Sistema WOOBA. Id: 13483</t>
  </si>
  <si>
    <t>GIBIN/FERNANDO GONCALVES</t>
  </si>
  <si>
    <t>Reserva importada do Sistema WOOBA. Id: 13484</t>
  </si>
  <si>
    <t>6PSPJO</t>
  </si>
  <si>
    <t>LEITE/AISLAN</t>
  </si>
  <si>
    <t>LUCIANA DOS SANTOS ARAUJO</t>
  </si>
  <si>
    <t>AGENCIA CENTRO SANTO ANDRE -DOM PEDRO II, 1182, JARDIM</t>
  </si>
  <si>
    <t>Biolab Centro Administrativo - Escritorio</t>
  </si>
  <si>
    <t>Reserva importada do Sistema Lemontech. Solicitação: 19553289</t>
  </si>
  <si>
    <t>6Q8ETP</t>
  </si>
  <si>
    <t>DE SOUSA/MARCELA</t>
  </si>
  <si>
    <t>Isabela de Melo da Silva</t>
  </si>
  <si>
    <t xml:space="preserve">HALL AEROPORTO DE BELEM, S/N, VAL DE CANS </t>
  </si>
  <si>
    <t>Reserva importada do Sistema Lemontech. Solicitação: 19554292</t>
  </si>
  <si>
    <t>AWYNSJT</t>
  </si>
  <si>
    <t>SULAIMAN/DAVID</t>
  </si>
  <si>
    <t>PAULO JOSE SODRE ANDRADE</t>
  </si>
  <si>
    <t>AWYNSJ</t>
  </si>
  <si>
    <t>OWSAGDT</t>
  </si>
  <si>
    <t>OLIVEIRA/FABRICIO</t>
  </si>
  <si>
    <t>OWSAGD</t>
  </si>
  <si>
    <t>OSZHZYT</t>
  </si>
  <si>
    <t>JESUS/NILMARA</t>
  </si>
  <si>
    <t>OSZHZY</t>
  </si>
  <si>
    <t>WFNIDQT</t>
  </si>
  <si>
    <t>PENA/IRMA</t>
  </si>
  <si>
    <t>WFNIDQ</t>
  </si>
  <si>
    <t>IJWSATT</t>
  </si>
  <si>
    <t>SOUZA/JOSE</t>
  </si>
  <si>
    <t>IJWSAT</t>
  </si>
  <si>
    <t>QWKSFTT</t>
  </si>
  <si>
    <t>RONDON/LIDIANE</t>
  </si>
  <si>
    <t>QWKSFT</t>
  </si>
  <si>
    <t>IIUHIAT</t>
  </si>
  <si>
    <t>GOMES/CARLOS</t>
  </si>
  <si>
    <t>IIUHIA</t>
  </si>
  <si>
    <t>FOAARGT</t>
  </si>
  <si>
    <t>SANTANA/EDSON</t>
  </si>
  <si>
    <t>FOAARG</t>
  </si>
  <si>
    <t>6PMZ5W</t>
  </si>
  <si>
    <t>LUIS CARLOS BUSTOS</t>
  </si>
  <si>
    <t>Jeane Alencar Pereira</t>
  </si>
  <si>
    <t>Taubate / SP, Brasil (QHP)</t>
  </si>
  <si>
    <t>Motiva Filial</t>
  </si>
  <si>
    <t>Reserva importada do Sistema TMS. OS: 67980</t>
  </si>
  <si>
    <t>6QRXNM</t>
  </si>
  <si>
    <t>ROGERIO ALVES</t>
  </si>
  <si>
    <t>Reserva importada do Sistema TMS. OS: 68404</t>
  </si>
  <si>
    <t>6Q6U9E</t>
  </si>
  <si>
    <t>LUCIANO ZAPLANA</t>
  </si>
  <si>
    <t>Yamaha Motor do Brasil Ltda</t>
  </si>
  <si>
    <t>Reserva importada do Sistema TMS. OS: 4702</t>
  </si>
  <si>
    <t>6PAF87</t>
  </si>
  <si>
    <t>Andre Carvalho Faissal</t>
  </si>
  <si>
    <t>Reserva importada do sistema Gover. Id: 4714384</t>
  </si>
  <si>
    <t>Accouting aérea não possui trechos (Bilhete: 2306513350)</t>
  </si>
  <si>
    <t>ANDRE CARVALHO FAISSAL</t>
  </si>
  <si>
    <t>YDIJHK</t>
  </si>
  <si>
    <t>6QEIPB</t>
  </si>
  <si>
    <t>da Silva/Marcus Felipe</t>
  </si>
  <si>
    <t>Clidec - Clinica Dentaria Especializada Cura D Ars Ltda</t>
  </si>
  <si>
    <t>Reserva importada do Sistema TMS. OS: 17932</t>
  </si>
  <si>
    <t>OCOLMC</t>
  </si>
  <si>
    <t>RENATO JOSE FERNANDES</t>
  </si>
  <si>
    <t>Juliana Cardoso</t>
  </si>
  <si>
    <t>Beluca Comercio de Vestuario</t>
  </si>
  <si>
    <t>QVIFQP</t>
  </si>
  <si>
    <t>ANA MARIA VILELA</t>
  </si>
  <si>
    <t>Luciene Carvalho Santos</t>
  </si>
  <si>
    <t>Diageo Brasil</t>
  </si>
  <si>
    <t>Reserva importada do sistema Gover. Id: 4714955</t>
  </si>
  <si>
    <t>1919319/6977477" possui uma transação de cartão efetivada</t>
  </si>
  <si>
    <t>MTDVWL</t>
  </si>
  <si>
    <t>EBOOKING</t>
  </si>
  <si>
    <t>Simões Ribeiro/Washington</t>
  </si>
  <si>
    <t>Kontrip</t>
  </si>
  <si>
    <t>obs</t>
  </si>
  <si>
    <t>GDEPME</t>
  </si>
  <si>
    <t>SANTOS/FELIPE DE MEDEIROS DOS</t>
  </si>
  <si>
    <t>Ctp - Planta Curitiba</t>
  </si>
  <si>
    <t>1908492/6974361" possui uma transação de cartão efetivada</t>
  </si>
  <si>
    <t>GAUHCC</t>
  </si>
  <si>
    <t>LEAL/EDUARDO CARDOSO</t>
  </si>
  <si>
    <t>1908490/6974360" possui uma transação de cartão efetivada</t>
  </si>
  <si>
    <t>KLOEWR</t>
  </si>
  <si>
    <t>EDUARDO ALMEIDA</t>
  </si>
  <si>
    <t>Deloitte Consultores - Sao Paulo</t>
  </si>
  <si>
    <t>Reserva importada do Sistema TMS. OS: 133538</t>
  </si>
  <si>
    <t>HDZYPK</t>
  </si>
  <si>
    <t>ASZVEI</t>
  </si>
  <si>
    <t>SILVA FERREIRA/YANE</t>
  </si>
  <si>
    <t>Centro de custo não preenchido! (ACC02)</t>
  </si>
  <si>
    <t>MLAMHH</t>
  </si>
  <si>
    <t>PEREIRA SALERNO/JULIA  MICHEL</t>
  </si>
  <si>
    <t>Baker Mckenzie - Sao Paulo</t>
  </si>
  <si>
    <t>Projeto não preenchido! (ACC01)</t>
  </si>
  <si>
    <t>DMALYS1</t>
  </si>
  <si>
    <t>FLAVIO CANTO</t>
  </si>
  <si>
    <t>Reserva importada do Sistema TMS. OS: 7038</t>
  </si>
  <si>
    <t>UFLMNB</t>
  </si>
  <si>
    <t>BARBOSA/DANIEL LUIS</t>
  </si>
  <si>
    <t>Honeywell Industria de Tecnologia - Itajuba - Mg</t>
  </si>
  <si>
    <t>LSOLDD1</t>
  </si>
  <si>
    <t>KIDNER ANGELINO PROSPERO</t>
  </si>
  <si>
    <t>Aeroporto de Teresina</t>
  </si>
  <si>
    <t>Reserva importada do Sistema TMS. OS: 68200</t>
  </si>
  <si>
    <t>OEQWSJ</t>
  </si>
  <si>
    <t>SOBRAL FILHO/JOAO</t>
  </si>
  <si>
    <t>Meguro Imobiliaria e Participacoes Eirelli</t>
  </si>
  <si>
    <t>Iberia</t>
  </si>
  <si>
    <t>NFAFCM</t>
  </si>
  <si>
    <t>FERREIRA PAGANO/RENATA MS</t>
  </si>
  <si>
    <t>SHARON STONE RODRIGUES MARQUES</t>
  </si>
  <si>
    <t>Chanel</t>
  </si>
  <si>
    <t>Air France</t>
  </si>
  <si>
    <t>Centro de custo não preenchido! (ACC01) Matrícula não preenchida! (ACC01)</t>
  </si>
  <si>
    <t>JNFJVKT</t>
  </si>
  <si>
    <t>URQUIZA/LUIZ ANTONIO COSTEIRA</t>
  </si>
  <si>
    <t>JNFJVK</t>
  </si>
  <si>
    <t>Atento Brasil S/a</t>
  </si>
  <si>
    <t>Mercure Salvador Rio Vermelho</t>
  </si>
  <si>
    <t>Carlos Martins</t>
  </si>
  <si>
    <t>Instituto Souza Cruz</t>
  </si>
  <si>
    <t>Mercure Sao Paulo Pamplona</t>
  </si>
  <si>
    <t>Reserva importada do sistema Gover. Id: 4715437</t>
  </si>
  <si>
    <t>OHBGMFT</t>
  </si>
  <si>
    <t>MARQUEZ ACOSTA/JOSE HUMBERTO</t>
  </si>
  <si>
    <t>OHBGMF</t>
  </si>
  <si>
    <t>Mercure Sao Paulo Nacoes Unidas</t>
  </si>
  <si>
    <t>6P5TXJ</t>
  </si>
  <si>
    <t>CLAUDIO PAIVA</t>
  </si>
  <si>
    <t>Mariane Goncalves dos Santos</t>
  </si>
  <si>
    <t>Helibras</t>
  </si>
  <si>
    <t>Plaza Inn Small Town</t>
  </si>
  <si>
    <t>Reserva importada do Sistema TMS. OS: 7948</t>
  </si>
  <si>
    <t>ROCHA/VANIA</t>
  </si>
  <si>
    <t>Michelly Andrade Leandro da Silva</t>
  </si>
  <si>
    <t>Kontik Business Travel - Viagens Internas</t>
  </si>
  <si>
    <t>Swan Molinos</t>
  </si>
  <si>
    <t>Reserva importada do Sistema WOOBA. Id: 13383</t>
  </si>
  <si>
    <t>Centro de custo não preenchido! (ACC01) Requisição não preenchida! (ACC01)</t>
  </si>
  <si>
    <t>KX4QQ5MKE</t>
  </si>
  <si>
    <t>Maria Eduarda Sales</t>
  </si>
  <si>
    <t>Garanhuns Palace Hotel</t>
  </si>
  <si>
    <t>Reserva importada do sistema Gover. Id: 4715200</t>
  </si>
  <si>
    <t>1931468/6981994" possui uma transação de cartão efetivada</t>
  </si>
  <si>
    <t>QPUMLXT</t>
  </si>
  <si>
    <t>TEIXEIRA/OMAR MR</t>
  </si>
  <si>
    <t>QPUMLX</t>
  </si>
  <si>
    <t>Jti Distribuidora - Sao Paulo - Vila Nova Conceicao</t>
  </si>
  <si>
    <t>Grand Mercure Brasilia Eixo Monumental</t>
  </si>
  <si>
    <t>Centro de custo não preenchido! (ACC01) Empenho/departamento não preenchido! (ACC01)</t>
  </si>
  <si>
    <t>Hotel Solar das Mangueiras</t>
  </si>
  <si>
    <t>Reis Palace Hotel</t>
  </si>
  <si>
    <t>6QRNGS</t>
  </si>
  <si>
    <t>JAISON PEREIRA DE OLIVEIRA</t>
  </si>
  <si>
    <t>RIBEIRAO PRETO</t>
  </si>
  <si>
    <t>Intercement</t>
  </si>
  <si>
    <t>Localiza - Br - Sp - Ribeirao Preto - Aeroporto</t>
  </si>
  <si>
    <t>FGGQCC</t>
  </si>
  <si>
    <t>PINHEIRO DE MENDONCA/MARCELO</t>
  </si>
  <si>
    <t>VHPN8V</t>
  </si>
  <si>
    <t>rui pinhal/mario</t>
  </si>
  <si>
    <t>QKUSHM</t>
  </si>
  <si>
    <t>Caporal/Rosana</t>
  </si>
  <si>
    <t>ZFEBXR</t>
  </si>
  <si>
    <t>Rodrigo Teixeira dos Anjos</t>
  </si>
  <si>
    <t>Santista Textil Americana</t>
  </si>
  <si>
    <t>Reserva importada do sistema Gover. Id: 4714681</t>
  </si>
  <si>
    <t>6QT8MM</t>
  </si>
  <si>
    <t>Castro/Ronaldi</t>
  </si>
  <si>
    <t>Reserva importada do Sistema TMS. OS: 17930</t>
  </si>
  <si>
    <t>6QHI0B</t>
  </si>
  <si>
    <t>6QUIMP</t>
  </si>
  <si>
    <t>6QIKM0</t>
  </si>
  <si>
    <t>6QPI0P</t>
  </si>
  <si>
    <t>6QQKP0</t>
  </si>
  <si>
    <t>6QWK0P</t>
  </si>
  <si>
    <t>KKWKIS</t>
  </si>
  <si>
    <t>VINICIUS AUGUSTO DOS SANTOS KIESKI</t>
  </si>
  <si>
    <t>Ernani Afranio dos Santos</t>
  </si>
  <si>
    <t>Turkish Airlines</t>
  </si>
  <si>
    <t>KMPBUQT</t>
  </si>
  <si>
    <t>BONATTI MANARA/JOAO PAULO MR</t>
  </si>
  <si>
    <t>202652151-99300</t>
  </si>
  <si>
    <t>Basf Catalisadores</t>
  </si>
  <si>
    <t>Deville Prime Salvador</t>
  </si>
  <si>
    <t>WTOAETT</t>
  </si>
  <si>
    <t>POSSANI COSTALONGA/BRUNO LUIS MR</t>
  </si>
  <si>
    <t>E1SIXL2KM</t>
  </si>
  <si>
    <t>Iranildo Pereira da Silva</t>
  </si>
  <si>
    <t>Hotel Colonial Braganca Paulista</t>
  </si>
  <si>
    <t>Hotel Flor da Chapada</t>
  </si>
  <si>
    <t>ASZVEIT</t>
  </si>
  <si>
    <t>6PJD54</t>
  </si>
  <si>
    <t>Reserva importada do Sistema TMS. OS: 115498</t>
  </si>
  <si>
    <t>h4714240</t>
  </si>
  <si>
    <t>Pousada Pedra Bonita</t>
  </si>
  <si>
    <t>Reserva importada do sistema Gover. Id: 4714240</t>
  </si>
  <si>
    <t>AFONSO THUME</t>
  </si>
  <si>
    <t>Bristol Aline Alagoas</t>
  </si>
  <si>
    <t>h4705364</t>
  </si>
  <si>
    <t>Reserva importada do sistema Gover. Id: 4705364</t>
  </si>
  <si>
    <t>GILBERTO MATTIA</t>
  </si>
  <si>
    <t>RES001081-23323</t>
  </si>
  <si>
    <t>Nyelle Praciano de Freitas</t>
  </si>
  <si>
    <t>Hotel Jeri</t>
  </si>
  <si>
    <t>Reserva importada do sistema Gover. Id: 4714986</t>
  </si>
  <si>
    <t>1919317/6977476" possui uma transação de cartão efetivada</t>
  </si>
  <si>
    <t>Hotel Sandis Mirante</t>
  </si>
  <si>
    <t>6QQAJ2</t>
  </si>
  <si>
    <t>GABRIEL PAOLINELLI BAMBIRRA</t>
  </si>
  <si>
    <t>Hampton By Hilton Montevideo Carrasco</t>
  </si>
  <si>
    <t>CAMILA CAROLINE RENDEIRO GILDO</t>
  </si>
  <si>
    <t>Jetsmart Spa</t>
  </si>
  <si>
    <t xml:space="preserve">Dias Araujo/Carla </t>
  </si>
  <si>
    <t>Simple Organic Beauty</t>
  </si>
  <si>
    <t>Reserva importada do Sistema WOOBA. Id: 13612</t>
  </si>
  <si>
    <t>Vilmar Maciel de Lima</t>
  </si>
  <si>
    <t>ALEXANDRE DA CONCEIÇÃO ALVES</t>
  </si>
  <si>
    <t>Reserva importada do sistema Gover. Id: 4715922</t>
  </si>
  <si>
    <t>AVD5Y4LRQA</t>
  </si>
  <si>
    <t>Angelo Araujo dos Santos</t>
  </si>
  <si>
    <t>Localiza -Vitoria da Conquista - Aeroporto Endereço: Rodovia Santos Dumont, Br 116, Km 832 - Distrit</t>
  </si>
  <si>
    <t>Zf do Brasil - Divisao Ma</t>
  </si>
  <si>
    <t>Reserva importada do sistema Gover. Id: 4716868</t>
  </si>
  <si>
    <t>6RUALW</t>
  </si>
  <si>
    <t>ANDRE PELLICIOLI</t>
  </si>
  <si>
    <t>Reserva importada do Sistema TMS. OS: 21589</t>
  </si>
  <si>
    <t>6RYCJC</t>
  </si>
  <si>
    <t>GUSTAVO MING</t>
  </si>
  <si>
    <t>Santo André / QSE</t>
  </si>
  <si>
    <t>Reserva importada do Sistema TMS. OS: 21620</t>
  </si>
  <si>
    <t>6ROC73</t>
  </si>
  <si>
    <t>CARLOS FARIA</t>
  </si>
  <si>
    <t>Fortaleza / FOR</t>
  </si>
  <si>
    <t>Reserva importada do Sistema TMS. OS: 21616</t>
  </si>
  <si>
    <t>6RAF7E</t>
  </si>
  <si>
    <t>LUIS ROCHA</t>
  </si>
  <si>
    <t>Reserva importada do Sistema TMS. OS: 21491</t>
  </si>
  <si>
    <t>6RN4Z3</t>
  </si>
  <si>
    <t>OTAVIO SILVA</t>
  </si>
  <si>
    <t>Petroreconcavo S/a</t>
  </si>
  <si>
    <t>Reserva importada do Sistema TMS. OS: 22655</t>
  </si>
  <si>
    <t>5654172-1</t>
  </si>
  <si>
    <t>Pompeu/Carlos Pompeu</t>
  </si>
  <si>
    <t>Reserva importada do Sistema WOOBA. Id: 13650</t>
  </si>
  <si>
    <t xml:space="preserve">Ferrarezzi/Andre </t>
  </si>
  <si>
    <t>Reserva importada do Sistema WOOBA. Id: 13795</t>
  </si>
  <si>
    <t>OSJEILC</t>
  </si>
  <si>
    <t>CARDOSO ONO/MARIANA DE KASSIA</t>
  </si>
  <si>
    <t>OSJEIL</t>
  </si>
  <si>
    <t>MCI</t>
  </si>
  <si>
    <t>Elanco - Morumbi</t>
  </si>
  <si>
    <t>HZXEQNT</t>
  </si>
  <si>
    <t>ALVES LOWEN/NAJARA FERNANDA DO</t>
  </si>
  <si>
    <t>HZXEQN</t>
  </si>
  <si>
    <t>QCFQVDT</t>
  </si>
  <si>
    <t>CAPPELLANES FLOCKE/MARIANA HADDAD</t>
  </si>
  <si>
    <t>QCFQVD</t>
  </si>
  <si>
    <t>6RHDVE</t>
  </si>
  <si>
    <t>Reserva importada do Sistema TMS. OS: 331637</t>
  </si>
  <si>
    <t>SYRPEUT</t>
  </si>
  <si>
    <t>GASPAR DE SOUSA/DENYSE</t>
  </si>
  <si>
    <t>SYRPEU</t>
  </si>
  <si>
    <t>Wanderson da Silva Nunes</t>
  </si>
  <si>
    <t>Linhas de Taubate Transmissora de Energia Sa</t>
  </si>
  <si>
    <t>Reserva importada do sistema Gover. Id: 4717746</t>
  </si>
  <si>
    <t>Idelmar Araujo Sousa</t>
  </si>
  <si>
    <t>Reserva importada do sistema Gover. Id: 4717749</t>
  </si>
  <si>
    <t>Lazaro Pires de Amorim</t>
  </si>
  <si>
    <t>Reserva importada do sistema Gover. Id: 4717901</t>
  </si>
  <si>
    <t>Renato Barbosa Goncalves</t>
  </si>
  <si>
    <t>Reserva importada do sistema Gover. Id: 4717903</t>
  </si>
  <si>
    <t>Amauri dos Santos Junior</t>
  </si>
  <si>
    <t>Reserva importada do sistema Gover. Id: 4717909</t>
  </si>
  <si>
    <t>Washington da Costa Suzarte</t>
  </si>
  <si>
    <t>Reserva importada do sistema Gover. Id: 4717916</t>
  </si>
  <si>
    <t>Giomar Ribeiro Rocha</t>
  </si>
  <si>
    <t>Reserva importada do sistema Gover. Id: 4717905</t>
  </si>
  <si>
    <t>ELTRQQC</t>
  </si>
  <si>
    <t>ABATEPAULO/LEANDRO</t>
  </si>
  <si>
    <t>ELTRQQ</t>
  </si>
  <si>
    <t>NAT</t>
  </si>
  <si>
    <t>Bdb Ferramentas do Brasil Ltda</t>
  </si>
  <si>
    <t>6REMYC</t>
  </si>
  <si>
    <t>PEDRO SOUZA ALVES</t>
  </si>
  <si>
    <t>São Paulo / SAO</t>
  </si>
  <si>
    <t>Reserva importada do Sistema TMS. OS: 116438</t>
  </si>
  <si>
    <t>6R162G</t>
  </si>
  <si>
    <t>FABIO RICARDO ALVES</t>
  </si>
  <si>
    <t>Joao Pessoa / JPA</t>
  </si>
  <si>
    <t>Reserva importada do Sistema TMS. OS: 116668</t>
  </si>
  <si>
    <t>NSPJNTC</t>
  </si>
  <si>
    <t>FONSECA/THIAGO ABUD MR</t>
  </si>
  <si>
    <t>NSPJNT</t>
  </si>
  <si>
    <t>GYN</t>
  </si>
  <si>
    <t>Ca Pesquisa e Comercio de Sementes</t>
  </si>
  <si>
    <t>QCIDRLT</t>
  </si>
  <si>
    <t>LISBOA/CARLA DE MELO MRS</t>
  </si>
  <si>
    <t>QCIDRL</t>
  </si>
  <si>
    <t>6RYVLX</t>
  </si>
  <si>
    <t>GOUW/TATIANA</t>
  </si>
  <si>
    <t>Reserva importada do Sistema Lemontech. Solicitação: 19583130</t>
  </si>
  <si>
    <t>6R3JK2</t>
  </si>
  <si>
    <t>AGNALDO DA SILVA COSTA</t>
  </si>
  <si>
    <t>DEIVID DA SILVA ORTOLAN</t>
  </si>
  <si>
    <t>Reserva importada do Sistema Lemontech. Solicitação: 19593800</t>
  </si>
  <si>
    <t>6RH7KS</t>
  </si>
  <si>
    <t>KENNETH EDUARDO DOS SANTOS GONCALVES</t>
  </si>
  <si>
    <t>Reserva importada do Sistema Lemontech. Solicitação: 19593801</t>
  </si>
  <si>
    <t>6RXP6P</t>
  </si>
  <si>
    <t>DE SOUZA/MARINA</t>
  </si>
  <si>
    <t>Reserva importada do Sistema Lemontech. Solicitação: 19570794</t>
  </si>
  <si>
    <t>6R2ZEA</t>
  </si>
  <si>
    <t>NASCIMENTO TORRES/JANAINA</t>
  </si>
  <si>
    <t>Reserva importada do Sistema Lemontech. Solicitação: 19576817</t>
  </si>
  <si>
    <t>6Q93AI</t>
  </si>
  <si>
    <t>DOS SANTOS/VINICIUS</t>
  </si>
  <si>
    <t>Humberto da Fontoura</t>
  </si>
  <si>
    <t>loja aeroporto fln</t>
  </si>
  <si>
    <t>Reserva importada do Sistema Lemontech. Solicitação: 19563131</t>
  </si>
  <si>
    <t>6RXHIC</t>
  </si>
  <si>
    <t>MARINALVA FREITAS DA SILVA</t>
  </si>
  <si>
    <t>William da Cruz Canteiro</t>
  </si>
  <si>
    <t>Reserva importada do Sistema Lemontech. Solicitação: 19598005</t>
  </si>
  <si>
    <t>6RJH8E</t>
  </si>
  <si>
    <t>ZANOTTO/ELTON</t>
  </si>
  <si>
    <t>Aeroporto de Cascavel</t>
  </si>
  <si>
    <t>Reserva importada do Sistema Lemontech. Solicitação: 19602242</t>
  </si>
  <si>
    <t>ATBXEUT</t>
  </si>
  <si>
    <t>BARBOZA/GIOVANA GEMIGNANI MATTOS MS</t>
  </si>
  <si>
    <t>Adriana Vieira de Freitas dos Santos</t>
  </si>
  <si>
    <t>Shell</t>
  </si>
  <si>
    <t>NWEPJNT</t>
  </si>
  <si>
    <t>CAMPOS/FLAVIO DE COSTA MR</t>
  </si>
  <si>
    <t>WNUYNAT</t>
  </si>
  <si>
    <t>MATOS/PAULO JOSE NUNES MR</t>
  </si>
  <si>
    <t>FONE</t>
  </si>
  <si>
    <t>MFFXRAT</t>
  </si>
  <si>
    <t>OLIVEIRA/FABIO MR</t>
  </si>
  <si>
    <t>6Q58O5</t>
  </si>
  <si>
    <t>LENOIR JEREMIAS</t>
  </si>
  <si>
    <t>Enaex</t>
  </si>
  <si>
    <t>Reserva importada do Sistema TMS. OS: 35281</t>
  </si>
  <si>
    <t>6RNJPE</t>
  </si>
  <si>
    <t>JEDERSON FERREIRA</t>
  </si>
  <si>
    <t>Marcia Fernandes de Sousa</t>
  </si>
  <si>
    <t>Reserva importada do Sistema TMS. OS: 35329</t>
  </si>
  <si>
    <t>6RA80E</t>
  </si>
  <si>
    <t>RANILTO SOBRINHO</t>
  </si>
  <si>
    <t>Reserva importada do Sistema TMS. OS: 35328</t>
  </si>
  <si>
    <t>6RTMTE</t>
  </si>
  <si>
    <t>AUGUSTO CESAR SANTANA BINDA</t>
  </si>
  <si>
    <t>Reserva importada do Sistema TMS. OS: 35354</t>
  </si>
  <si>
    <t>6RQJYE</t>
  </si>
  <si>
    <t>BONDEZAN/CLEBER</t>
  </si>
  <si>
    <t>AGÊNCIA AEROPORTO - CHAPECO</t>
  </si>
  <si>
    <t>Reserva importada do Sistema Lemontech. Solicitação: 19573506</t>
  </si>
  <si>
    <t>6RDJY3</t>
  </si>
  <si>
    <t>MARANGON JR/ALDO</t>
  </si>
  <si>
    <t>AGENCIA AEROPORTO LONDRINA</t>
  </si>
  <si>
    <t>Reserva importada do Sistema Lemontech. Solicitação: 19578857</t>
  </si>
  <si>
    <t>6RVLHE</t>
  </si>
  <si>
    <t>NEVES/DAIANE</t>
  </si>
  <si>
    <t>AEROPORTO MACAPA II</t>
  </si>
  <si>
    <t>Reserva importada do Sistema Lemontech. Solicitação: 19597009</t>
  </si>
  <si>
    <t>6RUNH3</t>
  </si>
  <si>
    <t>AGENCIA AEROPORTO ALTAMIRA</t>
  </si>
  <si>
    <t>Reserva importada do Sistema Lemontech. Solicitação: 19598085</t>
  </si>
  <si>
    <t>6RY23E</t>
  </si>
  <si>
    <t>Fernando Augusto Santiago da Silva</t>
  </si>
  <si>
    <t>AVENIDA JULIO CESAR , 0  - VALDECANS</t>
  </si>
  <si>
    <t>Reserva importada do Sistema Lemontech. Solicitação: 19599045</t>
  </si>
  <si>
    <t>6RS6U1</t>
  </si>
  <si>
    <t>FREIRE CRIVELARI/ALEXANDRE</t>
  </si>
  <si>
    <t>Lemontech</t>
  </si>
  <si>
    <t>Reserva importada do Sistema Lemontech. Solicitação: 19590717</t>
  </si>
  <si>
    <t>6QB1R5</t>
  </si>
  <si>
    <t>OLIVEIRA CAMPOS/LUCAS</t>
  </si>
  <si>
    <t>AVENIDA DOUTOR TIMOTEO PENTEADO , 3575  - VILA GALVAO</t>
  </si>
  <si>
    <t>Reserva importada do Sistema Lemontech. Solicitação: 19562324</t>
  </si>
  <si>
    <t>6RU31M</t>
  </si>
  <si>
    <t>CORDEIRO ASSUNCAO/SILVIA</t>
  </si>
  <si>
    <t xml:space="preserve">  SETE DE SETEMBRO, 2950, CENTRO </t>
  </si>
  <si>
    <t>Reserva importada do Sistema Lemontech. Solicitação: 19549597</t>
  </si>
  <si>
    <t>6QJ7F9</t>
  </si>
  <si>
    <t>Reserva importada do Sistema Lemontech. Solicitação: 19578510</t>
  </si>
  <si>
    <t>6QJQ1Y</t>
  </si>
  <si>
    <t>ALICE DA ROCHA</t>
  </si>
  <si>
    <t>Reserva importada do Sistema TMS. OS: 114103</t>
  </si>
  <si>
    <t>6R8QTZ</t>
  </si>
  <si>
    <t>Reserva importada do Sistema TMS. OS: 118363</t>
  </si>
  <si>
    <t>6RWS51</t>
  </si>
  <si>
    <t>ROMULO PASSOS SILVA</t>
  </si>
  <si>
    <t>Leandra Vitória Gomes Santos</t>
  </si>
  <si>
    <t>Reserva importada do Sistema TMS. OS: 118336</t>
  </si>
  <si>
    <t>6R4S6S</t>
  </si>
  <si>
    <t>LEANDRO BEZERRA SALES</t>
  </si>
  <si>
    <t>BIANCA BARBOSA DA SILVA</t>
  </si>
  <si>
    <t>Reserva importada do Sistema TMS. OS: 118427</t>
  </si>
  <si>
    <t>6R3PT1</t>
  </si>
  <si>
    <t>JONAS DOS SANTOS</t>
  </si>
  <si>
    <t>Oceanpact Logistica</t>
  </si>
  <si>
    <t>Reserva importada do Sistema TMS. OS: 118396</t>
  </si>
  <si>
    <t>6Q5G79</t>
  </si>
  <si>
    <t>FABIANO GIARETTA</t>
  </si>
  <si>
    <t>Hpe Automotores - Sao Paulo</t>
  </si>
  <si>
    <t>Reserva importada do Sistema TMS. OS: 8009</t>
  </si>
  <si>
    <t>Flavio Teixeira Neto</t>
  </si>
  <si>
    <t>Reserva importada do sistema Gover. Id: 4716540</t>
  </si>
  <si>
    <t>6R344Q</t>
  </si>
  <si>
    <t>RODRIGO GALDINO</t>
  </si>
  <si>
    <t>Belo Horizonte / CNF</t>
  </si>
  <si>
    <t>Epson</t>
  </si>
  <si>
    <t>Reserva importada do Sistema TMS. OS: 6518</t>
  </si>
  <si>
    <t>EZEMYBT</t>
  </si>
  <si>
    <t>PIRES FREIRE/ISADORA</t>
  </si>
  <si>
    <t>EZEMYB</t>
  </si>
  <si>
    <t>LPPJIVT</t>
  </si>
  <si>
    <t>PACHECO/FLAVIO</t>
  </si>
  <si>
    <t>LPPJIV</t>
  </si>
  <si>
    <t>NFZPEWC</t>
  </si>
  <si>
    <t>KIMURA SHIMURA/LILIAN YUKIKO MRS</t>
  </si>
  <si>
    <t>NFZPEW</t>
  </si>
  <si>
    <t>PVH</t>
  </si>
  <si>
    <t>6Q16WH</t>
  </si>
  <si>
    <t>WANDERLEI FERNANDO BRUNHOLI</t>
  </si>
  <si>
    <t>Presidente Prudente / PPB</t>
  </si>
  <si>
    <t>Pagseguro Internet Instituicao de Pagamento S.a.</t>
  </si>
  <si>
    <t>Reserva importada do Sistema TMS. OS: 44873</t>
  </si>
  <si>
    <t>Eder Machado Galvao</t>
  </si>
  <si>
    <t>Reserva importada do sistema Gover. Id: 4717990</t>
  </si>
  <si>
    <t>h4716838a</t>
  </si>
  <si>
    <t>Euton Ribeiro de Franca Junior</t>
  </si>
  <si>
    <t>Reserva importada do sistema Gover. Id: 4716838</t>
  </si>
  <si>
    <t>Wanderson Gama da Silva</t>
  </si>
  <si>
    <t>NFZPEWT</t>
  </si>
  <si>
    <t>h4715519a</t>
  </si>
  <si>
    <t>Mauricio Gabriel Souza Heinen</t>
  </si>
  <si>
    <t>Reserva importada do sistema Gover. Id: 4715519</t>
  </si>
  <si>
    <t>DOS REIS CALDERIM/CHARLY WASHINGTON</t>
  </si>
  <si>
    <t>Fabiane de Souza Mantovani</t>
  </si>
  <si>
    <t>Reserva importada do Sistema WOOBA. Id: 13790</t>
  </si>
  <si>
    <t>FRAGA GODOY/VALBER</t>
  </si>
  <si>
    <t>Reserva importada do Sistema WOOBA. Id: 13791</t>
  </si>
  <si>
    <t>DE MORAES/ELIO MASLOWSKI</t>
  </si>
  <si>
    <t>Reserva importada do Sistema WOOBA. Id: 13714</t>
  </si>
  <si>
    <t>FARIAS/MARCUS</t>
  </si>
  <si>
    <t>Reserva importada do Sistema WOOBA. Id: 13775</t>
  </si>
  <si>
    <t>HPSCOMT</t>
  </si>
  <si>
    <t>WOITECHEN/ANDERSON</t>
  </si>
  <si>
    <t>HPSCOM</t>
  </si>
  <si>
    <t>6Q3637</t>
  </si>
  <si>
    <t>EDLEA ASSUNCAO</t>
  </si>
  <si>
    <t>Bernoulli Sistema de Ensino - Belo Horizonte</t>
  </si>
  <si>
    <t>Reserva importada do Sistema TMS. OS: 16870</t>
  </si>
  <si>
    <t>6RFUVD</t>
  </si>
  <si>
    <t>JORGE EDUARDO SANTOS</t>
  </si>
  <si>
    <t>Reserva importada do Sistema TMS. OS: 17121</t>
  </si>
  <si>
    <t>6QHQLY</t>
  </si>
  <si>
    <t>LUCAS CENCI ARAGAO</t>
  </si>
  <si>
    <t>Reserva importada do Sistema TMS. OS: 68466</t>
  </si>
  <si>
    <t>6R7SN0</t>
  </si>
  <si>
    <t>ALEXANDRE APOSTOLOPOULOS</t>
  </si>
  <si>
    <t>Sao Bernardo do Campo / SBC</t>
  </si>
  <si>
    <t>Reserva importada do Sistema TMS. OS: 68713</t>
  </si>
  <si>
    <t>6RAWGW</t>
  </si>
  <si>
    <t>RICARDO BERCOT GALA</t>
  </si>
  <si>
    <t>Bloco Central</t>
  </si>
  <si>
    <t>Reserva importada do Sistema TMS. OS: 68820</t>
  </si>
  <si>
    <t>6Q13NN</t>
  </si>
  <si>
    <t>SILVANA SILVA</t>
  </si>
  <si>
    <t>Banco Yamaha Motor do Brasil Sa Cj</t>
  </si>
  <si>
    <t>Reserva importada do Sistema TMS. OS: 4799</t>
  </si>
  <si>
    <t>6Q8J26</t>
  </si>
  <si>
    <t>JEFERSON BEU</t>
  </si>
  <si>
    <t>Yamaha Motor da Amazonia Ltda - Inativo</t>
  </si>
  <si>
    <t>Reserva importada do Sistema TMS. OS: 4706</t>
  </si>
  <si>
    <t>6Q51C5</t>
  </si>
  <si>
    <t>ERIKA PIOVEZAN</t>
  </si>
  <si>
    <t>BRUNA SPOSITO SOUSA DA SILVA</t>
  </si>
  <si>
    <t>Reserva importada do Sistema TMS. OS: 4573</t>
  </si>
  <si>
    <t>6RQGUC</t>
  </si>
  <si>
    <t>EVANIA PEREIRA DA SILVA</t>
  </si>
  <si>
    <t>CORA TORLAI CIRINO</t>
  </si>
  <si>
    <t>Londrina / PR, Brasil (LDB)</t>
  </si>
  <si>
    <t>Syngenta Seeds</t>
  </si>
  <si>
    <t>Reserva importada do Sistema TMS. OS: 9627</t>
  </si>
  <si>
    <t>6Q8HOI</t>
  </si>
  <si>
    <t>ERIC TORRES</t>
  </si>
  <si>
    <t>Tbsi</t>
  </si>
  <si>
    <t>Reserva importada do Sistema TMS. OS: 1451</t>
  </si>
  <si>
    <t>6QRLSL</t>
  </si>
  <si>
    <t>THAIS CARVALHO</t>
  </si>
  <si>
    <t>Renata Claudia de Oliveira</t>
  </si>
  <si>
    <t>Pwcsbc Strategy&amp; do Brasil</t>
  </si>
  <si>
    <t>Reserva importada do Sistema TMS. OS: 3784</t>
  </si>
  <si>
    <t>6RNR82</t>
  </si>
  <si>
    <t>JANAINA OLIVEIRA</t>
  </si>
  <si>
    <t>Ercy Iwamoto</t>
  </si>
  <si>
    <t>Reserva importada do Sistema TMS. OS: 3828</t>
  </si>
  <si>
    <t>QBSTBX</t>
  </si>
  <si>
    <t>PAULO ROBERTO FILHO</t>
  </si>
  <si>
    <t>Adm do Brasil Ltda</t>
  </si>
  <si>
    <t>Reserva importada do sistema Gover. Id: 4718203</t>
  </si>
  <si>
    <t>ADUYNHT</t>
  </si>
  <si>
    <t>YUKUYAMA/MEGUMI NISHITANI DR</t>
  </si>
  <si>
    <t>Felipe Anderson da Silva</t>
  </si>
  <si>
    <t>3NVH</t>
  </si>
  <si>
    <t>Ingredion Br</t>
  </si>
  <si>
    <t>WTBGYAT</t>
  </si>
  <si>
    <t>LEVARD/NICOLAS HUBERT MARIE</t>
  </si>
  <si>
    <t>UXWOYR1</t>
  </si>
  <si>
    <t>JULIANA ROMAO ROMERO</t>
  </si>
  <si>
    <t>Metro Bahia</t>
  </si>
  <si>
    <t>Reserva importada do Sistema TMS. OS: 68609</t>
  </si>
  <si>
    <t>WTMGVG</t>
  </si>
  <si>
    <t>SERGIO SCHWARTZ</t>
  </si>
  <si>
    <t>Nathalia dos Santos Batista</t>
  </si>
  <si>
    <t>Reserva importada do Sistema TMS. OS: 3829</t>
  </si>
  <si>
    <t>GFXXYX</t>
  </si>
  <si>
    <t>MACHADO/JULIANA</t>
  </si>
  <si>
    <t>CQVLQE</t>
  </si>
  <si>
    <t>Baker Mckenzie - Brasillia</t>
  </si>
  <si>
    <t>ASWBTE</t>
  </si>
  <si>
    <t>MORAIS DO NASCIMENTO DE VILA/FERNANDA MS</t>
  </si>
  <si>
    <t>WPRSXE</t>
  </si>
  <si>
    <t>MACHADO/RENATA</t>
  </si>
  <si>
    <t>Ihs Informacoes Rio de Janeiro</t>
  </si>
  <si>
    <t>GJIYKI</t>
  </si>
  <si>
    <t>NOGUEIRA DA SILVA/CARLA PRISCILLA</t>
  </si>
  <si>
    <t>IXLSGH</t>
  </si>
  <si>
    <t>Visao Mundial</t>
  </si>
  <si>
    <t>GHHFID</t>
  </si>
  <si>
    <t>LEONARDO SCHLEINSTEIN</t>
  </si>
  <si>
    <t>Claudia Lucia Stella</t>
  </si>
  <si>
    <t>Odontoprev Servicos Ltda</t>
  </si>
  <si>
    <t>Reserva importada do Sistema TMS. OS: 18084</t>
  </si>
  <si>
    <t>A venda possui enriquecimento de dados pendente. Aguarde a conclusão antes de prosseguir</t>
  </si>
  <si>
    <t>GFNAUO</t>
  </si>
  <si>
    <t>CARLOS AMERICO CAMILO DE CARVALHO</t>
  </si>
  <si>
    <t>SAMANTHA OLIVEIRA NASCIMENTO</t>
  </si>
  <si>
    <t>Reserva importada do Sistema TMS. OS: 116398</t>
  </si>
  <si>
    <t>UCYZQS0</t>
  </si>
  <si>
    <t>EDMUNDO MOCHENSKI</t>
  </si>
  <si>
    <t>Deloitte Outsourcing - Curitiba</t>
  </si>
  <si>
    <t>Reserva importada do Sistema TMS. OS: 133718</t>
  </si>
  <si>
    <t xml:space="preserve">Autorização do cartão da forma de pagamento não preenchida! (ACC01) Autorização do cartão da forma de recebimento não preenchida! (ACC01) Tarifa </t>
  </si>
  <si>
    <t>UABIJI</t>
  </si>
  <si>
    <t>JOAO VITOR SILVA MOREIRA</t>
  </si>
  <si>
    <t>Loizy Lima de Oliveira</t>
  </si>
  <si>
    <t>Petroreconcavo</t>
  </si>
  <si>
    <t>DUFXJZ</t>
  </si>
  <si>
    <t>SERGIO SOUZA</t>
  </si>
  <si>
    <t>Wilson Jose Araujo de Gusmao Junior</t>
  </si>
  <si>
    <t>Reserva importada do Sistema TMS. OS: 21460</t>
  </si>
  <si>
    <t>AYBDMU</t>
  </si>
  <si>
    <t>MORAES/MARCELLO MR</t>
  </si>
  <si>
    <t>Tv Gazeta</t>
  </si>
  <si>
    <t>Reserva importada do Sistema WOOBA. Id: 16424</t>
  </si>
  <si>
    <t>QCPWDW</t>
  </si>
  <si>
    <t>DUBOIS/VINCENT MR</t>
  </si>
  <si>
    <t>Reserva importada do Sistema WOOBA. Id: 15953</t>
  </si>
  <si>
    <t>JYXDIJ</t>
  </si>
  <si>
    <t>JOSE BULHOES</t>
  </si>
  <si>
    <t>Reserva importada do Sistema TMS. OS: 21520</t>
  </si>
  <si>
    <t>WVHKCO</t>
  </si>
  <si>
    <t xml:space="preserve"> ROBERTO ALVAREZ/MARCIO</t>
  </si>
  <si>
    <t>AHTYEY</t>
  </si>
  <si>
    <t>HENRIQUE ALBUQUERQUE/SAULO</t>
  </si>
  <si>
    <t>GEZLPB</t>
  </si>
  <si>
    <t>YES2JM</t>
  </si>
  <si>
    <t>CMDXLP</t>
  </si>
  <si>
    <t>DAMASCENO/SÓSTENES</t>
  </si>
  <si>
    <t>NHYBJP</t>
  </si>
  <si>
    <t>YIGHFH</t>
  </si>
  <si>
    <t>BRITO DA SILVA/FERNANDO CARLOS</t>
  </si>
  <si>
    <t>Reserva importada do Sistema WOOBA. Id: 16377</t>
  </si>
  <si>
    <t>YIGHFH-3</t>
  </si>
  <si>
    <t>Reserva importada do Sistema WOOBA. Id: 16378</t>
  </si>
  <si>
    <t>EPQYIN</t>
  </si>
  <si>
    <t>Alessandro Vitorino/Marcelo</t>
  </si>
  <si>
    <t>Avianca Internacional</t>
  </si>
  <si>
    <t>Centro de custo não preenchido! (ACC01) Matrícula não preenchida! (ACC01) Finalidade não preenchida! (ACC01)</t>
  </si>
  <si>
    <t>AHD55B</t>
  </si>
  <si>
    <t>VANESSA LOBATO PIVA AZEVEDO</t>
  </si>
  <si>
    <t>Aeromexico</t>
  </si>
  <si>
    <t>Reserva importada do Sistema TMS. OS: 1590</t>
  </si>
  <si>
    <t>AHGXIZ</t>
  </si>
  <si>
    <t>KQHYCZ</t>
  </si>
  <si>
    <t>Marcio Wilson Manchini</t>
  </si>
  <si>
    <t>Hypera S.a.</t>
  </si>
  <si>
    <t>Reserva importada do sistema Gover. Id: 4678428</t>
  </si>
  <si>
    <t>Accouting aérea não possui trechos (Bilhete: 2279912122)</t>
  </si>
  <si>
    <t>LA9578885OOLD</t>
  </si>
  <si>
    <t>OLIVEIRA/MIZAEL</t>
  </si>
  <si>
    <t>LUQDAO</t>
  </si>
  <si>
    <t>LUCIANA FERNANDES</t>
  </si>
  <si>
    <t>Reserva importada do Sistema TMS. OS: 21518</t>
  </si>
  <si>
    <t>KHIPQN</t>
  </si>
  <si>
    <t>RAPHAEL CAMPOS</t>
  </si>
  <si>
    <t>Reserva importada do Sistema TMS. OS: 21551</t>
  </si>
  <si>
    <t>KGKWHC</t>
  </si>
  <si>
    <t>NEVLNP</t>
  </si>
  <si>
    <t>DIEGO ZEOLLA</t>
  </si>
  <si>
    <t>Reserva importada do Sistema TMS. OS: 21509</t>
  </si>
  <si>
    <t>UXUDRL</t>
  </si>
  <si>
    <t>MARCIO PITZER</t>
  </si>
  <si>
    <t>Reserva importada do Sistema TMS. OS: 21490</t>
  </si>
  <si>
    <t>JKRRJL</t>
  </si>
  <si>
    <t>CAMILLA TAPIAS</t>
  </si>
  <si>
    <t>Reserva importada do Sistema TMS. OS: 21569</t>
  </si>
  <si>
    <t>NEZKRT</t>
  </si>
  <si>
    <t>MELO/RENATA FRANCO DE ALMEIDA MS</t>
  </si>
  <si>
    <t>Vertex Farmaceutica do Brasil</t>
  </si>
  <si>
    <t>NRYODP</t>
  </si>
  <si>
    <t>COREZOLA/EDUARDO FAGGION</t>
  </si>
  <si>
    <t>GZCSIV</t>
  </si>
  <si>
    <t>JULIO HENRIQUE LOTTERMANN</t>
  </si>
  <si>
    <t>Reserva importada do Sistema TMS. OS: 21521</t>
  </si>
  <si>
    <t>YTRYVI</t>
  </si>
  <si>
    <t>LOPES/MATHEUS GOMES</t>
  </si>
  <si>
    <t>Beatrys Ferreira Rocha</t>
  </si>
  <si>
    <t>QBPAYX</t>
  </si>
  <si>
    <t>MUDYRV</t>
  </si>
  <si>
    <t>ROGERIO ESTRELA CAMPOS</t>
  </si>
  <si>
    <t>Reserva importada do Sistema TMS. OS: 135792</t>
  </si>
  <si>
    <t>LDIPDU</t>
  </si>
  <si>
    <t>Reserva importada do Sistema TMS. OS: 116313</t>
  </si>
  <si>
    <t>HWEJWW</t>
  </si>
  <si>
    <t>FABIO VIEIRA</t>
  </si>
  <si>
    <t>Reserva importada do Sistema TMS. OS: 116266</t>
  </si>
  <si>
    <t>KCBILV</t>
  </si>
  <si>
    <t>SLRLBI</t>
  </si>
  <si>
    <t>LNJVWC</t>
  </si>
  <si>
    <t>SILVA/KARINE ARRUDA MS</t>
  </si>
  <si>
    <t>FNUJOM</t>
  </si>
  <si>
    <t>Taesa Servicos</t>
  </si>
  <si>
    <t>Reserva importada do Sistema TMS. OS: 38726</t>
  </si>
  <si>
    <t>FMDCAU</t>
  </si>
  <si>
    <t>RODRIGUES DE MORAES/PEDRO IVO</t>
  </si>
  <si>
    <t>SP06041982</t>
  </si>
  <si>
    <t>Centro de custo não preenchido! (ACC01) Departamento não preenchido! (ACC01) Finalidade não preenchida! (ACC01)</t>
  </si>
  <si>
    <t>WEISTR</t>
  </si>
  <si>
    <t>WILLIAM GONZALES</t>
  </si>
  <si>
    <t>Reserva importada do Sistema TMS. OS: 6364</t>
  </si>
  <si>
    <t>DGXVFQ</t>
  </si>
  <si>
    <t>Hpe Automotores - Catalao</t>
  </si>
  <si>
    <t>Reserva importada do Sistema TMS. OS: 7867</t>
  </si>
  <si>
    <t>NHYVVQ</t>
  </si>
  <si>
    <t>FLAVIA MIGUEL BEDRAN</t>
  </si>
  <si>
    <t xml:space="preserve">Centro de custo não preenchido! (ACC02) Email do passageiro não preenchido! (ACC02) Departamento não preenchido! (ACC02) Finalidade não </t>
  </si>
  <si>
    <t>EZGQGO</t>
  </si>
  <si>
    <t>HUGO FERREIRA</t>
  </si>
  <si>
    <t>Reserva importada do Sistema TMS. OS: 18069</t>
  </si>
  <si>
    <t>NHIIFN</t>
  </si>
  <si>
    <t>LIMA/BRUNO GUSTAVO</t>
  </si>
  <si>
    <t>NTLUTU</t>
  </si>
  <si>
    <t>SANTOS/MARIO</t>
  </si>
  <si>
    <t>Empenho/departamento não preenchido! (ACC01) Finalidade não preenchida! (ACC01)</t>
  </si>
  <si>
    <t>UFTYBA</t>
  </si>
  <si>
    <t>DE MORAES SOUZA/FELIPE</t>
  </si>
  <si>
    <t>IVTOLF</t>
  </si>
  <si>
    <t>MAZZONI/PAULO</t>
  </si>
  <si>
    <t>QCSVLN</t>
  </si>
  <si>
    <t>ALDRIGHI/WILLIAM BORGES</t>
  </si>
  <si>
    <t>YVQYYO</t>
  </si>
  <si>
    <t>JUNIOR/EGIDIO VIEIRA BATISTA</t>
  </si>
  <si>
    <t>ODVJGD</t>
  </si>
  <si>
    <t>Grupo Ferreira Costa</t>
  </si>
  <si>
    <t>Ferreira Costa - Filial Garanhuns</t>
  </si>
  <si>
    <t>KON-OPE-RIO-PVI-FERREIRA COSTA</t>
  </si>
  <si>
    <t>Reserva importada do Sistema TMS. OS: 7789</t>
  </si>
  <si>
    <t>HKAYSM</t>
  </si>
  <si>
    <t>RODRIGUES/FILIPE</t>
  </si>
  <si>
    <t>CONCUR</t>
  </si>
  <si>
    <t>OCCKPI</t>
  </si>
  <si>
    <t>Grupo Sompo Seguros</t>
  </si>
  <si>
    <t>Sompo Seguros S.a.</t>
  </si>
  <si>
    <t>Reserva importada do Sistema TMS. OS: 2489</t>
  </si>
  <si>
    <t>KIMURA SHIMURA/LILIAN YUKIKO</t>
  </si>
  <si>
    <t>LORFOE</t>
  </si>
  <si>
    <t>NFAHXN</t>
  </si>
  <si>
    <t>FDCQKV</t>
  </si>
  <si>
    <t>BEATRIZ ARAUJO JOBIM STUDART</t>
  </si>
  <si>
    <t>Reserva importada do Sistema TMS. OS: 68534</t>
  </si>
  <si>
    <t>MBXYZM</t>
  </si>
  <si>
    <t>Grupo Santo Antonio Energia</t>
  </si>
  <si>
    <t>Santo Antonio Energia S.a.</t>
  </si>
  <si>
    <t>Reserva importada do Sistema TMS. OS: 690</t>
  </si>
  <si>
    <t>LNPTMK</t>
  </si>
  <si>
    <t>FULEKI JUNIOR/FERNANDO</t>
  </si>
  <si>
    <t>3TF7</t>
  </si>
  <si>
    <t>Centro de custo não preenchido! (ACC01) Projeto não preenchido! (ACC01)</t>
  </si>
  <si>
    <t>GYVKJO</t>
  </si>
  <si>
    <t>American Airlines</t>
  </si>
  <si>
    <t>YBEJOG</t>
  </si>
  <si>
    <t>LUCAS CUNHA BELTRAME</t>
  </si>
  <si>
    <t>Departamento não preenchido! (ACC01) Projeto não preenchido! (ACC01)</t>
  </si>
  <si>
    <t>OIJPOT</t>
  </si>
  <si>
    <t>VITALIS/CHARLES</t>
  </si>
  <si>
    <t>Swiss</t>
  </si>
  <si>
    <t>Centro de custo não preenchido! (ACC01) Empenho/departamento não preenchido! (ACC01) Finalidade não preenchida! (ACC01)</t>
  </si>
  <si>
    <t>WUOJKNT</t>
  </si>
  <si>
    <t>ASAPU/NAMASIVAYA  MR</t>
  </si>
  <si>
    <t>WUOJKN</t>
  </si>
  <si>
    <t>Ibis Sao Paulo Paulista</t>
  </si>
  <si>
    <t>KYUNAXT</t>
  </si>
  <si>
    <t>ZANDER/MATHIAS MR</t>
  </si>
  <si>
    <t>KYUNAX</t>
  </si>
  <si>
    <t>EVWTJA</t>
  </si>
  <si>
    <t>Hotel Deville Prime Porto Alegre</t>
  </si>
  <si>
    <t>Reserva importada do sistema Gover. Id: 4716891</t>
  </si>
  <si>
    <t>H4716282</t>
  </si>
  <si>
    <t>Reserva importada do sistema Gover. Id: 4716282</t>
  </si>
  <si>
    <t>ASWBTET</t>
  </si>
  <si>
    <t>Quality Faria Lima</t>
  </si>
  <si>
    <t>6Q7IMT</t>
  </si>
  <si>
    <t>CASAGRANDE/PAULO LEONARDO</t>
  </si>
  <si>
    <t>Tt Operadora</t>
  </si>
  <si>
    <t>Matheus Gayer do Amaral</t>
  </si>
  <si>
    <t>Intercity Premium Berrini</t>
  </si>
  <si>
    <t>Reserva importada do sistema Gover. Id: 4717665</t>
  </si>
  <si>
    <t>h4716872</t>
  </si>
  <si>
    <t>João  Vitor Valcarenghi</t>
  </si>
  <si>
    <t>Valeria Aparecida Civitate</t>
  </si>
  <si>
    <t>Atlas Copco Brasil</t>
  </si>
  <si>
    <t>Hotel Coroados - Nova Prata - Inativo</t>
  </si>
  <si>
    <t>Reserva importada do sistema Gover. Id: 4716872</t>
  </si>
  <si>
    <t xml:space="preserve">Não foi possível encontrar um contrato válido para o fornecedor 15455 (Código fornecedor) </t>
  </si>
  <si>
    <t>JRVB4R</t>
  </si>
  <si>
    <t>KR2VXX</t>
  </si>
  <si>
    <t>6RLM81</t>
  </si>
  <si>
    <t>PAZ/LUIS HENRIQUE</t>
  </si>
  <si>
    <t>Reserva importada do Sistema TMS. OS: 128601</t>
  </si>
  <si>
    <t>6R11KQ</t>
  </si>
  <si>
    <t>TR664H</t>
  </si>
  <si>
    <t>MATHEUS MAIA</t>
  </si>
  <si>
    <t>Deloitte Auditores - Fortaleza</t>
  </si>
  <si>
    <t>Reserva importada do Sistema TMS. OS: 133667</t>
  </si>
  <si>
    <t>QKDQ5M1</t>
  </si>
  <si>
    <t>CLAUDIA GOMES</t>
  </si>
  <si>
    <t>Reserva importada do Sistema TMS. OS: 133746</t>
  </si>
  <si>
    <t>UUQKKQ</t>
  </si>
  <si>
    <t>ALVES/GLEYCE</t>
  </si>
  <si>
    <t>Valeria Domingues Cavalcante</t>
  </si>
  <si>
    <t>SYJGTY01</t>
  </si>
  <si>
    <t>MONTEIRO/MANUELA CHEQUER</t>
  </si>
  <si>
    <t>XIS8GS</t>
  </si>
  <si>
    <t>Robert Bosch Limitada - 908a</t>
  </si>
  <si>
    <t>QJLW6P</t>
  </si>
  <si>
    <t>SLRLBIT</t>
  </si>
  <si>
    <t>BUTTON/PAULO ALVARO NANTES MR</t>
  </si>
  <si>
    <t>Ibis Buenos Aires Obelisco</t>
  </si>
  <si>
    <t>LOJURET</t>
  </si>
  <si>
    <t>IZZO/JULIA</t>
  </si>
  <si>
    <t>LOJURE</t>
  </si>
  <si>
    <t>Schulman</t>
  </si>
  <si>
    <t>Nh Panorama Classic</t>
  </si>
  <si>
    <t>Intercontinental Cali</t>
  </si>
  <si>
    <t>Golden Plaza Hotel</t>
  </si>
  <si>
    <t>6QCY19</t>
  </si>
  <si>
    <t>GABRIEL MIRANDA</t>
  </si>
  <si>
    <t>Hyatt Regency Mexico City</t>
  </si>
  <si>
    <t>Reserva importada do Sistema TMS. OS: 1583</t>
  </si>
  <si>
    <t xml:space="preserve">THIAGO ESTEVES DE SOUZA SIQUEIRA   </t>
  </si>
  <si>
    <t>Mercure Sao Paulo Moema Times Square</t>
  </si>
  <si>
    <t>Reserva importada do sistema Gover. Id: 4716815</t>
  </si>
  <si>
    <t>Hotel Mont Blanc Premium</t>
  </si>
  <si>
    <t>MMYNUOT</t>
  </si>
  <si>
    <t>HILARIO/RENATA  MRS</t>
  </si>
  <si>
    <t>MMYNUO</t>
  </si>
  <si>
    <t>Royal Design Savassi</t>
  </si>
  <si>
    <t>WINFRIED KLOREN</t>
  </si>
  <si>
    <t>Marcia Pereira dos Santos Soares</t>
  </si>
  <si>
    <t>Neovia Nutricao e Saude Animal Ltda.</t>
  </si>
  <si>
    <t>Plaza Inn Breeze Aeroporto Goiania</t>
  </si>
  <si>
    <t>Reserva importada do sistema Gover. Id: 4717155</t>
  </si>
  <si>
    <t>HKUQHLT</t>
  </si>
  <si>
    <t>ULIANO/NATALIA</t>
  </si>
  <si>
    <t>HKUQHL_0</t>
  </si>
  <si>
    <t>Novotel Rio de Janeiro Leme</t>
  </si>
  <si>
    <t>WAWAXVT</t>
  </si>
  <si>
    <t>DOUGLAS GOMES DE SOUZA REZZUTTI/VICTOR</t>
  </si>
  <si>
    <t>WAWAXV</t>
  </si>
  <si>
    <t>Ghl Hotel Bioxury</t>
  </si>
  <si>
    <t>Dafi DE ABREU</t>
  </si>
  <si>
    <t>Maper Mardan Hotel - Inativo</t>
  </si>
  <si>
    <t>Reserva importada do sistema Gover. Id: 4716935</t>
  </si>
  <si>
    <t xml:space="preserve">Não foi possível encontrar um contrato válido para o fornecedor 52882 (Código fornecedor) </t>
  </si>
  <si>
    <t>h4716449</t>
  </si>
  <si>
    <t>Reserva importada do sistema Gover. Id: 4716449</t>
  </si>
  <si>
    <t>CAYBVWT</t>
  </si>
  <si>
    <t>CORTES/MATHEUS HENRIQUE MR</t>
  </si>
  <si>
    <t>CAYBVW</t>
  </si>
  <si>
    <t>Hyatt Centric Las Condes Santiago</t>
  </si>
  <si>
    <t>CDYIGXT</t>
  </si>
  <si>
    <t>MIGUEL BEDRAN/FLAVIA MRS</t>
  </si>
  <si>
    <t>CDYIGX</t>
  </si>
  <si>
    <t>Milena Rocha</t>
  </si>
  <si>
    <t>Chicago Pneumatic Brasil Ltda - Matriz</t>
  </si>
  <si>
    <t>Trip Hotel Uba Centro Mg - Inativo</t>
  </si>
  <si>
    <t>Reserva importada do sistema Gover. Id: 4718505</t>
  </si>
  <si>
    <t xml:space="preserve">Não foi possível encontrar um contrato válido para o fornecedor 69338 (Código fornecedor) </t>
  </si>
  <si>
    <t>Raffaela Teixeira Crosta</t>
  </si>
  <si>
    <t>Reserva importada do sistema Gover. Id: 4718122</t>
  </si>
  <si>
    <t>HNTRHQT</t>
  </si>
  <si>
    <t>PINHEIRO/DAYANE  DE ALMEIDA MS</t>
  </si>
  <si>
    <t>HNTRHQ</t>
  </si>
  <si>
    <t>Silverton Paiva Experience</t>
  </si>
  <si>
    <t>6QVOI7</t>
  </si>
  <si>
    <t>LUIS MIGUEL KLINSKY</t>
  </si>
  <si>
    <t>Limeira / SP, Brasil (VCP)</t>
  </si>
  <si>
    <t>Movida - Br - Sp - Sao Paulo - Limeira</t>
  </si>
  <si>
    <t>Reserva importada do Sistema TMS. OS: 68535</t>
  </si>
  <si>
    <t xml:space="preserve">Não foi possível encontrar um contrato válido para o fornecedor 464646 (Código fornecedor) </t>
  </si>
  <si>
    <t>6QH98J</t>
  </si>
  <si>
    <t>Reserva importada do Sistema TMS. OS: 68478</t>
  </si>
  <si>
    <t>Fernando Gomes Da Mota</t>
  </si>
  <si>
    <t>Ferronatos Hotel</t>
  </si>
  <si>
    <t>H4716477</t>
  </si>
  <si>
    <t>Hotel Cangucu</t>
  </si>
  <si>
    <t>Reserva importada do sistema Gover. Id: 4716477</t>
  </si>
  <si>
    <t>ENIO FEIL</t>
  </si>
  <si>
    <t>H4717960</t>
  </si>
  <si>
    <t xml:space="preserve"> WANILDO TIMM</t>
  </si>
  <si>
    <t>Reserva importada do sistema Gover. Id: 4717960</t>
  </si>
  <si>
    <t>Laerti Cabral da Silva</t>
  </si>
  <si>
    <t>Pousada Sol Nascente Guapimirim</t>
  </si>
  <si>
    <t>Henrique CHAGAS</t>
  </si>
  <si>
    <t>Reserva importada do sistema Gover. Id: 4716766</t>
  </si>
  <si>
    <t>Hendel Meireles</t>
  </si>
  <si>
    <t>Marcos de Oliveira Miklos</t>
  </si>
  <si>
    <t>Reserva importada do sistema Gover. Id: 4716578</t>
  </si>
  <si>
    <t>Frederico Alberto Sousa Almeida</t>
  </si>
  <si>
    <t>Reserva importada do sistema Gover. Id: 4716744</t>
  </si>
  <si>
    <t>AV78Y4933YA</t>
  </si>
  <si>
    <t>Leticia Siqueira Mendes</t>
  </si>
  <si>
    <t xml:space="preserve">Localiza - Br - Sp - Sao Jose dos Campos - Agencia Endereço: Av Andromeda, 100 - Agencia Centro </t>
  </si>
  <si>
    <t>Reserva importada do sistema Gover. Id: 4718234</t>
  </si>
  <si>
    <t>6RZGYV</t>
  </si>
  <si>
    <t>LEANDRO FIORIN</t>
  </si>
  <si>
    <t>Salvador / SSA</t>
  </si>
  <si>
    <t>Reserva importada do Sistema TMS. OS: 21647</t>
  </si>
  <si>
    <t>6RRTYF</t>
  </si>
  <si>
    <t>ANDRE SILVA</t>
  </si>
  <si>
    <t>Belo Horizonte / BHZ</t>
  </si>
  <si>
    <t>Reserva importada do Sistema TMS. OS: 21643</t>
  </si>
  <si>
    <t>6RKGH4</t>
  </si>
  <si>
    <t>IBIS CURCINO</t>
  </si>
  <si>
    <t>Ribeirão Preto / RAO</t>
  </si>
  <si>
    <t>Reserva importada do Sistema TMS. OS: 21637</t>
  </si>
  <si>
    <t>6RHUCG</t>
  </si>
  <si>
    <t>LUCAS SCHMIDT</t>
  </si>
  <si>
    <t>Passo Fundo / PFB</t>
  </si>
  <si>
    <t>Reserva importada do Sistema TMS. OS: 21662</t>
  </si>
  <si>
    <t>FZJHMJT</t>
  </si>
  <si>
    <t>FZJHMJ</t>
  </si>
  <si>
    <t>6RFRFV</t>
  </si>
  <si>
    <t>MAURO MESQUITA</t>
  </si>
  <si>
    <t>Reserva importada do Sistema TMS. OS: 22670</t>
  </si>
  <si>
    <t xml:space="preserve">Freitas Colaço/Daniel </t>
  </si>
  <si>
    <t>Reserva importada do Sistema WOOBA. Id: 13809</t>
  </si>
  <si>
    <t>Anderson Batista Junior</t>
  </si>
  <si>
    <t>Grupo Cmoc</t>
  </si>
  <si>
    <t>Cmoc - Dom Domenico Rangoni</t>
  </si>
  <si>
    <t>KON-OPE-RIO-PVI-BTC-CMOC</t>
  </si>
  <si>
    <t>Reserva importada do sistema Gover. Id: 4718205</t>
  </si>
  <si>
    <t>HNJELP</t>
  </si>
  <si>
    <t>Igor Jose Rhoden</t>
  </si>
  <si>
    <t>Reserva importada do sistema Gover. Id: 4717481</t>
  </si>
  <si>
    <t>6RU2XR</t>
  </si>
  <si>
    <t>ISABELLE DASSIER</t>
  </si>
  <si>
    <t>Reserva importada do Sistema TMS. OS: 133789</t>
  </si>
  <si>
    <t>6RI2WF</t>
  </si>
  <si>
    <t>MAXIMILIANO LUZ</t>
  </si>
  <si>
    <t>Reserva importada do Sistema TMS. OS: 133775</t>
  </si>
  <si>
    <t>6RNS2F</t>
  </si>
  <si>
    <t>Reserva importada do Sistema TMS. OS: 133774</t>
  </si>
  <si>
    <t>6RPCSF</t>
  </si>
  <si>
    <t>Reserva importada do Sistema TMS. OS: 133773</t>
  </si>
  <si>
    <t>Bruna Mariquito Simoes</t>
  </si>
  <si>
    <t>Energisa Solucoes S.a.</t>
  </si>
  <si>
    <t>Reserva importada do sistema Gover. Id: 4718686</t>
  </si>
  <si>
    <t>LUIS SILVA</t>
  </si>
  <si>
    <t>FCXUXFC</t>
  </si>
  <si>
    <t>ANDRADE/RAFAEL PIRES DE MR</t>
  </si>
  <si>
    <t>FCXUXF</t>
  </si>
  <si>
    <t>GRR</t>
  </si>
  <si>
    <t>6R9D24</t>
  </si>
  <si>
    <t>JOAO BARBOSA</t>
  </si>
  <si>
    <t>Reserva importada do Sistema TMS. OS: 35483</t>
  </si>
  <si>
    <t>6RVF2F</t>
  </si>
  <si>
    <t>FRANCINE MARTINS</t>
  </si>
  <si>
    <t>Alexandre Isidio da Silva</t>
  </si>
  <si>
    <t>Goiânia / GYN</t>
  </si>
  <si>
    <t>Reserva importada do Sistema TMS. OS: 35469</t>
  </si>
  <si>
    <t>6RYFX4</t>
  </si>
  <si>
    <t>MARIA SOUZA</t>
  </si>
  <si>
    <t>Maraba / MAB</t>
  </si>
  <si>
    <t>Reserva importada do Sistema TMS. OS: 35455</t>
  </si>
  <si>
    <t>6R3YP5</t>
  </si>
  <si>
    <t>FRANCIEL SILVA</t>
  </si>
  <si>
    <t>Campo Grande / CGR</t>
  </si>
  <si>
    <t>Reserva importada do Sistema TMS. OS: 35505</t>
  </si>
  <si>
    <t>6RTWOE</t>
  </si>
  <si>
    <t>MACHADO DE CARVALHO/RAILANA GISNELE</t>
  </si>
  <si>
    <t xml:space="preserve">HALL AEROPORTO DE SAO LUIS, S/N, TIRIRICAL </t>
  </si>
  <si>
    <t>Reserva importada do Sistema Lemontech. Solicitação: 19485863</t>
  </si>
  <si>
    <t>6RYV5R</t>
  </si>
  <si>
    <t>DE AZEVEDO/MARCOS</t>
  </si>
  <si>
    <t>Reserva importada do Sistema Lemontech. Solicitação: 19605568</t>
  </si>
  <si>
    <t>6R33B5</t>
  </si>
  <si>
    <t>BORGES UTUMI/FERNANDA HARUMI</t>
  </si>
  <si>
    <t>Reserva importada do Sistema Lemontech. Solicitação: 19595468</t>
  </si>
  <si>
    <t>6RKXBT</t>
  </si>
  <si>
    <t>GOMES/ADILMA</t>
  </si>
  <si>
    <t>Reserva importada do Sistema Lemontech. Solicitação: 19608144</t>
  </si>
  <si>
    <t>JYSDEET</t>
  </si>
  <si>
    <t>BOTELHO/JOHNNY  HALLEN DA SILVA MR</t>
  </si>
  <si>
    <t>YUTCHUT</t>
  </si>
  <si>
    <t>CAITANO/PAULO HENRIQUE MR</t>
  </si>
  <si>
    <t>6R85IF</t>
  </si>
  <si>
    <t>MARCIO ANACLETO CASTILHO</t>
  </si>
  <si>
    <t>Rio das Ostras / RI2</t>
  </si>
  <si>
    <t>Reserva importada do Sistema TMS. OS: 118813</t>
  </si>
  <si>
    <t>6R01RF</t>
  </si>
  <si>
    <t>ANDREZA MENEZES</t>
  </si>
  <si>
    <t>Belém / BEL</t>
  </si>
  <si>
    <t>Oceanpact Geociencias</t>
  </si>
  <si>
    <t>Reserva importada do Sistema TMS. OS: 118645</t>
  </si>
  <si>
    <t>Laerte Bento Viola</t>
  </si>
  <si>
    <t>Reserva importada do sistema Gover. Id: 4718600</t>
  </si>
  <si>
    <t>6RGN0R</t>
  </si>
  <si>
    <t>LUCAS GONCALVES</t>
  </si>
  <si>
    <t>Reserva importada do Sistema TMS. OS: 130486</t>
  </si>
  <si>
    <t>6R0T24</t>
  </si>
  <si>
    <t>FRANCISCO PEREIRA</t>
  </si>
  <si>
    <t>Barueri / SAO</t>
  </si>
  <si>
    <t>Reserva importada do Sistema TMS. OS: 6529</t>
  </si>
  <si>
    <t>6RFGS4</t>
  </si>
  <si>
    <t>LUIZ OLIVEIRA</t>
  </si>
  <si>
    <t>São José do Rio Preto / SJP</t>
  </si>
  <si>
    <t>Reserva importada do Sistema TMS. OS: 6525</t>
  </si>
  <si>
    <t>6RHB6R</t>
  </si>
  <si>
    <t>FLAVIO HENRIQUE CARDOZO</t>
  </si>
  <si>
    <t>Curitiba / CWB</t>
  </si>
  <si>
    <t>Reserva importada do Sistema TMS. OS: 45098</t>
  </si>
  <si>
    <t>6R7MYV</t>
  </si>
  <si>
    <t>NATALIA CONTE FERREIRA KLEIN</t>
  </si>
  <si>
    <t>Vitoria / VIX</t>
  </si>
  <si>
    <t>Reserva importada do Sistema TMS. OS: 45097</t>
  </si>
  <si>
    <t>6RBZYF</t>
  </si>
  <si>
    <t>FERNANDO DOGNINI</t>
  </si>
  <si>
    <t>Blumenau / BNU</t>
  </si>
  <si>
    <t>Reserva importada do Sistema TMS. OS: 45086</t>
  </si>
  <si>
    <t>6RCQHF</t>
  </si>
  <si>
    <t>Reserva importada do Sistema TMS. OS: 45083</t>
  </si>
  <si>
    <t>Eliomara Ferreira de Jesus Santana</t>
  </si>
  <si>
    <t>Grupo Marisa</t>
  </si>
  <si>
    <t>Lojas Marisa</t>
  </si>
  <si>
    <t>Reserva importada do sistema Gover. Id: 4718695</t>
  </si>
  <si>
    <t>DPJPFWT</t>
  </si>
  <si>
    <t>ALBUQUERQUE/GUSTAVO VIEIRA DA FONSECA MR</t>
  </si>
  <si>
    <t>SLMNMST</t>
  </si>
  <si>
    <t>TIKERPE/GABRIELA MS</t>
  </si>
  <si>
    <t>6RW0TV</t>
  </si>
  <si>
    <t>TAIANE NASCIMENTO CEREJO ZICO</t>
  </si>
  <si>
    <t>Reserva importada do Sistema Lemontech. Solicitação: 19581554</t>
  </si>
  <si>
    <t>6RFY4V</t>
  </si>
  <si>
    <t>CAROLINA PONTVIANNE</t>
  </si>
  <si>
    <t>Reserva importada do Sistema TMS. OS: 7139</t>
  </si>
  <si>
    <t>Jean Carlos Veronese</t>
  </si>
  <si>
    <t>Reserva importada do sistema Gover. Id: 4716877</t>
  </si>
  <si>
    <t>LWMFKH</t>
  </si>
  <si>
    <t>Rafael Pedralli</t>
  </si>
  <si>
    <t>Reserva importada do sistema Gover. Id: 4715329</t>
  </si>
  <si>
    <t>6RSF44</t>
  </si>
  <si>
    <t>FERNANDA DE ARAUJO</t>
  </si>
  <si>
    <t>Pepsico do Brasil Industria e Comercio  de Alimentos</t>
  </si>
  <si>
    <t>Reserva importada do Sistema TMS. OS: 11112</t>
  </si>
  <si>
    <t>6R3RVR</t>
  </si>
  <si>
    <t>Reserva importada do Sistema TMS. OS: 11111</t>
  </si>
  <si>
    <t>6RU4QV</t>
  </si>
  <si>
    <t>GABRIEL BASTOS</t>
  </si>
  <si>
    <t>Brasília / BSB</t>
  </si>
  <si>
    <t>Colegio e Pre-vestibular Bernoulli - Un. Raja</t>
  </si>
  <si>
    <t>Reserva importada do Sistema TMS. OS: 17156</t>
  </si>
  <si>
    <t>6RZTAV</t>
  </si>
  <si>
    <t>GILMAR JORGE</t>
  </si>
  <si>
    <t>Reserva importada do Sistema TMS. OS: 17140</t>
  </si>
  <si>
    <t>6R1E1T</t>
  </si>
  <si>
    <t>RENATA VIEIRA</t>
  </si>
  <si>
    <t>Reserva importada do Sistema TMS. OS: 17193</t>
  </si>
  <si>
    <t>6RI41F</t>
  </si>
  <si>
    <t>GIULIA BRACCINI</t>
  </si>
  <si>
    <t>Reserva importada do Sistema TMS. OS: 17154</t>
  </si>
  <si>
    <t>6R0TA4</t>
  </si>
  <si>
    <t>ANGELICA CRISTINA HENICK</t>
  </si>
  <si>
    <t>Belo Horizonte / PLU</t>
  </si>
  <si>
    <t>Reserva importada do Sistema TMS. OS: 17145</t>
  </si>
  <si>
    <t>6RXMC4</t>
  </si>
  <si>
    <t>DOUGLAS RODRIGUES DE SOUSA</t>
  </si>
  <si>
    <t>Sorocaba / SP, Brasil (SOD)</t>
  </si>
  <si>
    <t>Sorocabana</t>
  </si>
  <si>
    <t>Reserva importada do Sistema TMS. OS: 68973</t>
  </si>
  <si>
    <t>6RNIX4</t>
  </si>
  <si>
    <t>MARCOS BOTTENE CUNHA</t>
  </si>
  <si>
    <t>Porto Alegre / POA</t>
  </si>
  <si>
    <t>Reserva importada do Sistema TMS. OS: 68993</t>
  </si>
  <si>
    <t>6R0NXF</t>
  </si>
  <si>
    <t>DAVID LEAL JUNIOR</t>
  </si>
  <si>
    <t>Reserva importada do Sistema TMS. OS: 68990</t>
  </si>
  <si>
    <t>6RQ9WV</t>
  </si>
  <si>
    <t>JOAO PEDRO SILVA</t>
  </si>
  <si>
    <t>Jundiaí / QDV</t>
  </si>
  <si>
    <t>Reserva importada do Sistema TMS. OS: 68989</t>
  </si>
  <si>
    <t>6RVN2V</t>
  </si>
  <si>
    <t>EDMILSON GOUVEIA NUNES</t>
  </si>
  <si>
    <t>Reserva importada do Sistema TMS. OS: 68985</t>
  </si>
  <si>
    <t>6R7N2R</t>
  </si>
  <si>
    <t>NAZARE PEREIRA</t>
  </si>
  <si>
    <t>Reserva importada do Sistema TMS. OS: 68980</t>
  </si>
  <si>
    <t>6RZP34</t>
  </si>
  <si>
    <t>WANDERSON TORRES DOS SANTOS</t>
  </si>
  <si>
    <t>Reserva importada do Sistema TMS. OS: 68974</t>
  </si>
  <si>
    <t>6RTM3V</t>
  </si>
  <si>
    <t>ANDRE MARCAL</t>
  </si>
  <si>
    <t>Reserva importada do Sistema TMS. OS: 68970</t>
  </si>
  <si>
    <t>6RSTD5</t>
  </si>
  <si>
    <t>LUCAS LEANDRO LIMA</t>
  </si>
  <si>
    <t>Karina Rodrigues Xavier</t>
  </si>
  <si>
    <t>São Paulo / SP, Brasil (SAO)</t>
  </si>
  <si>
    <t>Reserva importada do Sistema TMS. OS: 69081</t>
  </si>
  <si>
    <t>6RSCH4</t>
  </si>
  <si>
    <t>MONIKA ALEXANDRA GASPAR</t>
  </si>
  <si>
    <t>Reserva importada do Sistema TMS. OS: 4913</t>
  </si>
  <si>
    <t>6ROX6R</t>
  </si>
  <si>
    <t>JOSE EVANGELISTA JUNIOR</t>
  </si>
  <si>
    <t>Yamaha Motor Administradora de Consorcio Ltda Cj</t>
  </si>
  <si>
    <t>Reserva importada do Sistema TMS. OS: 4917</t>
  </si>
  <si>
    <t>6RONKD</t>
  </si>
  <si>
    <t>CAMILA LEONELLI</t>
  </si>
  <si>
    <t>Uberlândia / MG, Brasil (UDI)</t>
  </si>
  <si>
    <t>Syngenta Crop</t>
  </si>
  <si>
    <t>Reserva importada do Sistema TMS. OS: 7689</t>
  </si>
  <si>
    <t>6RYBLC</t>
  </si>
  <si>
    <t>ALEX CORDEIRO</t>
  </si>
  <si>
    <t>Deise Fernanda Franca de Souza</t>
  </si>
  <si>
    <t>Passo Fundo / RS, Brasil (PFB)</t>
  </si>
  <si>
    <t>Reserva importada do Sistema TMS. OS: 7619</t>
  </si>
  <si>
    <t>6RQU6F</t>
  </si>
  <si>
    <t>ALAN FLAVIO DE OLIVEIRA</t>
  </si>
  <si>
    <t>Reserva importada do Sistema TMS. OS: 9657</t>
  </si>
  <si>
    <t>6R27YV</t>
  </si>
  <si>
    <t>GUILHERME BOREM LOBATO MOREIRA</t>
  </si>
  <si>
    <t>Janauba / MG, Brasil (MOC)</t>
  </si>
  <si>
    <t>Reserva importada do Sistema TMS. OS: 9655</t>
  </si>
  <si>
    <t>6RGUYV</t>
  </si>
  <si>
    <t>LUIZ COSTA</t>
  </si>
  <si>
    <t>Ellen da Conceicao</t>
  </si>
  <si>
    <t>Campinas / SP, Brasil - Viracopos (VCP)</t>
  </si>
  <si>
    <t>Reserva importada do Sistema TMS. OS: 9636</t>
  </si>
  <si>
    <t>6RB864</t>
  </si>
  <si>
    <t>FERNANDO IGNACIO ARANDA HERNANDEZ</t>
  </si>
  <si>
    <t>Karen Aparecida Ferreira</t>
  </si>
  <si>
    <t>Reserva importada do Sistema TMS. OS: 9400</t>
  </si>
  <si>
    <t>6RBN94</t>
  </si>
  <si>
    <t>PEDRO DE DEUS</t>
  </si>
  <si>
    <t>Formosa / GO, Brasil (GYN)</t>
  </si>
  <si>
    <t>Reserva importada do Sistema TMS. OS: 9676</t>
  </si>
  <si>
    <t>6RN54R</t>
  </si>
  <si>
    <t>LUCIANA RODRIGUES LUZ CARNEIRO LEAO</t>
  </si>
  <si>
    <t>Petrolina / PNZ</t>
  </si>
  <si>
    <t>Tecban</t>
  </si>
  <si>
    <t>Reserva importada do Sistema TMS. OS: 1520</t>
  </si>
  <si>
    <t>6R2Y44</t>
  </si>
  <si>
    <t>GUSTAVO FELIPE PEREIRA DOS SANTOS</t>
  </si>
  <si>
    <t>Porto Velho / PVH</t>
  </si>
  <si>
    <t>Reserva importada do Sistema TMS. OS: 1507</t>
  </si>
  <si>
    <t>6R0YVR</t>
  </si>
  <si>
    <t>CESAR MATEUS JUNIOR</t>
  </si>
  <si>
    <t>Tb Forte</t>
  </si>
  <si>
    <t>Reserva importada do Sistema TMS. OS: 1517</t>
  </si>
  <si>
    <t>6RZH4R</t>
  </si>
  <si>
    <t>RICARDO CARVALHO</t>
  </si>
  <si>
    <t>Reserva importada do Sistema TMS. OS: 1516</t>
  </si>
  <si>
    <t>DPOGNZ</t>
  </si>
  <si>
    <t>Reserva importada do sistema Gover. Id: 4718619</t>
  </si>
  <si>
    <t>RODRIGO OSTROWSKI</t>
  </si>
  <si>
    <t>Reserva importada do sistema Gover. Id: 4718518</t>
  </si>
  <si>
    <t>ALEXANDRE Jose CEZIMBRA</t>
  </si>
  <si>
    <t>Reserva importada do sistema Gover. Id: 4718575</t>
  </si>
  <si>
    <t>QMRAAYT</t>
  </si>
  <si>
    <t>QUEIROZ/IRIS</t>
  </si>
  <si>
    <t>MMMM</t>
  </si>
  <si>
    <t>EQNIOJ</t>
  </si>
  <si>
    <t>Aristides Silva</t>
  </si>
  <si>
    <t>Zupper</t>
  </si>
  <si>
    <t>Aristides Patricio Silva</t>
  </si>
  <si>
    <t>ZUPPER VIAGENS</t>
  </si>
  <si>
    <t>Rosangela Silva</t>
  </si>
  <si>
    <t>MNIFUE</t>
  </si>
  <si>
    <t>Francisco Brandao</t>
  </si>
  <si>
    <t>Francisco Coni Pedreira Brandao</t>
  </si>
  <si>
    <t>JZYLDK</t>
  </si>
  <si>
    <t>Nuno Alves de Oliveira/Carlos</t>
  </si>
  <si>
    <t>HZKBDN</t>
  </si>
  <si>
    <t>SILAS MIRANDA</t>
  </si>
  <si>
    <t>Silas Eufrasio Miranda</t>
  </si>
  <si>
    <t>Não foi possível definir o Local de destino!</t>
  </si>
  <si>
    <t>Cadastro incompleto</t>
  </si>
  <si>
    <t>ATCKUP</t>
  </si>
  <si>
    <t>Afonso Santos</t>
  </si>
  <si>
    <t>Priscila Kapritte Borges Fernandes</t>
  </si>
  <si>
    <t>IOTYNX</t>
  </si>
  <si>
    <t>RENATA FAZAN</t>
  </si>
  <si>
    <t>Renata Aparecida dos Santos Falzoni Fazan</t>
  </si>
  <si>
    <t>DORCIVAL FAZAN</t>
  </si>
  <si>
    <t>GABRIEL FAZAN</t>
  </si>
  <si>
    <t>GABRIELE MAGAGNATO</t>
  </si>
  <si>
    <t>OZQIKF</t>
  </si>
  <si>
    <t>Danielle Costa Gomes</t>
  </si>
  <si>
    <t>William L Santos</t>
  </si>
  <si>
    <t>YDNHNC</t>
  </si>
  <si>
    <t>Hudesceles Rodrigues</t>
  </si>
  <si>
    <t>Hudesceles Christinne Guedes Rodrigues</t>
  </si>
  <si>
    <t>JPTYZL</t>
  </si>
  <si>
    <t>Marilia Gabriela Almeida</t>
  </si>
  <si>
    <t>Marilia Gabriela Santos de Almeida</t>
  </si>
  <si>
    <t>OLDKDY</t>
  </si>
  <si>
    <t>CLAUDIO SILVA</t>
  </si>
  <si>
    <t>Ana Cristina Fernandes Silva</t>
  </si>
  <si>
    <t>Não foi possível encontrar configuração válida para Administradora de código 1 e Data Emissão 04/07/2026</t>
  </si>
  <si>
    <t>ANA SILVA</t>
  </si>
  <si>
    <t>CLARISSA SANTOS</t>
  </si>
  <si>
    <t>CAWHJW</t>
  </si>
  <si>
    <t>Ketellyn Matias</t>
  </si>
  <si>
    <t>Ruan Tadeu dos Santos de Jesus</t>
  </si>
  <si>
    <t>Ruan Jesus</t>
  </si>
  <si>
    <t>FDWMGQ</t>
  </si>
  <si>
    <t>Josileide Dos santos</t>
  </si>
  <si>
    <t>Josileide dos Santos</t>
  </si>
  <si>
    <t>LNXAEQ01</t>
  </si>
  <si>
    <t>David Santos Alvarez</t>
  </si>
  <si>
    <t>Reserva importada do sistema Gover. Id: 4718546</t>
  </si>
  <si>
    <t>AFWVKZ</t>
  </si>
  <si>
    <t>COSTA/TICIANA CAMILA</t>
  </si>
  <si>
    <t>Matrícula não preenchida! (ACC01) Projeto não preenchido! (ACC01)</t>
  </si>
  <si>
    <t>WRERWV</t>
  </si>
  <si>
    <t>DE OLIVEIRA COSTA/ALINE CRIST</t>
  </si>
  <si>
    <t>MSUWQF</t>
  </si>
  <si>
    <t>BORTOLOTTO/VANESSA REZENDE</t>
  </si>
  <si>
    <t>ECJXDV</t>
  </si>
  <si>
    <t>Alessandra Corradi</t>
  </si>
  <si>
    <t>Reserva importada do sistema Gover. Id: 4718683</t>
  </si>
  <si>
    <t>CIXXPM</t>
  </si>
  <si>
    <t>LOZANO HINCAPIE/AURA</t>
  </si>
  <si>
    <t>MVVYTO</t>
  </si>
  <si>
    <t>Rodrigo Teixeira De Oliveira</t>
  </si>
  <si>
    <t>GABRIEL ALVES MOURA</t>
  </si>
  <si>
    <t>Reserva importada do sistema Gover. Id: 4716611</t>
  </si>
  <si>
    <t>SIJVOU</t>
  </si>
  <si>
    <t>CESIO BRITO</t>
  </si>
  <si>
    <t>Reserva importada do Sistema TMS. OS: 9660</t>
  </si>
  <si>
    <t>ANDRADE/RAFAEL PIRES DE</t>
  </si>
  <si>
    <t>SCCZWN</t>
  </si>
  <si>
    <t>SANTANA/VICTOR</t>
  </si>
  <si>
    <t>Copa Airlines</t>
  </si>
  <si>
    <t>OCQAQY</t>
  </si>
  <si>
    <t>Romualdo Reginaldo Filho</t>
  </si>
  <si>
    <t>Zf do Brasil - Divisao Z</t>
  </si>
  <si>
    <t>Reserva importada do sistema Gover. Id: 4717883</t>
  </si>
  <si>
    <t>MUWVKHT</t>
  </si>
  <si>
    <t>IDALGO/LETICIA IDALGO</t>
  </si>
  <si>
    <t>MUWVKH</t>
  </si>
  <si>
    <t>Estanplaza Ibirapuera</t>
  </si>
  <si>
    <t>HIBY2C</t>
  </si>
  <si>
    <t>CUNHA/WELTON</t>
  </si>
  <si>
    <t>Welton Silva da Cunha</t>
  </si>
  <si>
    <t>Grupo Enesa</t>
  </si>
  <si>
    <t>Enesa Engenharia</t>
  </si>
  <si>
    <t>Reserva importada do Sistema WOOBA. Id: 17561</t>
  </si>
  <si>
    <t>h4718434</t>
  </si>
  <si>
    <t>Charrua Hotel</t>
  </si>
  <si>
    <t>Reserva importada do sistema Gover. Id: 4718434</t>
  </si>
  <si>
    <t>Fabio Cristiano Valota</t>
  </si>
  <si>
    <t>Reserva importada do sistema Gover. Id: 4718561</t>
  </si>
  <si>
    <t>Rodson de Carvalho Santos</t>
  </si>
  <si>
    <t>Lagos Hotel</t>
  </si>
  <si>
    <t>Reserva importada do sistema Gover. Id: 4718557</t>
  </si>
  <si>
    <t>EXJVCIT</t>
  </si>
  <si>
    <t>Hotel Nh Bogota Pavillon Royal</t>
  </si>
  <si>
    <t>FCXUXFT</t>
  </si>
  <si>
    <t>Hyatt House Austin Downtown</t>
  </si>
  <si>
    <t>h4716472</t>
  </si>
  <si>
    <t>Reserva importada do sistema Gover. Id: 4716472</t>
  </si>
  <si>
    <t>ANDRE  LOPES</t>
  </si>
  <si>
    <t>&lt;01/04/2026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</si>
</sst>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-&quot;R$&quot;\ * #,##0.00_-;\-&quot;R$&quot;\ * #,##0.00_-;_-&quot;R$&quot;\ * &quot;-&quot;??_-;_-@_-"/>
    <numFmt numFmtId="164" formatCode="d/m/yy\ h:mm;@"/>
    <numFmt numFmtId="165" formatCode="yyyy\-mm\-dd\ h:mm:ss"/>
    <numFmt numFmtId="166" formatCode="0.0%"/>
    <numFmt numFmtId="167" formatCode="&quot;R$&quot;\ #,##0.00"/>
  </numFmts>
  <fonts count="23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2"/>
      <color rgb="FF70AD47"/>
      <name val="Calibri"/>
      <family val="2"/>
      <scheme val="minor"/>
    </font>
    <font>
      <sz val="12"/>
      <color rgb="FF1A1A2E"/>
      <name val="Calibri"/>
      <family val="2"/>
      <scheme val="minor"/>
    </font>
    <font>
      <b/>
      <sz val="12"/>
      <color rgb="FF1A0A21"/>
      <name val="Calibri"/>
      <family val="2"/>
      <scheme val="minor"/>
    </font>
    <font>
      <b/>
      <sz val="12"/>
      <color rgb="FF1A1A2E"/>
      <name val="Calibri"/>
      <family val="2"/>
      <scheme val="minor"/>
    </font>
    <font>
      <b/>
      <sz val="12"/>
      <color rgb="FF000000"/>
      <name val="Calibri"/>
      <family val="2"/>
      <scheme val="minor"/>
    </font>
    <font>
      <i/>
      <sz val="12"/>
      <color theme="0"/>
      <name val="Calibri"/>
      <family val="2"/>
      <scheme val="minor"/>
    </font>
    <font>
      <i/>
      <sz val="12"/>
      <color rgb="FF1A1A2E"/>
      <name val="Calibri"/>
      <family val="2"/>
      <scheme val="minor"/>
    </font>
    <font>
      <b/>
      <i/>
      <sz val="12"/>
      <color rgb="FF000000"/>
      <name val="Calibri"/>
      <family val="2"/>
      <scheme val="minor"/>
    </font>
    <font>
      <b/>
      <i/>
      <sz val="12"/>
      <color rgb="FF1A1A2E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1"/>
      <color rgb="FF18F194"/>
      <name val="Calibri"/>
    </font>
    <font>
      <b/>
      <sz val="11"/>
      <color rgb="FF591F6A"/>
      <name val="Calibri"/>
    </font>
    <font>
      <sz val="11"/>
      <color rgb="FFFF000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591F6A"/>
        <bgColor indexed="64"/>
      </patternFill>
    </fill>
    <fill>
      <patternFill patternType="solid">
        <fgColor rgb="FF18F194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EDF6"/>
        <bgColor indexed="64"/>
      </patternFill>
    </fill>
    <fill>
      <patternFill patternType="solid">
        <fgColor rgb="FF7B2D8B"/>
        <bgColor indexed="64"/>
      </patternFill>
    </fill>
    <fill>
      <patternFill patternType="solid">
        <fgColor rgb="FFF3EDF6"/>
        <bgColor rgb="FF18F194"/>
      </patternFill>
    </fill>
    <fill>
      <patternFill patternType="solid">
        <fgColor rgb="FFFFFFFF"/>
        <bgColor rgb="FF18F194"/>
      </patternFill>
    </fill>
    <fill>
      <patternFill patternType="solid">
        <fgColor rgb="FF591F6A"/>
        <bgColor rgb="FF591F6A"/>
      </patternFill>
    </fill>
    <fill>
      <patternFill patternType="solid">
        <fgColor rgb="FF18F194"/>
        <bgColor rgb="FF18F19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49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3" fillId="0" borderId="0" xfId="0" pivotButton="1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9" fillId="3" borderId="0" xfId="0" applyNumberFormat="1" applyFont="1" applyFill="1" applyAlignment="1">
      <alignment horizontal="center"/>
    </xf>
    <xf numFmtId="166" fontId="10" fillId="3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left"/>
    </xf>
    <xf numFmtId="0" fontId="6" fillId="2" borderId="0" xfId="0" applyFont="1" applyFill="1" applyAlignment="1">
      <alignment horizontal="center"/>
    </xf>
    <xf numFmtId="0" fontId="11" fillId="5" borderId="0" xfId="0" applyFont="1" applyFill="1" applyAlignment="1">
      <alignment horizontal="left"/>
    </xf>
    <xf numFmtId="0" fontId="11" fillId="5" borderId="0" xfId="0" applyFont="1" applyFill="1" applyAlignment="1">
      <alignment horizontal="center"/>
    </xf>
    <xf numFmtId="0" fontId="11" fillId="6" borderId="0" xfId="0" applyFont="1" applyFill="1" applyAlignment="1">
      <alignment horizontal="left"/>
    </xf>
    <xf numFmtId="3" fontId="11" fillId="6" borderId="0" xfId="0" applyNumberFormat="1" applyFont="1" applyFill="1" applyAlignment="1">
      <alignment horizontal="center"/>
    </xf>
    <xf numFmtId="3" fontId="11" fillId="5" borderId="0" xfId="0" applyNumberFormat="1" applyFont="1" applyFill="1" applyAlignment="1">
      <alignment horizontal="center"/>
    </xf>
    <xf numFmtId="0" fontId="12" fillId="3" borderId="0" xfId="0" applyFont="1" applyFill="1" applyAlignment="1">
      <alignment horizontal="left"/>
    </xf>
    <xf numFmtId="167" fontId="6" fillId="2" borderId="0" xfId="0" applyNumberFormat="1" applyFont="1" applyFill="1" applyAlignment="1">
      <alignment horizontal="center"/>
    </xf>
    <xf numFmtId="167" fontId="11" fillId="5" borderId="0" xfId="0" applyNumberFormat="1" applyFont="1" applyFill="1" applyAlignment="1">
      <alignment horizontal="center"/>
    </xf>
    <xf numFmtId="3" fontId="13" fillId="5" borderId="0" xfId="0" applyNumberFormat="1" applyFont="1" applyFill="1" applyAlignment="1">
      <alignment horizontal="center"/>
    </xf>
    <xf numFmtId="0" fontId="13" fillId="5" borderId="0" xfId="0" applyFont="1" applyFill="1" applyAlignment="1">
      <alignment horizontal="left"/>
    </xf>
    <xf numFmtId="167" fontId="11" fillId="5" borderId="0" xfId="0" applyNumberFormat="1" applyFont="1" applyFill="1" applyAlignment="1">
      <alignment horizontal="right"/>
    </xf>
    <xf numFmtId="167" fontId="11" fillId="6" borderId="0" xfId="0" applyNumberFormat="1" applyFont="1" applyFill="1" applyAlignment="1">
      <alignment horizontal="right"/>
    </xf>
    <xf numFmtId="0" fontId="6" fillId="7" borderId="0" xfId="0" applyFont="1" applyFill="1" applyAlignment="1">
      <alignment horizontal="center"/>
    </xf>
    <xf numFmtId="0" fontId="7" fillId="7" borderId="0" xfId="0" applyFont="1" applyFill="1" applyAlignment="1">
      <alignment horizontal="left" vertical="center"/>
    </xf>
    <xf numFmtId="0" fontId="6" fillId="7" borderId="0" xfId="0" applyFont="1" applyFill="1"/>
    <xf numFmtId="0" fontId="14" fillId="3" borderId="0" xfId="0" applyFont="1" applyFill="1" applyAlignment="1">
      <alignment horizontal="left"/>
    </xf>
    <xf numFmtId="3" fontId="14" fillId="3" borderId="0" xfId="0" applyNumberFormat="1" applyFont="1" applyFill="1" applyAlignment="1">
      <alignment horizontal="center"/>
    </xf>
    <xf numFmtId="167" fontId="14" fillId="3" borderId="0" xfId="0" applyNumberFormat="1" applyFont="1" applyFill="1" applyAlignment="1">
      <alignment horizontal="center"/>
    </xf>
    <xf numFmtId="167" fontId="14" fillId="3" borderId="0" xfId="0" applyNumberFormat="1" applyFont="1" applyFill="1" applyAlignment="1">
      <alignment horizontal="right"/>
    </xf>
    <xf numFmtId="0" fontId="14" fillId="8" borderId="0" xfId="0" applyFont="1" applyFill="1" applyAlignment="1">
      <alignment horizontal="left"/>
    </xf>
    <xf numFmtId="0" fontId="14" fillId="9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3" fontId="15" fillId="0" borderId="0" xfId="0" applyNumberFormat="1" applyFont="1" applyAlignment="1">
      <alignment horizontal="center"/>
    </xf>
    <xf numFmtId="3" fontId="15" fillId="0" borderId="0" xfId="0" applyNumberFormat="1" applyFont="1" applyAlignment="1">
      <alignment horizontal="left"/>
    </xf>
    <xf numFmtId="3" fontId="16" fillId="6" borderId="0" xfId="0" applyNumberFormat="1" applyFont="1" applyFill="1" applyAlignment="1">
      <alignment horizontal="center"/>
    </xf>
    <xf numFmtId="3" fontId="16" fillId="6" borderId="0" xfId="0" applyNumberFormat="1" applyFont="1" applyFill="1" applyAlignment="1">
      <alignment horizontal="left"/>
    </xf>
    <xf numFmtId="3" fontId="16" fillId="5" borderId="0" xfId="0" applyNumberFormat="1" applyFont="1" applyFill="1" applyAlignment="1">
      <alignment horizontal="center"/>
    </xf>
    <xf numFmtId="3" fontId="16" fillId="5" borderId="0" xfId="0" applyNumberFormat="1" applyFont="1" applyFill="1" applyAlignment="1">
      <alignment horizontal="left"/>
    </xf>
    <xf numFmtId="3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left"/>
    </xf>
    <xf numFmtId="3" fontId="18" fillId="5" borderId="0" xfId="0" applyNumberFormat="1" applyFont="1" applyFill="1" applyAlignment="1">
      <alignment horizontal="center"/>
    </xf>
    <xf numFmtId="3" fontId="19" fillId="0" borderId="0" xfId="0" applyNumberFormat="1" applyFont="1" applyAlignment="1">
      <alignment horizontal="center"/>
    </xf>
    <xf numFmtId="3" fontId="19" fillId="0" borderId="0" xfId="0" applyNumberFormat="1" applyFont="1" applyAlignment="1">
      <alignment horizontal="left"/>
    </xf>
    <xf numFmtId="0" fontId="13" fillId="3" borderId="0" xfId="0" applyFont="1" applyFill="1" applyAlignment="1">
      <alignment horizontal="left"/>
    </xf>
    <xf numFmtId="167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indent="1"/>
    </xf>
    <xf numFmtId="0" fontId="13" fillId="6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3" fontId="11" fillId="5" borderId="0" xfId="0" applyNumberFormat="1" applyFont="1" applyFill="1" applyAlignment="1">
      <alignment horizontal="left"/>
    </xf>
    <xf numFmtId="0" fontId="20" fillId="10" borderId="0" xfId="0" applyFont="1" applyFill="1" applyAlignment="1">
      <alignment horizontal="left"/>
    </xf>
    <xf numFmtId="0" fontId="20" fillId="10" borderId="0" xfId="0" applyFont="1" applyFill="1"/>
    <xf numFmtId="0" fontId="21" fillId="11" borderId="0" xfId="0" applyFont="1" applyFill="1"/>
    <xf numFmtId="0" fontId="22" fillId="0" borderId="0" xfId="0" applyFont="1" applyAlignment="1">
      <alignment horizontal="left"/>
    </xf>
    <xf numFmtId="0" fontId="1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9" fillId="2" borderId="0" xfId="0" applyFont="1" applyFill="1" applyAlignment="1">
      <alignment horizontal="center"/>
    </xf>
    <xf numFmtId="0" fontId="7" fillId="7" borderId="0" xfId="0" applyFont="1" applyFill="1" applyAlignment="1">
      <alignment horizontal="left" vertical="center"/>
    </xf>
    <xf numFmtId="0" fontId="7" fillId="7" borderId="0" xfId="0" applyFont="1" applyFill="1" applyAlignment="1">
      <alignment horizontal="center" vertical="center"/>
    </xf>
    <xf numFmtId="0" fontId="2" fillId="0" borderId="0" xfId="0" applyFont="1" applyAlignment="1">
      <alignment horizontal="left"/>
    </xf>
    <xf numFmtId="0" fontId="8" fillId="4" borderId="0" xfId="0" applyFont="1" applyFill="1" applyAlignment="1">
      <alignment horizontal="center" vertical="center"/>
    </xf>
    <xf numFmtId="0" fontId="2" fillId="0" borderId="0" xfId="0" applyNumberFormat="1" applyFont="1" applyAlignment="1">
      <alignment horizontal="center"/>
    </xf>
    <xf numFmtId="0" fontId="11" fillId="6" borderId="0" xfId="0" applyNumberFormat="1" applyFont="1" applyFill="1" applyAlignment="1">
      <alignment horizontal="center"/>
    </xf>
    <xf numFmtId="0" fontId="11" fillId="5" borderId="0" xfId="0" applyNumberFormat="1" applyFont="1" applyFill="1" applyAlignment="1">
      <alignment horizontal="center"/>
    </xf>
    <xf numFmtId="0" fontId="12" fillId="3" borderId="0" xfId="0" applyNumberFormat="1" applyFont="1" applyFill="1" applyAlignment="1">
      <alignment horizontal="center"/>
    </xf>
    <xf numFmtId="0" fontId="14" fillId="3" borderId="0" xfId="0" applyNumberFormat="1" applyFont="1" applyFill="1" applyAlignment="1">
      <alignment horizontal="center"/>
    </xf>
    <xf numFmtId="0" fontId="11" fillId="6" borderId="0" xfId="0" applyFont="1" applyFill="1" applyAlignment="1"/>
    <xf numFmtId="0" fontId="11" fillId="5" borderId="0" xfId="0" applyFont="1" applyFill="1" applyAlignment="1"/>
  </cellXfs>
  <cellStyles count="1">
    <cellStyle name="Normal" xfId="0" builtinId="0"/>
  </cellStyles>
  <dxfs count="2493"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ont>
        <b/>
      </font>
    </dxf>
    <dxf>
      <font>
        <b/>
      </font>
    </dxf>
    <dxf>
      <font>
        <color rgb="FF1A0A21"/>
      </font>
    </dxf>
    <dxf>
      <font>
        <color rgb="FF1A0A21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ont>
        <b/>
      </font>
    </dxf>
    <dxf>
      <font>
        <b/>
      </font>
    </dxf>
    <dxf>
      <font>
        <color rgb="FF1A0A21"/>
      </font>
    </dxf>
    <dxf>
      <font>
        <color rgb="FF1A0A21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167" formatCode="&quot;R$&quot;\ #,##0.00"/>
    </dxf>
    <dxf>
      <font>
        <sz val="10"/>
      </font>
    </dxf>
    <dxf>
      <font>
        <sz val="10"/>
      </font>
    </dxf>
    <dxf>
      <numFmt numFmtId="167" formatCode="&quot;R$&quot;\ #,##0.00"/>
    </dxf>
    <dxf>
      <font>
        <sz val="10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sz val="10"/>
      </font>
    </dxf>
    <dxf>
      <numFmt numFmtId="167" formatCode="&quot;R$&quot;\ #,##0.00"/>
    </dxf>
    <dxf>
      <font>
        <color theme="0"/>
      </font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ont>
        <b/>
      </font>
    </dxf>
    <dxf>
      <font>
        <b/>
      </font>
    </dxf>
    <dxf>
      <font>
        <color rgb="FF1A0A21"/>
      </font>
    </dxf>
    <dxf>
      <font>
        <color rgb="FF1A0A21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rgb="FFFF0000"/>
      </font>
    </dxf>
    <dxf>
      <font>
        <color rgb="FFFF0000"/>
      </font>
    </dxf>
    <dxf>
      <alignment horizontal="left"/>
    </dxf>
    <dxf>
      <font>
        <color rgb="FFFF0000"/>
      </font>
    </dxf>
    <dxf>
      <font>
        <color rgb="FFFF0000"/>
      </font>
    </dxf>
    <dxf>
      <alignment horizontal="left"/>
    </dxf>
    <dxf>
      <fill>
        <patternFill>
          <bgColor rgb="FF18F194"/>
        </patternFill>
      </fill>
    </dxf>
    <dxf>
      <fill>
        <patternFill>
          <fgColor indexed="64"/>
          <bgColor indexed="65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numFmt numFmtId="3" formatCode="#,##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color rgb="FF363B96"/>
      </font>
    </dxf>
    <dxf>
      <font>
        <color rgb="FF363B96"/>
      </font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ont>
        <b/>
      </font>
    </dxf>
    <dxf>
      <font>
        <b/>
      </font>
    </dxf>
    <dxf>
      <font>
        <color rgb="FF1A0A21"/>
      </font>
    </dxf>
    <dxf>
      <font>
        <color rgb="FF1A0A21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167" formatCode="&quot;R$&quot;\ #,##0.00"/>
    </dxf>
    <dxf>
      <font>
        <sz val="10"/>
      </font>
    </dxf>
    <dxf>
      <font>
        <sz val="10"/>
      </font>
    </dxf>
    <dxf>
      <numFmt numFmtId="167" formatCode="&quot;R$&quot;\ #,##0.00"/>
    </dxf>
    <dxf>
      <font>
        <sz val="10"/>
      </font>
    </dxf>
    <dxf>
      <font>
        <sz val="10"/>
      </font>
    </dxf>
    <dxf>
      <font>
        <sz val="10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b/>
      </font>
    </dxf>
    <dxf>
      <numFmt numFmtId="34" formatCode="_-&quot;R$&quot;\ * #,##0.00_-;\-&quot;R$&quot;\ * #,##0.00_-;_-&quot;R$&quot;\ * &quot;-&quot;??_-;_-@_-"/>
    </dxf>
    <dxf>
      <font>
        <color theme="0"/>
      </font>
    </dxf>
    <dxf>
      <font>
        <sz val="10"/>
      </font>
    </dxf>
    <dxf>
      <font>
        <sz val="10"/>
      </font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ont>
        <b/>
      </font>
    </dxf>
    <dxf>
      <font>
        <b/>
      </font>
    </dxf>
    <dxf>
      <font>
        <color rgb="FF1A0A21"/>
      </font>
    </dxf>
    <dxf>
      <font>
        <color rgb="FF1A0A21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>
          <bgColor rgb="FF18F194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  <numFmt numFmtId="3" formatCode="#,##0"/>
      <fill>
        <patternFill patternType="solid">
          <fgColor indexed="64"/>
          <bgColor rgb="FF002060"/>
        </patternFill>
      </fill>
      <alignment horizontal="center"/>
    </dxf>
    <dxf>
      <font>
        <color rgb="FF000000"/>
      </font>
      <fill>
        <patternFill>
          <fgColor rgb="FF18F194"/>
        </patternFill>
      </fill>
    </dxf>
    <dxf>
      <font>
        <color rgb="FF000000"/>
      </font>
      <fill>
        <patternFill>
          <fgColor rgb="FF18F194"/>
        </patternFill>
      </fill>
    </dxf>
    <dxf>
      <font>
        <color rgb="FF000000"/>
      </font>
      <fill>
        <patternFill>
          <fgColor rgb="FF18F194"/>
        </patternFill>
      </fill>
    </dxf>
    <dxf>
      <font>
        <color rgb="FF000000"/>
      </font>
      <fill>
        <patternFill>
          <fgColor rgb="FF18F194"/>
        </patternFill>
      </fill>
    </dxf>
    <dxf>
      <font>
        <color rgb="FF000000"/>
      </font>
      <fill>
        <patternFill>
          <fgColor rgb="FF18F194"/>
        </patternFill>
      </fill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ont>
        <b/>
      </font>
    </dxf>
    <dxf>
      <font>
        <b/>
      </font>
    </dxf>
    <dxf>
      <font>
        <color rgb="FF1A0A21"/>
      </font>
    </dxf>
    <dxf>
      <font>
        <color rgb="FF1A0A21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fill>
        <patternFill>
          <fgColor indexed="64"/>
          <bgColor rgb="FF18F194"/>
        </patternFill>
      </fill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alignment horizontal="general"/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bgColor rgb="FF18F194"/>
        </patternFill>
      </fill>
    </dxf>
    <dxf>
      <font>
        <b/>
      </font>
    </dxf>
    <dxf>
      <fill>
        <patternFill>
          <bgColor rgb="FFC4D72F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general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0"/>
      </font>
    </dxf>
    <dxf>
      <font>
        <color auto="1"/>
      </font>
    </dxf>
    <dxf>
      <alignment horizontal="center"/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ill>
        <patternFill>
          <bgColor rgb="FF002060"/>
        </patternFill>
      </fill>
    </dxf>
    <dxf>
      <font>
        <color theme="0"/>
      </font>
    </dxf>
    <dxf>
      <font>
        <color theme="0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font>
        <sz val="10"/>
      </font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fill>
        <patternFill>
          <bgColor rgb="FF002060"/>
        </patternFill>
      </fill>
    </dxf>
    <dxf>
      <font>
        <color theme="0"/>
      </font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rgb="FF363B96"/>
      </font>
    </dxf>
    <dxf>
      <font>
        <color rgb="FF363B96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alignment horizontal="center"/>
    </dxf>
    <dxf>
      <fill>
        <patternFill>
          <bgColor rgb="FF363B96"/>
        </patternFill>
      </fill>
    </dxf>
    <dxf>
      <alignment horizontal="center"/>
    </dxf>
    <dxf>
      <fill>
        <patternFill>
          <bgColor theme="3" tint="-0.249977111117893"/>
        </patternFill>
      </fill>
    </dxf>
    <dxf>
      <font>
        <b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left"/>
    </dxf>
    <dxf>
      <font>
        <color theme="0"/>
      </font>
    </dxf>
    <dxf>
      <fill>
        <patternFill>
          <bgColor rgb="FF002060"/>
        </patternFill>
      </fill>
    </dxf>
    <dxf>
      <fill>
        <patternFill patternType="solid"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ont>
        <b/>
      </font>
    </dxf>
    <dxf>
      <font>
        <b/>
      </font>
    </dxf>
    <dxf>
      <font>
        <color rgb="FF1A0A21"/>
      </font>
    </dxf>
    <dxf>
      <font>
        <color rgb="FF1A0A21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font>
        <b/>
      </font>
    </dxf>
    <dxf>
      <alignment horizontal="center"/>
    </dxf>
    <dxf>
      <alignment horizontal="center"/>
    </dxf>
    <dxf>
      <font>
        <i/>
      </font>
    </dxf>
    <dxf>
      <font>
        <i/>
      </font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ont>
        <b/>
      </font>
    </dxf>
    <dxf>
      <font>
        <b/>
      </font>
    </dxf>
    <dxf>
      <font>
        <color rgb="FF1A0A21"/>
      </font>
    </dxf>
    <dxf>
      <font>
        <color rgb="FF1A0A21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alignment horizontal="general" vertical="bottom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ont>
        <b/>
      </font>
    </dxf>
    <dxf>
      <font>
        <b/>
      </font>
    </dxf>
    <dxf>
      <font>
        <color rgb="FF1A0A21"/>
      </font>
    </dxf>
    <dxf>
      <font>
        <color rgb="FF1A0A21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ont>
        <b/>
      </font>
    </dxf>
    <dxf>
      <font>
        <b/>
      </font>
    </dxf>
    <dxf>
      <font>
        <color rgb="FF1A0A21"/>
      </font>
    </dxf>
    <dxf>
      <font>
        <color rgb="FF1A0A21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numFmt numFmtId="3" formatCode="#,##0"/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b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ont>
        <b/>
      </font>
    </dxf>
    <dxf>
      <font>
        <b/>
      </font>
    </dxf>
    <dxf>
      <font>
        <color rgb="FF1A0A21"/>
      </font>
    </dxf>
    <dxf>
      <font>
        <color rgb="FF1A0A21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general"/>
    </dxf>
    <dxf>
      <alignment horizontal="right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0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7" formatCode="&quot;R$&quot;\ #,##0.00"/>
    </dxf>
    <dxf>
      <numFmt numFmtId="167" formatCode="&quot;R$&quot;\ #,##0.00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numFmt numFmtId="34" formatCode="_-&quot;R$&quot;\ * #,##0.00_-;\-&quot;R$&quot;\ * #,##0.00_-;_-&quot;R$&quot;\ * &quot;-&quot;??_-;_-@_-"/>
    </dxf>
    <dxf>
      <alignment horizontal="general"/>
    </dxf>
    <dxf>
      <font>
        <b/>
      </font>
    </dxf>
    <dxf>
      <font>
        <b/>
      </font>
    </dxf>
    <dxf>
      <font>
        <color rgb="FF000000"/>
      </font>
    </dxf>
    <dxf>
      <font>
        <color rgb="FF000000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ont>
        <b/>
      </font>
    </dxf>
    <dxf>
      <font>
        <b/>
      </font>
    </dxf>
    <dxf>
      <font>
        <color rgb="FF1A0A21"/>
      </font>
    </dxf>
    <dxf>
      <font>
        <color rgb="FF1A0A21"/>
      </font>
    </dxf>
    <dxf>
      <fill>
        <patternFill patternType="solid">
          <fgColor indexed="64"/>
          <bgColor rgb="FF18F194"/>
        </patternFill>
      </fill>
    </dxf>
    <dxf>
      <fill>
        <patternFill patternType="solid">
          <fgColor indexed="64"/>
          <bgColor rgb="FF18F194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3EDF6"/>
        </patternFill>
      </fill>
    </dxf>
    <dxf>
      <fill>
        <patternFill patternType="solid">
          <fgColor indexed="64"/>
          <bgColor rgb="FFF3EDF6"/>
        </patternFill>
      </fill>
    </dxf>
    <dxf>
      <font>
        <color rgb="FF1A1A2E"/>
      </font>
    </dxf>
    <dxf>
      <font>
        <color rgb="FF1A1A2E"/>
      </font>
    </dxf>
    <dxf>
      <font>
        <color rgb="FF1A1A2E"/>
      </font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ont>
        <b/>
      </font>
    </dxf>
    <dxf>
      <font>
        <b/>
      </font>
    </dxf>
    <dxf>
      <font>
        <b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fill>
        <patternFill patternType="solid">
          <fgColor indexed="64"/>
          <bgColor rgb="FF591F6A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fill>
        <patternFill>
          <bgColor rgb="FF591F6A"/>
        </patternFill>
      </fill>
    </dxf>
    <dxf>
      <fill>
        <patternFill>
          <bgColor rgb="FF591F6A"/>
        </patternFill>
      </fill>
    </dxf>
    <dxf>
      <font>
        <b/>
        <color theme="0"/>
      </font>
      <fill>
        <patternFill>
          <bgColor rgb="FF591F6A"/>
        </patternFill>
      </fill>
    </dxf>
    <dxf>
      <font>
        <b/>
        <color theme="0"/>
      </font>
      <fill>
        <patternFill>
          <bgColor rgb="FF591F6A"/>
        </patternFill>
      </fill>
    </dxf>
  </dxfs>
  <tableStyles count="2" defaultTableStyle="TableStyleMedium9" defaultPivotStyle="PivotStyleLight16">
    <tableStyle name="Estilo de Tabela Dinâmica 1" table="0" count="4" xr9:uid="{00000000-0011-0000-FFFF-FFFF00000000}">
      <tableStyleElement type="headerRow" dxfId="2492"/>
      <tableStyleElement type="totalRow" dxfId="2491"/>
      <tableStyleElement type="firstSubtotalRow" dxfId="2490"/>
      <tableStyleElement type="pageFieldLabels" dxfId="2489"/>
    </tableStyle>
    <tableStyle name="Invisible" pivot="0" table="0" count="0" xr9:uid="{00000000-0011-0000-FFFF-FFFF01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or Freitas dos Santos" refreshedDate="46209.32042384259" createdVersion="8" refreshedVersion="8" minRefreshableVersion="3" recordCount="583" xr:uid="{00000000-000A-0000-FFFF-FFFF99000000}">
  <cacheSource type="worksheet">
    <worksheetSource ref="A1:AP1048576" sheet="Processado Erro - BASE"/>
  </cacheSource>
  <cacheFields count="48">
    <cacheField name="Handle PNR" numFmtId="0">
      <sharedItems containsString="0" containsBlank="1" containsNumber="1" containsInteger="1" minValue="24390618" maxValue="24872461"/>
    </cacheField>
    <cacheField name="Handle ACC" numFmtId="0">
      <sharedItems containsString="0" containsBlank="1" containsNumber="1" containsInteger="1" minValue="25188918" maxValue="25713152"/>
    </cacheField>
    <cacheField name="Sequencia" numFmtId="0">
      <sharedItems containsBlank="1"/>
    </cacheField>
    <cacheField name="Data Inclusão" numFmtId="0">
      <sharedItems containsNonDate="0" containsDate="1" containsString="0" containsBlank="1" minDate="2026-04-01T23:22:48" maxDate="2026-07-06T00:39:13" count="515">
        <d v="2026-04-01T23:22:48"/>
        <d v="2026-04-02T11:04:06"/>
        <d v="2026-04-02T17:40:29"/>
        <d v="2026-04-02T17:40:31"/>
        <d v="2026-04-02T11:14:36"/>
        <d v="2026-04-06T11:52:03"/>
        <d v="2026-04-13T22:40:57"/>
        <d v="2026-04-15T11:41:13"/>
        <d v="2026-04-06T18:41:47"/>
        <d v="2026-04-09T17:20:30"/>
        <d v="2026-04-24T08:42:07"/>
        <d v="2026-04-30T13:53:19"/>
        <d v="2026-04-24T09:22:17"/>
        <d v="2026-05-08T11:33:53"/>
        <d v="2026-04-30T15:52:17"/>
        <d v="2026-04-28T10:13:02"/>
        <d v="2026-05-12T09:42:10"/>
        <d v="2026-05-08T06:50:51"/>
        <d v="2026-04-30T20:33:06"/>
        <d v="2026-05-08T10:47:00"/>
        <d v="2026-05-04T15:33:25"/>
        <d v="2026-04-24T12:10:53"/>
        <d v="2026-06-05T20:08:11"/>
        <d v="2026-06-05T20:08:35"/>
        <d v="2026-06-05T20:09:29"/>
        <d v="2026-06-04T01:31:32"/>
        <d v="2026-05-13T00:18:17"/>
        <d v="2026-05-13T00:18:23"/>
        <d v="2026-05-29T13:44:35"/>
        <d v="2026-06-05T14:09:37"/>
        <d v="2026-06-05T14:09:42"/>
        <d v="2026-06-06T10:21:55"/>
        <d v="2026-05-14T13:10:44"/>
        <d v="2026-05-15T13:46:26"/>
        <d v="2026-06-02T18:31:37"/>
        <d v="2026-05-20T18:13:34"/>
        <d v="2026-05-18T14:13:41"/>
        <d v="2026-05-13T16:04:30"/>
        <d v="2026-05-27T11:01:38"/>
        <d v="2026-06-06T20:42:40"/>
        <d v="2026-06-09T10:22:51"/>
        <d v="2026-05-24T13:49:16"/>
        <d v="2026-06-09T12:37:13"/>
        <d v="2026-06-08T11:59:34"/>
        <d v="2026-05-26T22:21:46"/>
        <d v="2026-05-28T18:21:40"/>
        <d v="2026-06-02T11:10:40"/>
        <d v="2026-05-20T15:00:35"/>
        <d v="2026-05-28T18:21:50"/>
        <d v="2026-06-19T10:23:24"/>
        <d v="2026-06-22T13:38:13"/>
        <d v="2026-06-17T18:07:03"/>
        <d v="2026-06-12T09:40:49"/>
        <d v="2026-06-19T14:32:53"/>
        <d v="2026-06-17T09:03:22"/>
        <d v="2026-06-18T06:17:49"/>
        <d v="2026-06-23T10:43:30"/>
        <d v="2026-06-17T10:58:59"/>
        <d v="2026-06-17T10:59:04"/>
        <d v="2026-06-17T19:21:17"/>
        <d v="2026-06-17T19:21:21"/>
        <d v="2026-06-17T19:21:24"/>
        <d v="2026-06-22T14:46:21"/>
        <d v="2026-06-19T06:32:18"/>
        <d v="2026-06-09T17:11:21"/>
        <d v="2026-06-22T20:16:29"/>
        <d v="2026-06-20T14:20:51"/>
        <d v="2026-06-18T18:47:35"/>
        <d v="2026-06-19T00:58:42"/>
        <d v="2026-06-18T15:18:21"/>
        <d v="2026-06-22T12:32:38"/>
        <d v="2026-06-19T12:47:07"/>
        <d v="2026-06-22T14:11:10"/>
        <d v="2026-06-12T11:22:45"/>
        <d v="2026-06-16T15:16:41"/>
        <d v="2026-06-15T09:39:05"/>
        <d v="2026-06-12T10:52:52"/>
        <d v="2026-06-09T22:03:11"/>
        <d v="2026-06-16T22:05:17"/>
        <d v="2026-06-09T23:16:42"/>
        <d v="2026-06-20T10:18:22"/>
        <d v="2026-06-18T18:35:33"/>
        <d v="2026-06-17T21:43:00"/>
        <d v="2026-06-09T23:16:41"/>
        <d v="2026-06-09T18:08:30"/>
        <d v="2026-06-19T12:47:04"/>
        <d v="2026-06-22T19:57:03"/>
        <d v="2026-06-16T18:13:48"/>
        <d v="2026-06-18T16:03:04"/>
        <d v="2026-06-23T12:16:36"/>
        <d v="2026-06-17T12:28:17"/>
        <d v="2026-06-11T16:22:49"/>
        <d v="2026-06-19T11:02:55"/>
        <d v="2026-06-19T11:12:58"/>
        <d v="2026-06-12T22:59:02"/>
        <d v="2026-06-19T10:53:02"/>
        <d v="2026-06-19T19:02:22"/>
        <d v="2026-06-18T15:35:41"/>
        <d v="2026-06-19T19:16:10"/>
        <d v="2026-06-21T22:21:10"/>
        <d v="2026-06-18T11:42:54"/>
        <d v="2026-06-23T11:42:41"/>
        <d v="2026-06-18T09:23:17"/>
        <d v="2026-06-23T20:55:52"/>
        <d v="2026-06-23T21:03:49"/>
        <d v="2026-06-23T14:35:14"/>
        <d v="2026-06-27T15:21:13"/>
        <d v="2026-06-23T12:34:56"/>
        <d v="2026-06-23T15:57:09"/>
        <d v="2026-06-23T20:55:46"/>
        <d v="2026-06-23T19:17:14"/>
        <d v="2026-06-24T19:28:02"/>
        <d v="2026-06-24T11:26:31"/>
        <d v="2026-06-25T20:42:05"/>
        <d v="2026-06-25T14:37:50"/>
        <d v="2026-06-24T14:16:44"/>
        <d v="2026-06-26T11:30:25"/>
        <d v="2026-06-25T22:06:06"/>
        <d v="2026-06-29T09:37:53"/>
        <d v="2026-06-28T08:42:33"/>
        <d v="2026-06-23T14:29:32"/>
        <d v="2026-06-23T20:53:49"/>
        <d v="2026-06-23T20:54:49"/>
        <d v="2026-06-25T22:05:40"/>
        <d v="2026-06-26T09:10:44"/>
        <d v="2026-06-25T15:01:31"/>
        <d v="2026-06-24T11:06:41"/>
        <d v="2026-06-24T02:10:43"/>
        <d v="2026-06-24T02:10:49"/>
        <d v="2026-06-23T14:16:58"/>
        <d v="2026-06-25T14:57:13"/>
        <d v="2026-06-25T14:57:18"/>
        <d v="2026-06-26T15:20:39"/>
        <d v="2026-06-26T21:27:55"/>
        <d v="2026-06-26T21:33:10"/>
        <d v="2026-06-27T03:08:59"/>
        <d v="2026-06-27T03:09:10"/>
        <d v="2026-06-25T21:08:03"/>
        <d v="2026-06-26T08:54:25"/>
        <d v="2026-06-26T08:54:28"/>
        <d v="2026-06-26T08:54:31"/>
        <d v="2026-06-26T08:54:35"/>
        <d v="2026-06-26T08:54:39"/>
        <d v="2026-06-25T14:03:10"/>
        <d v="2026-06-25T14:03:16"/>
        <d v="2026-06-26T16:01:56"/>
        <d v="2026-06-26T16:01:57"/>
        <d v="2026-06-23T20:57:29"/>
        <d v="2026-06-25T15:13:03"/>
        <d v="2026-06-26T15:22:46"/>
        <d v="2026-06-26T15:22:48"/>
        <d v="2026-06-26T17:23:04"/>
        <d v="2026-06-29T08:39:25"/>
        <d v="2026-06-29T08:39:26"/>
        <d v="2026-06-29T08:39:27"/>
        <d v="2026-06-29T08:41:33"/>
        <d v="2026-06-29T08:41:34"/>
        <d v="2026-06-26T14:03:47"/>
        <d v="2026-06-26T18:04:28"/>
        <d v="2026-06-25T11:59:34"/>
        <d v="2026-06-25T12:00:13"/>
        <d v="2026-06-25T18:50:49"/>
        <d v="2026-06-24T17:48:04"/>
        <d v="2026-06-24T17:48:07"/>
        <d v="2026-06-24T16:08:44"/>
        <d v="2026-06-24T16:08:55"/>
        <d v="2026-06-25T15:28:11"/>
        <d v="2026-06-23T20:27:59"/>
        <d v="2026-06-26T21:19:46"/>
        <d v="2026-06-28T15:38:22"/>
        <d v="2026-06-25T18:25:36"/>
        <d v="2026-06-25T10:13:01"/>
        <d v="2026-06-26T15:23:57"/>
        <d v="2026-06-25T09:15:16"/>
        <d v="2026-06-25T16:03:37"/>
        <d v="2026-06-24T12:25:44"/>
        <d v="2026-06-24T19:27:09"/>
        <d v="2026-06-24T19:27:04"/>
        <d v="2026-06-26T15:07:53"/>
        <d v="2026-06-26T15:07:56"/>
        <d v="2026-06-23T12:19:23"/>
        <d v="2026-06-23T12:24:09"/>
        <d v="2026-06-24T21:02:10"/>
        <d v="2026-06-29T09:37:15"/>
        <d v="2026-06-25T14:54:26"/>
        <d v="2026-06-25T10:15:00"/>
        <d v="2026-06-25T15:25:56"/>
        <d v="2026-06-25T20:28:12"/>
        <d v="2026-06-26T10:43:25"/>
        <d v="2026-06-23T12:36:17"/>
        <d v="2026-06-25T14:52:03"/>
        <d v="2026-06-23T14:15:52"/>
        <d v="2026-06-26T16:53:15"/>
        <d v="2026-06-24T21:05:39"/>
        <d v="2026-06-27T16:50:03"/>
        <d v="2026-06-24T14:27:23"/>
        <d v="2026-06-24T12:31:42"/>
        <d v="2026-06-26T17:53:41"/>
        <d v="2026-06-24T17:03:42"/>
        <d v="2026-06-26T15:24:04"/>
        <d v="2026-06-26T15:24:05"/>
        <d v="2026-06-26T15:23:55"/>
        <d v="2026-06-26T15:23:56"/>
        <d v="2026-06-26T16:39:17"/>
        <d v="2026-06-23T13:41:14"/>
        <d v="2026-06-23T18:40:57"/>
        <d v="2026-06-23T12:19:31"/>
        <d v="2026-06-24T14:39:47"/>
        <d v="2026-06-23T16:33:43"/>
        <d v="2026-06-24T17:13:05"/>
        <d v="2026-06-25T15:23:19"/>
        <d v="2026-06-27T18:38:58"/>
        <d v="2026-07-01T10:35:29"/>
        <d v="2026-06-30T10:03:14"/>
        <d v="2026-07-03T09:12:45"/>
        <d v="2026-07-02T18:11:31"/>
        <d v="2026-07-03T12:37:26"/>
        <d v="2026-07-03T12:37:55"/>
        <d v="2026-07-03T12:38:36"/>
        <d v="2026-07-02T23:19:07"/>
        <d v="2026-07-01T16:10:31"/>
        <d v="2026-07-03T11:09:58"/>
        <d v="2026-06-30T20:56:52"/>
        <d v="2026-07-01T13:11:57"/>
        <d v="2026-07-03T11:02:24"/>
        <d v="2026-07-03T11:13:34"/>
        <d v="2026-06-29T14:38:09"/>
        <d v="2026-07-03T09:12:56"/>
        <d v="2026-07-03T09:12:57"/>
        <d v="2026-07-03T09:13:03"/>
        <d v="2026-07-03T09:13:04"/>
        <d v="2026-07-03T09:13:05"/>
        <d v="2026-07-03T08:53:06"/>
        <d v="2026-06-29T12:22:07"/>
        <d v="2026-07-03T11:32:43"/>
        <d v="2026-07-05T11:53:52"/>
        <d v="2026-07-02T20:51:55"/>
        <d v="2026-07-03T13:41:09"/>
        <d v="2026-07-02T19:03:43"/>
        <d v="2026-07-02T18:05:06"/>
        <d v="2026-07-02T18:05:07"/>
        <d v="2026-07-01T14:02:29"/>
        <d v="2026-07-01T19:03:10"/>
        <d v="2026-06-30T12:01:28"/>
        <d v="2026-07-03T14:04:00"/>
        <d v="2026-07-03T14:04:24"/>
        <d v="2026-07-01T15:32:46"/>
        <d v="2026-07-01T13:47:39"/>
        <d v="2026-07-02T21:29:11"/>
        <d v="2026-07-02T21:29:15"/>
        <d v="2026-06-29T16:11:29"/>
        <d v="2026-07-02T23:11:17"/>
        <d v="2026-07-02T23:11:23"/>
        <d v="2026-07-03T11:21:30"/>
        <d v="2026-07-03T12:01:31"/>
        <d v="2026-07-03T12:02:24"/>
        <d v="2026-07-03T12:05:03"/>
        <d v="2026-07-03T12:05:24"/>
        <d v="2026-07-03T09:04:32"/>
        <d v="2026-07-02T10:05:25"/>
        <d v="2026-06-29T11:01:49"/>
        <d v="2026-07-01T10:01:27"/>
        <d v="2026-06-30T20:02:27"/>
        <d v="2026-06-29T16:24:36"/>
        <d v="2026-07-01T22:56:48"/>
        <d v="2026-07-01T22:57:00"/>
        <d v="2026-07-02T17:34:41"/>
        <d v="2026-07-01T22:55:55"/>
        <d v="2026-06-30T22:33:00"/>
        <d v="2026-07-03T10:12:47"/>
        <d v="2026-07-01T22:50:01"/>
        <d v="2026-07-03T14:25:17"/>
        <d v="2026-07-03T12:23:03"/>
        <d v="2026-07-03T12:23:15"/>
        <d v="2026-06-29T16:40:41"/>
        <d v="2026-07-03T14:22:54"/>
        <d v="2026-07-02T12:23:02"/>
        <d v="2026-07-03T12:23:11"/>
        <d v="2026-06-29T18:52:27"/>
        <d v="2026-07-03T10:00:54"/>
        <d v="2026-07-03T10:00:55"/>
        <d v="2026-07-02T09:48:36"/>
        <d v="2026-07-02T17:47:57"/>
        <d v="2026-07-01T10:29:20"/>
        <d v="2026-06-30T04:07:07"/>
        <d v="2026-07-03T11:16:43"/>
        <d v="2026-06-29T22:14:46"/>
        <d v="2026-07-01T16:56:16"/>
        <d v="2026-07-02T17:24:05"/>
        <d v="2026-06-30T22:50:36"/>
        <d v="2026-06-29T16:42:22"/>
        <d v="2026-06-29T10:03:45"/>
        <d v="2026-07-03T12:40:14"/>
        <d v="2026-06-30T16:56:41"/>
        <d v="2026-06-30T18:02:48"/>
        <d v="2026-07-02T18:02:55"/>
        <d v="2026-07-03T14:33:06"/>
        <d v="2026-07-03T13:38:46"/>
        <d v="2026-07-03T13:39:04"/>
        <d v="2026-06-30T16:39:03"/>
        <d v="2026-07-02T23:11:55"/>
        <d v="2026-07-02T17:19:27"/>
        <d v="2026-07-01T15:33:12"/>
        <d v="2026-06-30T19:14:14"/>
        <d v="2026-06-30T10:02:33"/>
        <d v="2026-07-02T17:38:48"/>
        <d v="2026-07-02T23:25:34"/>
        <d v="2026-07-01T16:50:27"/>
        <d v="2026-07-03T11:22:44"/>
        <d v="2026-06-30T22:52:18"/>
        <d v="2026-07-01T16:10:29"/>
        <d v="2026-06-30T17:20:35"/>
        <d v="2026-07-01T10:50:34"/>
        <d v="2026-07-02T16:15:52"/>
        <d v="2026-07-02T17:07:46"/>
        <d v="2026-06-29T16:37:46"/>
        <d v="2026-06-29T16:41:42"/>
        <d v="2026-06-30T15:01:47"/>
        <d v="2026-06-30T15:01:48"/>
        <d v="2026-07-01T15:12:01"/>
        <d v="2026-07-01T15:12:02"/>
        <d v="2026-07-01T14:27:50"/>
        <d v="2026-07-03T14:25:13"/>
        <d v="2026-07-03T19:03:35"/>
        <d v="2026-07-03T19:03:36"/>
        <d v="2026-07-03T11:09:43"/>
        <d v="2026-07-02T12:57:45"/>
        <d v="2026-07-01T10:50:37"/>
        <d v="2026-07-01T17:31:19"/>
        <d v="2026-07-01T17:31:20"/>
        <d v="2026-06-30T17:11:46"/>
        <d v="2026-06-30T17:13:02"/>
        <d v="2026-07-01T23:10:12"/>
        <d v="2026-07-03T12:22:20"/>
        <d v="2026-07-03T14:24:16"/>
        <d v="2026-07-01T10:50:26"/>
        <d v="2026-07-03T14:24:45"/>
        <d v="2026-07-03T14:25:07"/>
        <d v="2026-07-03T11:02:40"/>
        <d v="2026-07-02T23:27:50"/>
        <d v="2026-07-02T18:00:36"/>
        <d v="2026-07-02T23:25:33"/>
        <d v="2026-07-02T20:54:00"/>
        <d v="2026-07-03T14:24:51"/>
        <d v="2026-07-03T12:30:00"/>
        <d v="2026-06-30T19:14:23"/>
        <d v="2026-07-03T11:58:04"/>
        <d v="2026-07-03T11:58:50"/>
        <d v="2026-06-30T20:56:13"/>
        <d v="2026-07-01T10:43:12"/>
        <d v="2026-07-03T14:30:44"/>
        <d v="2026-07-03T14:23:20"/>
        <d v="2026-07-03T11:41:07"/>
        <d v="2026-07-02T12:31:22"/>
        <d v="2026-07-03T13:40:47"/>
        <d v="2026-07-03T13:40:59"/>
        <d v="2026-07-03T11:58:09"/>
        <d v="2026-07-03T14:25:56"/>
        <d v="2026-07-03T12:10:05"/>
        <d v="2026-07-03T12:23:07"/>
        <d v="2026-07-03T12:22:30"/>
        <d v="2026-07-03T12:22:42"/>
        <d v="2026-07-03T12:22:58"/>
        <d v="2026-06-29T22:13:44"/>
        <d v="2026-07-03T12:09:52"/>
        <d v="2026-07-03T14:25:22"/>
        <d v="2026-07-01T23:10:13"/>
        <d v="2026-07-02T19:21:58"/>
        <d v="2026-07-03T14:19:25"/>
        <d v="2026-07-02T20:53:30"/>
        <d v="2026-07-02T20:53:34"/>
        <d v="2026-07-01T12:22:56"/>
        <d v="2026-06-29T18:12:48"/>
        <d v="2026-07-01T15:33:15"/>
        <d v="2026-06-29T09:48:51"/>
        <d v="2026-07-02T13:12:54"/>
        <d v="2026-07-02T10:52:44"/>
        <d v="2026-07-03T11:58:48"/>
        <d v="2026-07-02T10:53:33"/>
        <d v="2026-07-02T10:53:34"/>
        <d v="2026-06-30T16:32:59"/>
        <d v="2026-07-01T16:49:32"/>
        <d v="2026-07-03T10:17:57"/>
        <d v="2026-06-29T14:33:49"/>
        <d v="2026-07-02T20:54:13"/>
        <d v="2026-06-30T18:33:09"/>
        <d v="2026-06-30T17:15:19"/>
        <d v="2026-07-01T15:03:10"/>
        <d v="2026-06-29T17:22:43"/>
        <d v="2026-07-02T17:03:10"/>
        <d v="2026-06-29T16:17:35"/>
        <d v="2026-07-01T11:31:52"/>
        <d v="2026-07-01T13:42:49"/>
        <d v="2026-06-30T11:04:11"/>
        <d v="2026-07-01T12:08:25"/>
        <d v="2026-07-01T12:08:31"/>
        <d v="2026-07-03T14:43:17"/>
        <d v="2026-07-02T18:43:08"/>
        <d v="2026-06-30T20:56:59"/>
        <d v="2026-06-30T10:18:10"/>
        <d v="2026-06-30T10:18:19"/>
        <d v="2026-06-30T11:43:02"/>
        <d v="2026-07-02T15:43:07"/>
        <d v="2026-07-03T16:43:07"/>
        <d v="2026-07-03T16:34:30"/>
        <d v="2026-07-03T16:43:05"/>
        <d v="2026-07-03T15:03:31"/>
        <d v="2026-07-03T18:57:50"/>
        <d v="2026-07-03T18:58:07"/>
        <d v="2026-07-03T18:58:35"/>
        <d v="2026-07-06T00:39:13"/>
        <d v="2026-07-03T16:27:19"/>
        <d v="2026-07-03T17:56:20"/>
        <d v="2026-07-03T15:56:51"/>
        <d v="2026-07-03T18:03:20"/>
        <d v="2026-07-03T16:44:13"/>
        <d v="2026-07-03T17:35:06"/>
        <d v="2026-07-03T17:35:09"/>
        <d v="2026-07-03T17:35:11"/>
        <d v="2026-07-03T17:35:14"/>
        <d v="2026-07-03T17:42:59"/>
        <d v="2026-07-03T17:43:00"/>
        <d v="2026-07-03T18:48:12"/>
        <d v="2026-07-03T17:35:49"/>
        <d v="2026-07-03T17:36:05"/>
        <d v="2026-07-03T17:36:11"/>
        <d v="2026-07-04T11:32:57"/>
        <d v="2026-07-03T15:01:04"/>
        <d v="2026-07-03T18:05:04"/>
        <d v="2026-07-04T11:02:39"/>
        <d v="2026-07-04T10:04:47"/>
        <d v="2026-07-03T17:58:33"/>
        <d v="2026-07-03T15:47:16"/>
        <d v="2026-07-03T23:35:02"/>
        <d v="2026-07-03T17:53:25"/>
        <d v="2026-07-03T16:03:53"/>
        <d v="2026-07-03T17:19:40"/>
        <d v="2026-07-03T17:36:26"/>
        <d v="2026-07-03T17:36:48"/>
        <d v="2026-07-03T18:13:12"/>
        <d v="2026-07-03T18:13:14"/>
        <d v="2026-07-03T18:13:40"/>
        <d v="2026-07-03T18:13:51"/>
        <d v="2026-07-03T17:52:53"/>
        <d v="2026-07-03T15:46:27"/>
        <d v="2026-07-03T15:46:46"/>
        <d v="2026-07-03T18:02:19"/>
        <d v="2026-07-03T17:58:18"/>
        <d v="2026-07-03T16:34:57"/>
        <d v="2026-07-03T16:33:14"/>
        <d v="2026-07-03T17:56:11"/>
        <d v="2026-07-03T17:56:14"/>
        <d v="2026-07-03T17:23:56"/>
        <d v="2026-07-03T17:24:11"/>
        <d v="2026-07-04T17:37:43"/>
        <d v="2026-07-03T17:23:59"/>
        <d v="2026-07-03T17:24:08"/>
        <d v="2026-07-03T17:42:12"/>
        <d v="2026-07-03T17:40:59"/>
        <d v="2026-07-03T17:41:02"/>
        <d v="2026-07-03T17:41:05"/>
        <d v="2026-07-03T17:41:17"/>
        <d v="2026-07-03T17:41:38"/>
        <d v="2026-07-03T17:42:09"/>
        <d v="2026-07-03T17:42:29"/>
        <d v="2026-07-05T18:02:17"/>
        <d v="2026-07-03T18:15:39"/>
        <d v="2026-07-03T18:15:29"/>
        <d v="2026-07-03T14:53:48"/>
        <d v="2026-07-03T14:55:02"/>
        <d v="2026-07-03T19:00:54"/>
        <d v="2026-07-03T19:01:00"/>
        <d v="2026-07-03T19:01:20"/>
        <d v="2026-07-03T19:01:36"/>
        <d v="2026-07-04T00:32:03"/>
        <d v="2026-07-03T17:57:49"/>
        <d v="2026-07-03T17:58:05"/>
        <d v="2026-07-03T17:57:58"/>
        <d v="2026-07-03T17:58:02"/>
        <d v="2026-07-03T16:44:23"/>
        <d v="2026-07-03T16:44:18"/>
        <d v="2026-07-03T16:44:21"/>
        <d v="2026-07-03T17:09:46"/>
        <d v="2026-07-04T18:11:13"/>
        <d v="2026-07-04T10:49:09"/>
        <d v="2026-07-03T18:17:45"/>
        <d v="2026-07-04T19:12:09"/>
        <d v="2026-07-04T20:16:19"/>
        <d v="2026-07-05T12:31:21"/>
        <d v="2026-07-05T11:01:07"/>
        <d v="2026-07-03T15:26:15"/>
        <d v="2026-07-03T23:21:12"/>
        <d v="2026-07-04T13:26:10"/>
        <d v="2026-07-04T17:04:13"/>
        <d v="2026-07-05T21:05:14"/>
        <d v="2026-07-04T20:12:15"/>
        <d v="2026-07-03T17:05:48"/>
        <d v="2026-07-03T17:05:55"/>
        <d v="2026-07-03T18:12:27"/>
        <d v="2026-07-03T18:12:39"/>
        <d v="2026-07-03T15:07:03"/>
        <d v="2026-07-03T16:34:34"/>
        <d v="2026-07-03T19:00:44"/>
        <d v="2026-07-03T18:48:05"/>
        <d v="2026-07-03T15:06:59"/>
        <d v="2026-07-03T15:33:07"/>
        <d v="2026-07-03T18:11:12"/>
        <d v="2026-07-03T16:26:44"/>
        <d v="2026-07-03T15:13:07"/>
        <d v="2026-07-03T15:53:00"/>
        <d v="2026-07-03T18:23:04"/>
        <d v="2026-07-03T16:27:55"/>
        <d v="2026-07-03T18:48:08"/>
        <d v="2026-07-03T16:34:17"/>
        <m/>
      </sharedItems>
      <fieldGroup par="47"/>
    </cacheField>
    <cacheField name="Data Alteração" numFmtId="0">
      <sharedItems containsNonDate="0" containsDate="1" containsString="0" containsBlank="1" minDate="2026-04-30T21:13:52" maxDate="2026-07-06T06:50:25"/>
    </cacheField>
    <cacheField name="Aging Alteração" numFmtId="0">
      <sharedItems containsBlank="1"/>
    </cacheField>
    <cacheField name="Aging Inclusão" numFmtId="0">
      <sharedItems containsBlank="1"/>
    </cacheField>
    <cacheField name="Localizadora" numFmtId="0">
      <sharedItems containsBlank="1" containsMixedTypes="1" containsNumber="1" containsInteger="1" minValue="16566" maxValue="202606190891"/>
    </cacheField>
    <cacheField name="OBT" numFmtId="0">
      <sharedItems containsBlank="1"/>
    </cacheField>
    <cacheField name="Pax" numFmtId="0">
      <sharedItems containsBlank="1"/>
    </cacheField>
    <cacheField name="Agente Emissão" numFmtId="0">
      <sharedItems containsBlank="1"/>
    </cacheField>
    <cacheField name="Agente Criação" numFmtId="0">
      <sharedItems containsBlank="1"/>
    </cacheField>
    <cacheField name="Data Emissão" numFmtId="0">
      <sharedItems containsNonDate="0" containsDate="1" containsString="0" containsBlank="1" minDate="2025-12-18T10:56:00" maxDate="2026-07-10T17:59:00" count="465">
        <d v="2026-04-01T11:27:00"/>
        <d v="2026-04-01T20:46:00"/>
        <d v="2026-04-02T12:32:00"/>
        <d v="2026-07-02T10:00:00"/>
        <d v="2026-04-02T10:53:00"/>
        <d v="2026-04-06T06:42:00"/>
        <d v="2026-04-13T15:17:00"/>
        <d v="2026-04-07T15:40:00"/>
        <d v="2026-04-06T17:09:00"/>
        <d v="2026-04-08T14:02:00"/>
        <d v="2026-02-04T18:06:00"/>
        <d v="2026-04-30T10:41:00"/>
        <d v="2026-04-23T09:23:00"/>
        <d v="2026-04-29T15:24:00"/>
        <d v="2026-04-30T13:07:00"/>
        <d v="2026-04-28T07:46:00"/>
        <d v="2026-05-11T15:28:00"/>
        <d v="2026-05-05T14:28:00"/>
        <d v="2026-04-30T17:52:00"/>
        <d v="2026-05-08T09:49:00"/>
        <d v="2026-05-04T11:45:00"/>
        <d v="2026-04-23T12:09:00"/>
        <d v="2026-06-05T15:47:00"/>
        <d v="2026-06-05T16:00:00"/>
        <d v="2026-06-05T17:13:00"/>
        <d v="2026-06-03T22:46:00"/>
        <d v="2026-05-12T22:14:00"/>
        <d v="2026-05-12T22:34:00"/>
        <d v="2026-05-29T07:59:00"/>
        <d v="2026-06-05T08:46:00"/>
        <d v="2026-06-05T08:41:00"/>
        <d v="2026-06-05T15:15:00"/>
        <d v="2026-05-14T11:31:00"/>
        <d v="2026-03-02T13:15:00"/>
        <d v="2026-06-02T13:34:00"/>
        <d v="2026-05-04T15:02:00"/>
        <d v="2026-05-15T15:38:00"/>
        <d v="2026-05-13T13:25:00"/>
        <d v="2026-05-27T08:37:00"/>
        <d v="2026-06-06T17:44:00"/>
        <d v="2026-06-08T15:17:00"/>
        <d v="2026-05-04T15:24:00"/>
        <d v="2026-06-09T08:57:00"/>
        <d v="2025-12-18T10:56:00"/>
        <d v="2026-05-26T22:21:00"/>
        <d v="2026-05-27T13:26:00"/>
        <d v="2026-05-29T09:35:00"/>
        <d v="2026-05-20T09:59:00"/>
        <d v="2026-06-19T10:10:00"/>
        <d v="2026-06-22T10:21:00"/>
        <d v="2026-06-17T17:01:00"/>
        <d v="2026-06-12T05:19:00"/>
        <d v="2026-06-19T14:00:00"/>
        <d v="2026-06-10T16:00:00"/>
        <d v="2026-06-17T18:58:00"/>
        <d v="2026-06-22T14:10:00"/>
        <d v="2026-06-17T08:37:00"/>
        <d v="2026-06-17T08:49:00"/>
        <d v="2026-06-17T16:26:00"/>
        <d v="2026-06-17T16:32:00"/>
        <d v="2026-06-17T16:36:00"/>
        <d v="2026-06-05T10:25:00"/>
        <d v="2026-06-18T23:14:00"/>
        <d v="2026-06-09T12:20:00"/>
        <d v="2026-06-22T17:07:00"/>
        <d v="2026-06-20T10:06:00"/>
        <d v="2026-06-09T12:44:00"/>
        <d v="2026-06-17T12:39:00"/>
        <d v="2026-06-16T13:34:00"/>
        <d v="2026-01-21T12:45:00"/>
        <d v="2026-06-19T12:23:00"/>
        <d v="2026-03-31T14:11:00"/>
        <d v="2026-06-12T08:08:00"/>
        <d v="2026-06-15T11:39:00"/>
        <d v="2026-06-12T17:17:00"/>
        <d v="2026-05-14T17:00:00"/>
        <d v="2026-06-08T12:01:00"/>
        <d v="2026-06-10T09:42:00"/>
        <d v="2026-06-09T15:27:00"/>
        <d v="2026-06-20T10:18:00"/>
        <d v="2026-06-18T18:15:00"/>
        <d v="2026-06-17T21:43:00"/>
        <d v="2026-06-09T15:24:00"/>
        <d v="2026-06-19T12:30:00"/>
        <d v="2026-06-22T19:13:00"/>
        <d v="2026-06-16T09:07:00"/>
        <d v="2026-06-19T00:00:00"/>
        <d v="2026-06-18T14:24:00"/>
        <d v="2026-06-17T07:41:00"/>
        <d v="2026-06-11T07:57:00"/>
        <d v="2026-06-19T11:01:00"/>
        <d v="2026-06-12T19:37:00"/>
        <d v="2026-06-19T10:42:00"/>
        <d v="2026-06-19T17:23:00"/>
        <d v="2026-06-16T16:55:00"/>
        <d v="2026-06-19T14:04:00"/>
        <d v="2026-06-21T22:21:00"/>
        <d v="2026-06-16T12:28:00"/>
        <d v="2026-06-22T13:53:00"/>
        <d v="2026-06-18T09:09:00"/>
        <d v="2026-06-23T17:12:00"/>
        <d v="2026-06-23T16:11:00"/>
        <d v="2026-06-23T11:33:00"/>
        <d v="2026-06-27T11:44:00"/>
        <d v="2026-06-22T13:20:00"/>
        <d v="2026-06-23T08:50:00"/>
        <d v="2026-06-23T13:36:00"/>
        <d v="2026-06-23T10:34:00"/>
        <d v="2026-06-23T10:09:00"/>
        <d v="2026-06-24T11:07:00"/>
        <d v="2026-06-25T18:39:00"/>
        <d v="2026-06-25T09:43:00"/>
        <d v="2026-06-24T12:52:00"/>
        <d v="2026-06-25T20:01:00"/>
        <d v="2026-06-24T11:31:00"/>
        <d v="2026-06-27T16:15:00"/>
        <d v="2026-06-28T00:00:00"/>
        <d v="2026-06-23T13:23:00"/>
        <d v="2026-06-23T17:02:00"/>
        <d v="2026-06-23T14:54:00"/>
        <d v="2026-06-25T10:40:00"/>
        <d v="2026-06-26T05:57:00"/>
        <d v="2026-06-25T08:59:00"/>
        <d v="2026-06-23T16:21:00"/>
        <d v="2026-06-23T11:59:00"/>
        <d v="2026-06-23T10:59:00"/>
        <d v="2026-06-25T14:06:00"/>
        <d v="2026-06-25T14:05:00"/>
        <d v="2026-06-26T09:58:00"/>
        <d v="2026-06-26T17:37:00"/>
        <d v="2026-06-26T15:44:00"/>
        <d v="2026-06-26T13:46:00"/>
        <d v="2026-06-26T16:01:00"/>
        <d v="2026-06-25T15:47:00"/>
        <d v="2026-06-26T08:02:00"/>
        <d v="2026-06-26T08:01:00"/>
        <d v="2026-06-26T08:00:00"/>
        <d v="2026-06-19T17:45:00"/>
        <d v="2026-06-19T17:13:00"/>
        <d v="2026-06-19T17:14:00"/>
        <d v="2026-06-23T18:12:00"/>
        <d v="2026-06-25T13:42:00"/>
        <d v="2026-06-26T15:12:00"/>
        <d v="2026-06-26T15:11:00"/>
        <d v="2026-06-26T17:09:00"/>
        <d v="2026-06-25T11:38:00"/>
        <d v="2026-06-25T11:44:00"/>
        <d v="2026-06-25T11:47:00"/>
        <d v="2026-06-26T11:59:00"/>
        <d v="2026-06-26T12:02:00"/>
        <d v="2026-06-26T12:26:00"/>
        <d v="2026-06-26T13:51:00"/>
        <d v="2026-06-25T08:30:00"/>
        <d v="2026-06-25T09:18:00"/>
        <d v="2026-06-25T15:41:00"/>
        <d v="2026-06-24T14:14:00"/>
        <d v="2026-06-24T14:17:00"/>
        <d v="2026-06-24T13:58:00"/>
        <d v="2026-06-24T14:04:00"/>
        <d v="2026-06-24T11:54:00"/>
        <d v="2026-06-23T14:52:00"/>
        <d v="2026-06-26T18:06:00"/>
        <d v="2026-06-28T11:39:00"/>
        <d v="2026-06-24T17:22:00"/>
        <d v="2026-06-26T12:50:00"/>
        <d v="2026-06-19T09:15:00"/>
        <d v="2026-06-25T15:52:00"/>
        <d v="2026-06-24T12:13:00"/>
        <d v="2026-06-23T00:00:00"/>
        <d v="2026-06-26T09:14:00"/>
        <d v="2026-06-19T13:15:00"/>
        <d v="2026-06-24T16:25:00"/>
        <d v="2026-06-26T17:04:00"/>
        <d v="2026-06-25T10:36:00"/>
        <d v="2026-06-22T15:49:00"/>
        <d v="2026-05-21T00:00:00"/>
        <d v="2026-06-24T14:09:00"/>
        <d v="2026-06-26T10:04:00"/>
        <d v="2026-06-22T15:55:00"/>
        <d v="2026-06-25T12:17:00"/>
        <d v="2026-06-23T14:03:00"/>
        <d v="2026-06-26T16:45:00"/>
        <d v="2026-06-23T16:35:00"/>
        <d v="2026-06-20T16:50:00"/>
        <d v="2026-06-24T09:01:00"/>
        <d v="2026-06-24T12:26:00"/>
        <d v="2026-06-26T05:30:00"/>
        <d v="2026-06-24T16:55:00"/>
        <d v="2026-06-26T12:40:00"/>
        <d v="2026-06-26T09:33:00"/>
        <d v="2026-06-23T10:54:00"/>
        <d v="2026-06-11T12:00:00"/>
        <d v="2026-06-18T14:14:00"/>
        <d v="2026-06-24T10:57:00"/>
        <d v="2026-06-23T19:00:00"/>
        <d v="2026-05-30T19:00:00"/>
        <d v="2026-06-25T15:08:00"/>
        <d v="2026-06-13T18:13:00"/>
        <d v="2026-07-01T10:27:00"/>
        <d v="2026-06-30T12:00:00"/>
        <d v="2026-07-03T09:08:00"/>
        <d v="2026-07-02T11:27:00"/>
        <d v="2026-07-03T10:43:00"/>
        <d v="2026-07-03T09:59:00"/>
        <d v="2026-07-03T10:25:00"/>
        <d v="2026-07-02T17:48:00"/>
        <d v="2026-07-01T15:41:00"/>
        <d v="2026-07-03T10:47:00"/>
        <d v="2026-06-29T10:51:00"/>
        <d v="2026-07-01T10:24:00"/>
        <d v="2026-07-03T08:51:00"/>
        <d v="2026-07-03T10:44:00"/>
        <d v="2026-06-25T12:35:00"/>
        <d v="2026-07-02T11:33:00"/>
        <d v="2026-07-02T11:35:00"/>
        <d v="2026-07-02T14:47:00"/>
        <d v="2026-07-02T14:48:00"/>
        <d v="2026-07-02T14:52:00"/>
        <d v="2026-07-02T14:55:00"/>
        <d v="2026-07-02T14:51:00"/>
        <d v="2026-06-29T08:03:00"/>
        <d v="2026-07-03T11:02:00"/>
        <d v="2026-07-05T09:17:00"/>
        <d v="2026-07-02T15:56:00"/>
        <d v="2026-07-03T10:11:00"/>
        <d v="2026-07-01T13:16:00"/>
        <d v="2026-07-02T15:08:00"/>
        <d v="2026-07-02T15:46:00"/>
        <d v="2026-06-30T10:23:00"/>
        <d v="2026-06-30T16:23:00"/>
        <d v="2026-06-29T18:21:00"/>
        <d v="2026-07-02T19:01:00"/>
        <d v="2026-07-03T11:14:00"/>
        <d v="2026-07-01T12:44:00"/>
        <d v="2026-07-01T09:42:00"/>
        <d v="2026-07-02T16:34:00"/>
        <d v="2026-07-02T16:31:00"/>
        <d v="2026-06-29T10:58:00"/>
        <d v="2026-07-02T17:24:00"/>
        <d v="2026-07-02T17:18:00"/>
        <d v="2026-07-03T09:19:00"/>
        <d v="2026-07-03T10:10:00"/>
        <d v="2026-07-03T10:14:00"/>
        <d v="2026-07-03T10:22:00"/>
        <d v="2026-07-03T10:29:00"/>
        <d v="2026-07-02T19:03:00"/>
        <d v="2026-07-02T00:00:00"/>
        <d v="2026-06-29T09:25:00"/>
        <d v="2026-06-25T20:34:00"/>
        <d v="2026-06-30T00:00:00"/>
        <d v="2026-06-29T12:38:00"/>
        <d v="2026-07-01T16:44:00"/>
        <d v="2026-07-01T17:13:00"/>
        <d v="2026-07-02T10:55:00"/>
        <d v="2026-07-01T17:21:00"/>
        <d v="2026-06-30T17:05:00"/>
        <d v="2026-06-30T13:24:00"/>
        <d v="2026-07-01T17:01:00"/>
        <d v="2026-06-30T13:54:00"/>
        <d v="2026-07-03T09:16:00"/>
        <d v="2026-07-03T09:20:00"/>
        <d v="2026-06-29T13:11:00"/>
        <d v="2026-07-02T15:55:00"/>
        <d v="2026-07-02T11:53:00"/>
        <d v="2026-06-29T18:41:00"/>
        <d v="2026-07-03T09:41:00"/>
        <d v="2026-07-03T09:43:00"/>
        <d v="2026-07-02T09:29:00"/>
        <d v="2026-07-02T17:43:00"/>
        <d v="2026-06-29T07:30:00"/>
        <d v="2026-06-29T09:58:00"/>
        <d v="2026-07-03T09:38:00"/>
        <d v="2026-06-29T16:56:00"/>
        <d v="2026-07-01T15:02:00"/>
        <d v="2026-07-02T12:27:00"/>
        <d v="2026-06-30T18:46:00"/>
        <d v="2026-06-29T11:33:00"/>
        <d v="2026-06-29T09:43:00"/>
        <d v="2026-06-30T14:49:00"/>
        <d v="2026-06-30T16:52:00"/>
        <d v="2026-07-02T15:25:00"/>
        <d v="2026-07-03T08:02:00"/>
        <d v="2026-07-03T07:21:00"/>
        <d v="2026-07-02T14:21:00"/>
        <d v="2026-06-30T16:03:00"/>
        <d v="2026-07-02T08:11:00"/>
        <d v="2026-07-01T11:42:00"/>
        <d v="2026-06-11T11:19:00"/>
        <d v="2026-06-29T16:04:00"/>
        <d v="2026-07-02T15:52:00"/>
        <d v="2026-07-02T17:40:00"/>
        <d v="2026-07-01T13:42:00"/>
        <d v="2026-07-03T11:22:00"/>
        <d v="2026-06-30T17:58:00"/>
        <d v="2026-07-01T16:07:00"/>
        <d v="2026-06-30T17:18:00"/>
        <d v="2026-07-01T08:16:00"/>
        <d v="2026-07-02T04:07:00"/>
        <d v="2026-07-02T04:43:00"/>
        <d v="2026-06-29T04:32:00"/>
        <d v="2026-06-24T12:18:00"/>
        <d v="2026-06-30T01:25:00"/>
        <d v="2026-07-01T14:56:00"/>
        <d v="2026-07-01T02:02:00"/>
        <d v="2026-07-03T00:00:00"/>
        <d v="2026-07-03T17:06:00"/>
        <d v="2026-03-27T18:38:00"/>
        <d v="2026-07-02T12:15:00"/>
        <d v="2026-07-01T09:49:00"/>
        <d v="2026-07-01T15:42:00"/>
        <d v="2026-06-30T15:21:00"/>
        <d v="2026-06-30T11:48:00"/>
        <d v="2026-07-01T18:23:00"/>
        <d v="2026-07-03T08:53:00"/>
        <d v="2026-07-01T09:52:00"/>
        <d v="2026-07-03T09:24:00"/>
        <d v="2026-07-03T09:37:00"/>
        <d v="2026-03-27T14:58:00"/>
        <d v="2026-07-02T17:44:00"/>
        <d v="2026-07-02T13:56:00"/>
        <d v="2026-07-02T15:28:00"/>
        <d v="2026-07-03T08:17:00"/>
        <d v="2026-06-05T17:57:22"/>
        <d v="2026-06-26T15:19:00"/>
        <d v="2026-06-15T12:17:40"/>
        <d v="2026-06-15T15:38:10"/>
        <d v="2026-06-30T14:43:00"/>
        <d v="2026-07-01T10:10:00"/>
        <d v="2026-07-03T09:15:00"/>
        <d v="2026-07-02T15:50:00"/>
        <d v="2026-07-03T05:13:00"/>
        <d v="2026-06-29T15:08:00"/>
        <d v="2026-07-03T08:55:00"/>
        <d v="2026-07-03T09:42:00"/>
        <d v="2026-06-16T16:03:56"/>
        <d v="2026-06-16T16:28:24"/>
        <d v="2026-07-03T08:54:00"/>
        <d v="2026-07-03T08:52:00"/>
        <d v="2026-06-29T17:08:00"/>
        <d v="2026-06-15T16:23:42"/>
        <d v="2026-07-03T09:21:00"/>
        <d v="2026-06-24T06:42:00"/>
        <d v="2026-07-02T14:35:00"/>
        <d v="2026-07-02T14:42:00"/>
        <d v="2026-07-01T00:00:00"/>
        <d v="2026-06-29T00:00:00"/>
        <d v="2026-06-29T09:52:00"/>
        <d v="2026-07-03T13:05:00"/>
        <d v="2026-07-02T09:43:00"/>
        <d v="2026-06-30T11:37:00"/>
        <d v="2026-07-01T13:51:00"/>
        <d v="2026-07-03T06:19:00"/>
        <d v="2026-02-06T16:18:00"/>
        <d v="2026-06-30T14:39:00"/>
        <d v="2026-06-30T10:57:00"/>
        <d v="2026-07-02T14:53:00"/>
        <d v="2026-06-29T13:38:00"/>
        <d v="2026-06-26T14:34:00"/>
        <d v="2026-06-24T13:56:00"/>
        <d v="2026-07-01T13:03:00"/>
        <d v="2026-06-30T19:00:00"/>
        <d v="2026-07-01T09:51:00"/>
        <d v="2026-07-01T09:44:00"/>
        <d v="2026-07-03T14:36:00"/>
        <d v="2026-06-25T11:58:00"/>
        <d v="2026-06-30T08:04:00"/>
        <d v="2026-06-30T09:49:00"/>
        <d v="2026-07-09T15:34:00"/>
        <d v="2026-07-01T12:56:00"/>
        <d v="2026-07-01T18:19:00"/>
        <d v="2026-07-03T15:00:00"/>
        <d v="2026-07-03T17:36:00"/>
        <d v="2026-07-03T15:14:00"/>
        <d v="2026-07-03T14:09:00"/>
        <d v="2026-07-05T21:35:00"/>
        <d v="2026-07-03T13:02:00"/>
        <d v="2026-07-03T14:25:00"/>
        <d v="2026-07-03T15:33:00"/>
        <d v="2026-07-01T21:40:00"/>
        <d v="2026-07-03T15:36:00"/>
        <d v="2026-07-03T15:08:00"/>
        <d v="2026-07-03T14:47:00"/>
        <d v="2026-07-03T17:38:00"/>
        <d v="2026-06-12T13:57:00"/>
        <d v="2026-07-03T14:16:00"/>
        <d v="2026-07-03T11:35:00"/>
        <d v="2026-07-03T11:36:00"/>
        <d v="2026-07-04T08:57:00"/>
        <d v="2026-06-16T22:47:00"/>
        <d v="2026-07-03T15:07:00"/>
        <d v="2026-07-03T10:42:00"/>
        <d v="2026-07-03T19:13:00"/>
        <d v="2026-07-03T16:39:00"/>
        <d v="2026-07-03T15:55:00"/>
        <d v="2026-07-03T13:17:00"/>
        <d v="2026-07-03T12:26:00"/>
        <d v="2026-07-03T13:59:00"/>
        <d v="2026-07-03T16:38:00"/>
        <d v="2026-07-03T16:37:00"/>
        <d v="2026-07-03T17:47:00"/>
        <d v="2026-07-03T12:45:00"/>
        <d v="2026-07-02T14:32:00"/>
        <d v="2026-07-01T11:09:00"/>
        <d v="2026-07-03T17:03:00"/>
        <d v="2026-07-03T16:14:00"/>
        <d v="2026-06-25T19:27:00"/>
        <d v="2026-07-03T12:23:00"/>
        <d v="2026-07-03T11:39:00"/>
        <d v="2026-07-03T13:21:00"/>
        <d v="2026-07-03T16:05:00"/>
        <d v="2026-07-04T14:16:00"/>
        <d v="2026-07-03T16:31:00"/>
        <d v="2026-07-03T16:32:00"/>
        <d v="2026-07-03T15:48:00"/>
        <d v="2026-07-03T14:22:00"/>
        <d v="2026-07-03T15:37:00"/>
        <d v="2026-07-03T14:01:00"/>
        <d v="2026-07-03T13:53:00"/>
        <d v="2026-07-03T13:37:00"/>
        <d v="2026-07-03T14:06:00"/>
        <d v="2026-07-03T12:01:00"/>
        <d v="2026-07-05T14:43:00"/>
        <d v="2026-07-03T13:36:00"/>
        <d v="2026-07-03T16:01:00"/>
        <d v="2026-05-26T14:51:00"/>
        <d v="2026-05-26T20:23:00"/>
        <d v="2026-07-03T17:43:00"/>
        <d v="2026-07-03T14:50:00"/>
        <d v="2026-07-03T13:09:00"/>
        <d v="2026-07-03T14:34:00"/>
        <d v="2026-07-03T19:04:00"/>
        <d v="2026-07-03T16:49:00"/>
        <d v="2026-07-03T11:48:00"/>
        <d v="2026-07-03T16:15:00"/>
        <d v="2026-07-03T15:29:00"/>
        <d v="2026-07-03T14:58:00"/>
        <d v="2026-07-03T15:41:00"/>
        <d v="2026-07-03T14:31:00"/>
        <d v="2026-07-04T18:10:00"/>
        <d v="2026-07-04T10:48:00"/>
        <d v="2026-07-03T05:42:00"/>
        <d v="2026-07-04T19:11:00"/>
        <d v="2026-07-04T20:14:00"/>
        <d v="2026-07-05T12:30:00"/>
        <d v="2026-07-05T11:00:00"/>
        <d v="2026-07-03T15:25:00"/>
        <d v="2026-07-03T23:20:00"/>
        <d v="2026-07-04T13:25:00"/>
        <d v="2026-07-04T17:03:00"/>
        <d v="2026-07-05T21:04:00"/>
        <d v="2026-07-05T19:15:00"/>
        <d v="2026-07-02T13:53:00"/>
        <d v="2026-07-02T15:21:00"/>
        <d v="2026-07-03T13:54:00"/>
        <d v="2026-07-10T17:59:00"/>
        <d v="2026-07-03T08:28:00"/>
        <d v="2026-06-30T22:37:00"/>
        <d v="2026-07-03T15:17:00"/>
        <d v="2026-07-02T22:59:00"/>
        <d v="2026-07-04T15:11:00"/>
        <d v="2026-07-03T15:05:00"/>
        <d v="2026-07-03T15:30:00"/>
        <d v="2026-07-04T18:13:00"/>
        <d v="2026-07-03T09:32:00"/>
        <m/>
      </sharedItems>
      <fieldGroup par="44"/>
    </cacheField>
    <cacheField name="Requisição" numFmtId="0">
      <sharedItems containsBlank="1" containsMixedTypes="1" containsNumber="1" containsInteger="1" minValue="77" maxValue="19608144"/>
    </cacheField>
    <cacheField name="Local Retirada" numFmtId="0">
      <sharedItems containsBlank="1"/>
    </cacheField>
    <cacheField name="Status Requisicao" numFmtId="0">
      <sharedItems containsBlank="1"/>
    </cacheField>
    <cacheField name="Forma Pagamento" numFmtId="0">
      <sharedItems containsBlank="1"/>
    </cacheField>
    <cacheField name="Forma Recebimento" numFmtId="0">
      <sharedItems containsBlank="1"/>
    </cacheField>
    <cacheField name="Serviço" numFmtId="0">
      <sharedItems containsBlank="1"/>
    </cacheField>
    <cacheField name="Cancelado" numFmtId="0">
      <sharedItems containsBlank="1"/>
    </cacheField>
    <cacheField name="Grupo Empresarial" numFmtId="0">
      <sharedItems containsBlank="1"/>
    </cacheField>
    <cacheField name="Cliente" numFmtId="0">
      <sharedItems containsBlank="1"/>
    </cacheField>
    <cacheField name="Cliente Fee POS" numFmtId="0">
      <sharedItems containsBlank="1"/>
    </cacheField>
    <cacheField name="Fornecedor" numFmtId="0">
      <sharedItems containsBlank="1"/>
    </cacheField>
    <cacheField name="Bilhete" numFmtId="0">
      <sharedItems containsBlank="1" containsMixedTypes="1" containsNumber="1" containsInteger="1" minValue="0" maxValue="9751493047"/>
    </cacheField>
    <cacheField name="Canal de Vendas" numFmtId="0">
      <sharedItems containsBlank="1"/>
    </cacheField>
    <cacheField name="Codigo Evento" numFmtId="0">
      <sharedItems containsBlank="1"/>
    </cacheField>
    <cacheField name="Tarifa" numFmtId="0">
      <sharedItems containsString="0" containsBlank="1" containsNumber="1" minValue="0" maxValue="4348464.38" count="8000">
        <n v="1053.2"/>
        <n v="1356.94"/>
        <n v="1555.2619999999999"/>
        <n v="1861.69"/>
        <n v="2182.0100000000002"/>
        <n v="3101.4"/>
        <n v="9702"/>
        <n v="2926.6439999999998"/>
        <n v="0"/>
        <n v="246.16"/>
        <n v="186.13"/>
        <n v="1177.04"/>
        <n v="3468.0985000000001"/>
        <n v="5234.0254999999997"/>
        <n v="782"/>
        <n v="2004.17"/>
        <n v="399"/>
        <n v="647.1"/>
        <n v="1974"/>
        <n v="2248.0500000000002"/>
        <n v="760"/>
        <n v="1590.1987999999999"/>
        <n v="1059"/>
        <n v="373.5"/>
        <n v="186.75"/>
        <n v="8001.63"/>
        <n v="4416.5600000000004"/>
        <n v="3779.18"/>
        <n v="5155.8"/>
        <n v="3064.2"/>
        <n v="609.55999999999995"/>
        <n v="1132.04"/>
        <n v="1061.1608000000001"/>
        <n v="3011.52"/>
        <n v="2233.1799999999998"/>
        <n v="2812.02"/>
        <n v="154.19999999999999"/>
        <n v="2028.5822000000001"/>
        <n v="8935.36"/>
        <n v="332.27"/>
        <n v="580"/>
        <n v="1528.32"/>
        <n v="5168"/>
        <n v="194.26"/>
        <n v="387.82"/>
        <n v="878.7"/>
        <n v="16109.77"/>
        <n v="8370.17"/>
        <n v="1131.81"/>
        <n v="338"/>
        <n v="1589.8526999999999"/>
        <n v="10406.4432"/>
        <n v="233.5"/>
        <n v="1266.0498"/>
        <n v="3472.76"/>
        <n v="1327.1220000000001"/>
        <n v="1800"/>
        <n v="680"/>
        <n v="986"/>
        <n v="813"/>
        <n v="480"/>
        <n v="240"/>
        <n v="548"/>
        <n v="230"/>
        <n v="506.84"/>
        <n v="1351.71"/>
        <n v="1263.72"/>
        <n v="1163.19"/>
        <n v="996.15"/>
        <n v="656.88"/>
        <n v="85.83"/>
        <n v="1257.9000000000001"/>
        <n v="1360.95"/>
        <n v="21548.73"/>
        <n v="175"/>
        <n v="11547.02"/>
        <n v="650"/>
        <n v="1055"/>
        <n v="554"/>
        <n v="1619.32"/>
        <n v="2274.8000000000002"/>
        <n v="998.95"/>
        <n v="6235.8"/>
        <n v="918"/>
        <n v="1959.768"/>
        <n v="1320"/>
        <n v="2595.8717999999999"/>
        <n v="1500"/>
        <n v="1188"/>
        <n v="9637"/>
        <n v="436"/>
        <n v="920"/>
        <n v="220"/>
        <n v="618"/>
        <n v="6968.9664000000002"/>
        <n v="3321.4133999999999"/>
        <n v="2600"/>
        <n v="2723.22"/>
        <n v="6322.5"/>
        <n v="3685.3"/>
        <n v="1196"/>
        <n v="182.01"/>
        <n v="249.07499999999999"/>
        <n v="282.67500000000001"/>
        <n v="9490.68"/>
        <n v="668.72"/>
        <n v="5241.78"/>
        <n v="6422.6"/>
        <n v="3935.92"/>
        <n v="1316"/>
        <n v="672"/>
        <n v="1071.96"/>
        <n v="21479.3436"/>
        <n v="337.68"/>
        <n v="780"/>
        <n v="887.94"/>
        <n v="884"/>
        <n v="1148.9100000000001"/>
        <n v="1710"/>
        <n v="537.48"/>
        <n v="274.88"/>
        <n v="210"/>
        <n v="440.99"/>
        <n v="122.25"/>
        <n v="700"/>
        <n v="120"/>
        <n v="310"/>
        <n v="489"/>
        <n v="7320"/>
        <n v="750"/>
        <n v="78.989999999999995"/>
        <n v="300"/>
        <n v="150"/>
        <n v="570"/>
        <n v="720"/>
        <n v="1230"/>
        <n v="1490"/>
        <n v="304"/>
        <n v="760.49"/>
        <n v="354.2"/>
        <n v="250"/>
        <n v="1269.99"/>
        <n v="478"/>
        <n v="439"/>
        <n v="1567.7"/>
        <n v="501.8"/>
        <n v="160"/>
        <n v="360"/>
        <n v="270"/>
        <n v="867"/>
        <n v="186.66"/>
        <n v="190.12"/>
        <n v="2385.33"/>
        <n v="4832.1064999999999"/>
        <n v="3140.8"/>
        <n v="1245.23"/>
        <n v="2766.4"/>
        <n v="2509.59"/>
        <n v="1927.31"/>
        <n v="1372.24"/>
        <n v="472.15"/>
        <n v="2864.52"/>
        <n v="760.85429999999997"/>
        <n v="483.29"/>
        <n v="2779.5"/>
        <n v="15660.65"/>
        <n v="2681.59"/>
        <n v="2348"/>
        <n v="409"/>
        <n v="6705"/>
        <n v="394"/>
        <n v="529"/>
        <n v="424"/>
        <n v="958.65"/>
        <n v="304.5"/>
        <n v="660"/>
        <n v="1245.5"/>
        <n v="1382.8"/>
        <n v="468.9"/>
        <n v="2351.4299999999998"/>
        <n v="23942.959999999999"/>
        <n v="472.65"/>
        <n v="756"/>
        <n v="1232"/>
        <n v="165"/>
        <n v="262.5"/>
        <n v="1215.99"/>
        <n v="797.5"/>
        <n v="797.9"/>
        <n v="1083.8699999999999"/>
        <n v="797.09"/>
        <n v="494.55"/>
        <n v="3563.3393999999998"/>
        <n v="170.97"/>
        <n v="747.23009999999999"/>
        <n v="1747.77"/>
        <n v="590.11"/>
        <n v="2997.52"/>
        <n v="844"/>
        <n v="421.84"/>
        <n v="456"/>
        <n v="252"/>
        <n v="1504"/>
        <n v="853"/>
        <n v="974.2"/>
        <n v="138.88"/>
        <n v="224"/>
        <n v="355"/>
        <n v="1036.18"/>
        <n v="518.09"/>
        <n v="469.98"/>
        <n v="283"/>
        <n v="1100"/>
        <n v="270.69"/>
        <n v="1144"/>
        <n v="1950"/>
        <n v="455.45"/>
        <n v="75.81"/>
        <n v="1345.32"/>
        <n v="21044.935799999999"/>
        <n v="702.90599999999995"/>
        <n v="890.1"/>
        <n v="202.63"/>
        <n v="100"/>
        <n v="845.46"/>
        <n v="857.34"/>
        <n v="387.36"/>
        <n v="504.6"/>
        <n v="639.66"/>
        <n v="329.52"/>
        <n v="838.23"/>
        <n v="207.68"/>
        <n v="747.28"/>
        <n v="283.16000000000003"/>
        <n v="9299.5"/>
        <n v="231.45"/>
        <n v="562.6"/>
        <n v="786.51"/>
        <n v="177.57"/>
        <n v="560"/>
        <n v="764.16"/>
        <n v="670.72659999999996"/>
        <n v="187"/>
        <n v="180"/>
        <n v="611"/>
        <n v="4186"/>
        <n v="299"/>
        <n v="425.26"/>
        <n v="260"/>
        <n v="196"/>
        <n v="53.9"/>
        <n v="571.86990000000003"/>
        <n v="327.58999999999997"/>
        <n v="611.37"/>
        <n v="673.34400000000005"/>
        <n v="674.37"/>
        <n v="301.70999999999998"/>
        <n v="540.96"/>
        <n v="546.21"/>
        <n v="320"/>
        <n v="671.85"/>
        <n v="400"/>
        <n v="1547.96"/>
        <n v="7857"/>
        <n v="2789.7150000000001"/>
        <n v="990"/>
        <n v="1221.8"/>
        <n v="2960.13"/>
        <n v="1154.81"/>
        <n v="897.9"/>
        <n v="511.27"/>
        <n v="1950.16"/>
        <n v="911.14"/>
        <n v="381.9"/>
        <n v="1447.74"/>
        <n v="3830.55"/>
        <n v="632.16999999999996"/>
        <n v="944.3"/>
        <n v="1010.88"/>
        <n v="1351.8"/>
        <n v="3189.56"/>
        <n v="4424.92"/>
        <n v="2540.5300000000002"/>
        <n v="1029.5"/>
        <n v="1714.18"/>
        <n v="1402.51"/>
        <n v="273.44"/>
        <n v="1000.43"/>
        <n v="2211.44"/>
        <n v="856.44"/>
        <n v="658.08"/>
        <n v="1261.8900000000001"/>
        <n v="1371.72"/>
        <n v="28196.94"/>
        <n v="691.02"/>
        <n v="4089.51"/>
        <n v="1019.91"/>
        <n v="2254.44"/>
        <n v="457.46"/>
        <n v="787.73"/>
        <n v="592.23"/>
        <n v="329.76"/>
        <n v="3148.0147999999999"/>
        <n v="148.88"/>
        <n v="3434"/>
        <n v="648.04999999999995"/>
        <n v="536.57000000000005"/>
        <n v="1277.7626"/>
        <n v="192.96"/>
        <n v="166.36"/>
        <n v="3088.22"/>
        <n v="3973.82"/>
        <n v="10944.81"/>
        <n v="1112.3399999999999"/>
        <n v="18084.169999999998"/>
        <n v="17434.419999999998"/>
        <n v="768"/>
        <n v="888"/>
        <n v="2625"/>
        <n v="6400.8"/>
        <n v="371.49"/>
        <n v="1102"/>
        <n v="401.2"/>
        <n v="321.89999999999998"/>
        <n v="459.9"/>
        <n v="1008.9"/>
        <n v="2722.67"/>
        <n v="295.89999999999998"/>
        <n v="1467.4996000000001"/>
        <n v="1499.48"/>
        <n v="2519.5749999999998"/>
        <n v="517.5"/>
        <n v="450"/>
        <n v="8452.125"/>
        <n v="418"/>
        <n v="214.2"/>
        <n v="330"/>
        <n v="367"/>
        <n v="6435"/>
        <n v="2634.2359999999999"/>
        <n v="1212"/>
        <n v="3366.3209999999999"/>
        <n v="440"/>
        <n v="78.95"/>
        <n v="110.14"/>
        <n v="924"/>
        <n v="231"/>
        <n v="445"/>
        <n v="529.89"/>
        <n v="2152.7199999999998"/>
        <n v="1110"/>
        <n v="845.07"/>
        <n v="226.36"/>
        <n v="787.72"/>
        <n v="533.66"/>
        <n v="350.96"/>
        <n v="5850"/>
        <n v="1238.44"/>
        <n v="795.44"/>
        <n v="390"/>
        <n v="12494"/>
        <n v="3165.86"/>
        <n v="2479.92"/>
        <n v="2860.26"/>
        <n v="291.5"/>
        <n v="2695.56"/>
        <n v="1252.6098"/>
        <n v="485.09500000000003"/>
        <n v="234.16"/>
        <n v="560.54"/>
        <n v="401.44"/>
        <n v="297.01"/>
        <n v="255.45"/>
        <n v="552"/>
        <n v="981.74"/>
        <n v="371.00659999999999"/>
        <n v="1050"/>
        <n v="388"/>
        <n v="739.69"/>
        <n v="215.17500000000001"/>
        <n v="442.35340000000002"/>
        <n v="520.58249999999998"/>
        <n v="411.82659999999998"/>
        <n v="295.05340000000001"/>
        <n v="1062"/>
        <n v="7031"/>
        <n v="1285"/>
        <n v="56.5"/>
        <n v="1234.4601"/>
        <n v="255"/>
        <n v="315"/>
        <n v="747.68"/>
        <n v="361.4"/>
        <n v="442.38"/>
        <n v="768.5"/>
        <n v="1122.1600000000001"/>
        <n v="1310.6199999999999"/>
        <n v="202.85"/>
        <n v="6289.01"/>
        <n v="1499.0001"/>
        <n v="705.71199999999999"/>
        <n v="626.49"/>
        <n v="696.05600000000004"/>
        <n v="461.98"/>
        <n v="180.51499999999999"/>
        <n v="335.09"/>
        <n v="382.52"/>
        <n v="656.5"/>
        <n v="852.88"/>
        <n v="329.48"/>
        <n v="781.52"/>
        <n v="1148.25"/>
        <n v="611.26"/>
        <n v="648.55999999999995"/>
        <n v="1336.2"/>
        <n v="442.58010000000002"/>
        <n v="673.43"/>
        <n v="711.43"/>
        <n v="3376.43"/>
        <n v="1155"/>
        <n v="1563.99"/>
        <n v="715.76"/>
        <n v="1247.24"/>
        <n v="233.11"/>
        <n v="1174.8800000000001"/>
        <n v="365.09"/>
        <n v="502.02"/>
        <n v="1375.08"/>
        <n v="332.25"/>
        <n v="2237.2600000000002"/>
        <n v="1410.55"/>
        <n v="354.86"/>
        <n v="1341.24"/>
        <n v="2560.08"/>
        <n v="799.23"/>
        <n v="3190.87"/>
        <n v="1804.92"/>
        <n v="676.15"/>
        <n v="3186.93"/>
        <n v="18635.03"/>
        <n v="3506.28"/>
        <n v="6608.04"/>
        <n v="1350"/>
        <n v="216.9"/>
        <n v="200"/>
        <n v="3777.3883999999998"/>
        <n v="11673.396000000001"/>
        <m/>
        <n v="2972.62" u="1"/>
        <n v="1570.83" u="1"/>
        <n v="2552.36" u="1"/>
        <n v="1088.44" u="1"/>
        <n v="9803.08" u="1"/>
        <n v="41053.14" u="1"/>
        <n v="6334.44" u="1"/>
        <n v="14531.43" u="1"/>
        <n v="11283.6" u="1"/>
        <n v="264" u="1"/>
        <n v="3800.3022000000001" u="1"/>
        <n v="524.27" u="1"/>
        <n v="319.2" u="1"/>
        <n v="651" u="1"/>
        <n v="801" u="1"/>
        <n v="253" u="1"/>
        <n v="500" u="1"/>
        <n v="4976.75" u="1"/>
        <n v="1551.3" u="1"/>
        <n v="1473.8" u="1"/>
        <n v="259" u="1"/>
        <n v="3659.56" u="1"/>
        <n v="209.99" u="1"/>
        <n v="936" u="1"/>
        <n v="380" u="1"/>
        <n v="1121.1199999999999" u="1"/>
        <n v="2691" u="1"/>
        <n v="368" u="1"/>
        <n v="2674.88" u="1"/>
        <n v="1895.9616000000001" u="1"/>
        <n v="585" u="1"/>
        <n v="1378.5920000000001" u="1"/>
        <n v="177.6" u="1"/>
        <n v="333.54" u="1"/>
        <n v="1129.2" u="1"/>
        <n v="898.5" u="1"/>
        <n v="740" u="1"/>
        <n v="1220" u="1"/>
        <n v="3176.22" u="1"/>
        <n v="550" u="1"/>
        <n v="2605.89" u="1"/>
        <n v="315.18" u="1"/>
        <n v="219.39" u="1"/>
        <n v="596" u="1"/>
        <n v="515.04" u="1"/>
        <n v="420" u="1"/>
        <n v="578" u="1"/>
        <n v="396" u="1"/>
        <n v="328.9" u="1"/>
        <n v="28276.560000000001" u="1"/>
        <n v="219.88" u="1"/>
        <n v="503.74" u="1"/>
        <n v="1703.67" u="1"/>
        <n v="684" u="1"/>
        <n v="475.68" u="1"/>
        <n v="576.44000000000005" u="1"/>
        <n v="2055.8000000000002" u="1"/>
        <n v="1485" u="1"/>
        <n v="2639.01" u="1"/>
        <n v="264.57" u="1"/>
        <n v="149" u="1"/>
        <n v="614" u="1"/>
        <n v="860" u="1"/>
        <n v="341" u="1"/>
        <n v="556.67999999999995" u="1"/>
        <n v="791.92" u="1"/>
        <n v="813.1" u="1"/>
        <n v="543" u="1"/>
        <n v="632.44000000000005" u="1"/>
        <n v="1277.25" u="1"/>
        <n v="373.36" u="1"/>
        <n v="244.65" u="1"/>
        <n v="250.5" u="1"/>
        <n v="538.22" u="1"/>
        <n v="211.24" u="1"/>
        <n v="1005.99" u="1"/>
        <n v="221" u="1"/>
        <n v="480.48" u="1"/>
        <n v="746.7" u="1"/>
        <n v="200.6" u="1"/>
        <n v="551.20000000000005" u="1"/>
        <n v="738" u="1"/>
        <n v="337.07" u="1"/>
        <n v="290" u="1"/>
        <n v="5667.3919999999998" u="1"/>
        <n v="620.28" u="1"/>
        <n v="10974.971600000001" u="1"/>
        <n v="3249.1691999999998" u="1"/>
        <n v="508.02" u="1"/>
        <n v="2100" u="1"/>
        <n v="682" u="1"/>
        <n v="558" u="1"/>
        <n v="1198" u="1"/>
        <n v="586.95000000000005" u="1"/>
        <n v="4579.25" u="1"/>
        <n v="2508.08" u="1"/>
        <n v="1080.8900000000001" u="1"/>
        <n v="3284.96" u="1"/>
        <n v="452" u="1"/>
        <n v="412" u="1"/>
        <n v="877.8" u="1"/>
        <n v="483" u="1"/>
        <n v="1036" u="1"/>
        <n v="162" u="1"/>
        <n v="425.06" u="1"/>
        <n v="564.88" u="1"/>
        <n v="568.63" u="1"/>
        <n v="340.97" u="1"/>
        <n v="1985.52" u="1"/>
        <n v="516.76" u="1"/>
        <n v="448" u="1"/>
        <n v="600" u="1"/>
        <n v="273.29000000000002" u="1"/>
        <n v="503.8" u="1"/>
        <n v="2079.9899999999998" u="1"/>
        <n v="185" u="1"/>
        <n v="311.04000000000002" u="1"/>
        <n v="280" u="1"/>
        <n v="1092.49" u="1"/>
        <n v="496.2953" u="1"/>
        <n v="410" u="1"/>
        <n v="3800.3" u="1"/>
        <n v="3096.53" u="1"/>
        <n v="743.49" u="1"/>
        <n v="735.94" u="1"/>
        <n v="2265" u="1"/>
        <n v="295.89" u="1"/>
        <n v="1229.04" u="1"/>
        <n v="867.69" u="1"/>
        <n v="2183.6" u="1"/>
        <n v="1293" u="1"/>
        <n v="694.84799999999996" u="1"/>
        <n v="249.08" u="1"/>
        <n v="774.72799999999995" u="1"/>
        <n v="152.71" u="1"/>
        <n v="5932.38" u="1"/>
        <n v="1180.26" u="1"/>
        <n v="4384.6000000000004" u="1"/>
        <n v="1295.2249999999999" u="1"/>
        <n v="1195.1300000000001" u="1"/>
        <n v="409.63" u="1"/>
        <n v="1473.48" u="1"/>
        <n v="599" u="1"/>
        <n v="888.66" u="1"/>
        <n v="870.86" u="1"/>
        <n v="328.29" u="1"/>
        <n v="1321.12" u="1"/>
        <n v="295.26" u="1"/>
        <n v="905.59" u="1"/>
        <n v="166.65" u="1"/>
        <n v="330.43" u="1"/>
        <n v="3568.5084000000002" u="1"/>
        <n v="487.5" u="1"/>
        <n v="385" u="1"/>
        <n v="478.35" u="1"/>
        <n v="2073.34" u="1"/>
        <n v="264.67" u="1"/>
        <n v="879.21" u="1"/>
        <n v="587.54" u="1"/>
        <n v="236.6" u="1"/>
        <n v="340.93" u="1"/>
        <n v="245.63" u="1"/>
        <n v="510" u="1"/>
        <n v="516.99" u="1"/>
        <n v="174" u="1"/>
        <n v="946" u="1"/>
        <n v="499.78" u="1"/>
        <n v="275.10000000000002" u="1"/>
        <n v="819.99" u="1"/>
        <n v="52" u="1"/>
        <n v="408.6" u="1"/>
        <n v="480.88" u="1"/>
        <n v="412.47" u="1"/>
        <n v="332" u="1"/>
        <n v="659.41" u="1"/>
        <n v="416.1225" u="1"/>
        <n v="1051.04" u="1"/>
        <n v="435" u="1"/>
        <n v="265.02999999999997" u="1"/>
        <n v="643.10400000000004" u="1"/>
        <n v="522.95010000000002" u="1"/>
        <n v="590.22" u="1"/>
        <n v="379" u="1"/>
        <n v="10130.280000000001" u="1"/>
        <n v="613.6" u="1"/>
        <n v="560.32000000000005" u="1"/>
        <n v="459.28" u="1"/>
        <n v="314.76" u="1"/>
        <n v="190.55" u="1"/>
        <n v="343.35" u="1"/>
        <n v="501.9" u="1"/>
        <n v="356" u="1"/>
        <n v="313.95" u="1"/>
        <n v="294.04000000000002" u="1"/>
        <n v="277.44" u="1"/>
        <n v="463.84" u="1"/>
        <n v="543.92999999999995" u="1"/>
        <n v="2191.83" u="1"/>
        <n v="416.21010000000001" u="1"/>
        <n v="716.13599999999997" u="1"/>
        <n v="387.02" u="1"/>
        <n v="670.59" u="1"/>
        <n v="184.44" u="1"/>
        <n v="394.7" u="1"/>
        <n v="3577.2" u="1"/>
        <n v="334.72" u="1"/>
        <n v="347.74" u="1"/>
        <n v="334.05" u="1"/>
        <n v="1444.12" u="1"/>
        <n v="647.17999999999995" u="1"/>
        <n v="459.01" u="1"/>
        <n v="409.44749999999999" u="1"/>
        <n v="308" u="1"/>
        <n v="713" u="1"/>
        <n v="2204.27" u="1"/>
        <n v="5298.99" u="1"/>
        <n v="793.65" u="1"/>
        <n v="36522.54" u="1"/>
        <n v="285" u="1"/>
        <n v="239" u="1"/>
        <n v="19593.431" u="1"/>
        <n v="646.17999999999995" u="1"/>
        <n v="1944.5778" u="1"/>
        <n v="143" u="1"/>
        <n v="689.06" u="1"/>
        <n v="378.58" u="1"/>
        <n v="466.68" u="1"/>
        <n v="1023.27" u="1"/>
        <n v="1478.19" u="1"/>
        <n v="1530.56" u="1"/>
        <n v="193.36" u="1"/>
        <n v="804" u="1"/>
        <n v="777" u="1"/>
        <n v="382.3066" u="1"/>
        <n v="347.42660000000001" u="1"/>
        <n v="368.44" u="1"/>
        <n v="412.65" u="1"/>
        <n v="1234.78" u="1"/>
        <n v="528.75" u="1"/>
        <n v="217.07" u="1"/>
        <n v="1090.5247999999999" u="1"/>
        <n v="682.61599999999999" u="1"/>
        <n v="410.61" u="1"/>
        <n v="521.13990000000001" u="1"/>
        <n v="303.20659999999998" u="1"/>
        <n v="232.0334" u="1"/>
        <n v="174.02500000000001" u="1"/>
        <n v="251.86" u="1"/>
        <n v="405.63749999999999" u="1"/>
        <n v="539.34" u="1"/>
        <n v="231.1" u="1"/>
        <n v="222.82" u="1"/>
        <n v="372.94" u="1"/>
        <n v="777.13499999999999" u="1"/>
        <n v="259.04500000000002" u="1"/>
        <n v="205.7" u="1"/>
        <n v="819.26" u="1"/>
        <n v="5580" u="1"/>
        <n v="353.07" u="1"/>
        <n v="1213.1300000000001" u="1"/>
        <n v="582.9" u="1"/>
        <n v="363.65" u="1"/>
        <n v="609.52" u="1"/>
        <n v="529.64" u="1"/>
        <n v="338.88" u="1"/>
        <n v="823" u="1"/>
        <n v="431" u="1"/>
        <n v="593" u="1"/>
        <n v="473.44" u="1"/>
        <n v="166" u="1"/>
        <n v="4348464.38" u="1"/>
        <n v="2757" u="1"/>
        <n v="336" u="1"/>
        <n v="2058.48" u="1"/>
        <n v="257" u="1"/>
        <n v="1822.88" u="1"/>
        <n v="252.64" u="1"/>
        <n v="247.52" u="1"/>
        <n v="4583.13" u="1"/>
        <n v="1583.34" u="1"/>
        <n v="2210.39" u="1"/>
        <n v="4309.8" u="1"/>
        <n v="330.48" u="1"/>
        <n v="113.04" u="1"/>
        <n v="107.51" u="1"/>
        <n v="91.77" u="1"/>
        <n v="488.44" u="1"/>
        <n v="543.94000000000005" u="1"/>
        <n v="501.2" u="1"/>
        <n v="2186.1" u="1"/>
        <n v="1122.3900000000001" u="1"/>
        <n v="235.52" u="1"/>
        <n v="1066.2" u="1"/>
        <n v="523.24" u="1"/>
        <n v="2794.1325000000002" u="1"/>
        <n v="1423.39" u="1"/>
        <n v="737.84" u="1"/>
        <n v="3313.02" u="1"/>
        <n v="60.76" u="1"/>
        <n v="3338.9" u="1"/>
        <n v="1965.24" u="1"/>
        <n v="4488.4279999999999" u="1"/>
        <n v="6780" u="1"/>
        <n v="741.6" u="1"/>
        <n v="288.55" u="1"/>
        <n v="836.81" u="1"/>
        <n v="284.2" u="1"/>
        <n v="628.59" u="1"/>
        <n v="279.95999999999998" u="1"/>
        <n v="319.88" u="1"/>
        <n v="1564.36" u="1"/>
        <n v="2297.1950000000002" u="1"/>
        <n v="756.755" u="1"/>
        <n v="4585.8999999999996" u="1"/>
        <n v="944.21" u="1"/>
        <n v="3919.55" u="1"/>
        <n v="2145.54" u="1"/>
        <n v="1250.69" u="1"/>
        <n v="190" u="1"/>
        <n v="887.24" u="1"/>
        <n v="602.37" u="1"/>
        <n v="3834.3" u="1"/>
        <n v="2929.2" u="1"/>
        <n v="4231.8" u="1"/>
        <n v="13219.92" u="1"/>
        <n v="719.36" u="1"/>
        <n v="1293.825" u="1"/>
        <n v="983.76300000000003" u="1"/>
        <n v="378.4" u="1"/>
        <n v="4412.72" u="1"/>
        <n v="340" u="1"/>
        <n v="1323.9" u="1"/>
        <n v="955.35" u="1"/>
        <n v="1061.5999999999999" u="1"/>
        <n v="210.01" u="1"/>
        <n v="171.86" u="1"/>
        <n v="528.12" u="1"/>
        <n v="281.60000000000002" u="1"/>
        <n v="348" u="1"/>
        <n v="10483.459999999999" u="1"/>
        <n v="1031.1600000000001" u="1"/>
        <n v="1288.95" u="1"/>
        <n v="203" u="1"/>
        <n v="555" u="1"/>
        <n v="343.72" u="1"/>
        <n v="175.66" u="1"/>
        <n v="256.7" u="1"/>
        <n v="571.11" u="1"/>
        <n v="416.81" u="1"/>
        <n v="261.11" u="1"/>
        <n v="621" u="1"/>
        <n v="1085" u="1"/>
        <n v="143.47" u="1"/>
        <n v="489.48989999999998" u="1"/>
        <n v="1851.28" u="1"/>
        <n v="610.08000000000004" u="1"/>
        <n v="158.185" u="1"/>
        <n v="373.31" u="1"/>
        <n v="689.95" u="1"/>
        <n v="6345" u="1"/>
        <n v="1259.6500000000001" u="1"/>
        <n v="306.38" u="1"/>
        <n v="756.01" u="1"/>
        <n v="596.52800000000002" u="1"/>
        <n v="629.41600000000005" u="1"/>
        <n v="758.31200000000001" u="1"/>
        <n v="525.27" u="1"/>
        <n v="368.34" u="1"/>
        <n v="160.97999999999999" u="1"/>
        <n v="2591.4602" u="1"/>
        <n v="700.16" u="1"/>
        <n v="110.62" u="1"/>
        <n v="233.9" u="1"/>
        <n v="4597.0511999999999" u="1"/>
        <n v="245.82" u="1"/>
        <n v="447.78989999999999" u="1"/>
        <n v="3149.82" u="1"/>
        <n v="3306.9308999999998" u="1"/>
        <n v="199.755" u="1"/>
        <n v="361.17" u="1"/>
        <n v="722.61" u="1"/>
        <n v="615.04999999999995" u="1"/>
        <n v="194.3" u="1"/>
        <n v="25802.91" u="1"/>
        <n v="375.66" u="1"/>
        <n v="996.31" u="1"/>
        <n v="364.02" u="1"/>
        <n v="266.83" u="1"/>
        <n v="495" u="1"/>
        <n v="228.91" u="1"/>
        <n v="265.27999999999997" u="1"/>
        <n v="1127.1500000000001" u="1"/>
        <n v="174.7" u="1"/>
        <n v="2577.9" u="1"/>
        <n v="2489.0700000000002" u="1"/>
        <n v="1029.3085000000001" u="1"/>
        <n v="833.98350000000005" u="1"/>
        <n v="192.53" u="1"/>
        <n v="284.98" u="1"/>
        <n v="102.55" u="1"/>
        <n v="103.56" u="1"/>
        <n v="316.06" u="1"/>
        <n v="147.52500000000001" u="1"/>
        <n v="299.58999999999997" u="1"/>
        <n v="247.64" u="1"/>
        <n v="294.2" u="1"/>
        <n v="4237.8" u="1"/>
        <n v="406.32" u="1"/>
        <n v="502.94009999999997" u="1"/>
        <n v="447.3066" u="1"/>
        <n v="296.8" u="1"/>
        <n v="153.46" u="1"/>
        <n v="470.94" u="1"/>
        <n v="432.20659999999998" u="1"/>
        <n v="485.20659999999998" u="1"/>
        <n v="162.41999999999999" u="1"/>
        <n v="872.12" u="1"/>
        <n v="217.47" u="1"/>
        <n v="219.25" u="1"/>
        <n v="552.78750000000002" u="1"/>
        <n v="645.93600000000004" u="1"/>
        <n v="248.35" u="1"/>
        <n v="4524.0888000000004" u="1"/>
        <n v="837.02" u="1"/>
        <n v="609.62009999999998" u="1"/>
        <n v="694.85" u="1"/>
        <n v="628.75" u="1"/>
        <n v="229.64" u="1"/>
        <n v="505.58" u="1"/>
        <n v="2281.5419999999999" u="1"/>
        <n v="3564" u="1"/>
        <n v="1243.403" u="1"/>
        <n v="326.57740000000001" u="1"/>
        <n v="472.47750000000002" u="1"/>
        <n v="25072.400000000001" u="1"/>
        <n v="2906.2932000000001" u="1"/>
        <n v="2989.24" u="1"/>
        <n v="220.18" u="1"/>
        <n v="442.4" u="1"/>
        <n v="516.1" u="1"/>
        <n v="207.08" u="1"/>
        <n v="486.32010000000002" u="1"/>
        <n v="387.70499999999998" u="1"/>
        <n v="1647.4875" u="1"/>
        <n v="449.30009999999999" u="1"/>
        <n v="1064.8800000000001" u="1"/>
        <n v="501" u="1"/>
        <n v="10638.83" u="1"/>
        <n v="8064.42" u="1"/>
        <n v="540" u="1"/>
        <n v="765" u="1"/>
        <n v="357" u="1"/>
        <n v="233.81" u="1"/>
        <n v="395.6" u="1"/>
        <n v="275" u="1"/>
        <n v="162.26" u="1"/>
        <n v="204.02" u="1"/>
        <n v="4907.9799999999996" u="1"/>
        <n v="385.54" u="1"/>
        <n v="524" u="1"/>
        <n v="240.43" u="1"/>
        <n v="460" u="1"/>
        <n v="289" u="1"/>
        <n v="229" u="1"/>
        <n v="305" u="1"/>
        <n v="286.26" u="1"/>
        <n v="1192" u="1"/>
        <n v="1177.28" u="1"/>
        <n v="691.6" u="1"/>
        <n v="1645" u="1"/>
        <n v="302" u="1"/>
        <n v="604" u="1"/>
        <n v="235" u="1"/>
        <n v="239.9" u="1"/>
        <n v="584" u="1"/>
        <n v="236.25" u="1"/>
        <n v="257.25" u="1"/>
        <n v="416" u="1"/>
        <n v="310.77999999999997" u="1"/>
        <n v="1074.8699999999999" u="1"/>
        <n v="1300" u="1"/>
        <n v="341.94" u="1"/>
        <n v="2177" u="1"/>
        <n v="768.2" u="1"/>
        <n v="183.62" u="1"/>
        <n v="1552.8" u="1"/>
        <n v="5584.6" u="1"/>
        <n v="3360" u="1"/>
        <n v="189.99" u="1"/>
        <n v="420.84" u="1"/>
        <n v="730" u="1"/>
        <n v="536.42010000000005" u="1"/>
        <n v="994.87" u="1"/>
        <n v="770.1" u="1"/>
        <n v="296.83999999999997" u="1"/>
        <n v="1781.04" u="1"/>
        <n v="795.9" u="1"/>
        <n v="539.03" u="1"/>
        <n v="396.97340000000003" u="1"/>
        <n v="189.315" u="1"/>
        <n v="505.20749999999998" u="1"/>
        <n v="664.83989999999994" u="1"/>
        <n v="1118.75" u="1"/>
        <n v="2879.41" u="1"/>
        <n v="2330.08" u="1"/>
        <n v="3913.29" u="1"/>
        <n v="3517.46" u="1"/>
        <n v="4795.13" u="1"/>
        <n v="3676.1934999999999" u="1"/>
        <n v="2789.53" u="1"/>
        <n v="2281.9499999999998" u="1"/>
        <n v="2185.63" u="1"/>
        <n v="272" u="1"/>
        <n v="244.22" u="1"/>
        <n v="85.484999999999999" u="1"/>
        <n v="586.03" u="1"/>
        <n v="263.68" u="1"/>
        <n v="535.16" u="1"/>
        <n v="266.60000000000002" u="1"/>
        <n v="518.08659999999998" u="1"/>
        <n v="1925.56" u="1"/>
        <n v="648.66999999999996" u="1"/>
        <n v="926.08259999999996" u="1"/>
        <n v="816.24" u="1"/>
        <n v="705.42" u="1"/>
        <n v="606.75" u="1"/>
        <n v="964.77" u="1"/>
        <n v="668.46" u="1"/>
        <n v="1582.62" u="1"/>
        <n v="1160.47" u="1"/>
        <n v="837.74" u="1"/>
        <n v="1917.21" u="1"/>
        <n v="1109.6199999999999" u="1"/>
        <n v="1109.52" u="1"/>
        <n v="1019.84" u="1"/>
        <n v="1773.76" u="1"/>
        <n v="256.88" u="1"/>
        <n v="252.24" u="1"/>
        <n v="349" u="1"/>
        <n v="593.76" u="1"/>
        <n v="470.8" u="1"/>
        <n v="405.98" u="1"/>
        <n v="1438.9280000000001" u="1"/>
        <n v="512.41999999999996" u="1"/>
        <n v="1767.57" u="1"/>
        <n v="241.23" u="1"/>
        <n v="1655.87" u="1"/>
        <n v="589" u="1"/>
        <n v="392.7" u="1"/>
        <n v="140" u="1"/>
        <n v="542" u="1"/>
        <n v="1592.02" u="1"/>
        <n v="917" u="1"/>
        <n v="989" u="1"/>
        <n v="2919.87" u="1"/>
        <n v="7972.02" u="1"/>
        <n v="365.99" u="1"/>
        <n v="344.31" u="1"/>
        <n v="563.87" u="1"/>
        <n v="1271.69" u="1"/>
        <n v="410.12" u="1"/>
        <n v="168.88" u="1"/>
        <n v="486.8" u="1"/>
        <n v="1020.93" u="1"/>
        <n v="846.36" u="1"/>
        <n v="756.68" u="1"/>
        <n v="1006.71" u="1"/>
        <n v="924.23" u="1"/>
        <n v="661.12" u="1"/>
        <n v="741.68" u="1"/>
        <n v="560.04" u="1"/>
        <n v="450.6" u="1"/>
        <n v="337.36" u="1"/>
        <n v="2072.5765000000001" u="1"/>
        <n v="3245.93" u="1"/>
        <n v="2507.1999999999998" u="1"/>
        <n v="820.74" u="1"/>
        <n v="1264.8810000000001" u="1"/>
        <n v="342.3" u="1"/>
        <n v="1548" u="1"/>
        <n v="3362.5299" u="1"/>
        <n v="457.82" u="1"/>
        <n v="214.55" u="1"/>
        <n v="3450.5" u="1"/>
        <n v="6436.5" u="1"/>
        <n v="2036.27" u="1"/>
        <n v="219" u="1"/>
        <n v="1160" u="1"/>
        <n v="5336.85" u="1"/>
        <n v="2593.3991999999998" u="1"/>
        <n v="661.86" u="1"/>
        <n v="12010.31" u="1"/>
        <n v="488" u="1"/>
        <n v="161.36000000000001" u="1"/>
        <n v="269" u="1"/>
        <n v="489.66" u="1"/>
        <n v="343" u="1"/>
        <n v="345.45" u="1"/>
        <n v="846" u="1"/>
        <n v="1692" u="1"/>
        <n v="328" u="1"/>
        <n v="175.35" u="1"/>
        <n v="177.65" u="1"/>
        <n v="6229.5002000000004" u="1"/>
        <n v="281" u="1"/>
        <n v="8208.59" u="1"/>
        <n v="107.39" u="1"/>
        <n v="4514.9399999999996" u="1"/>
        <n v="3763" u="1"/>
        <n v="1280.03" u="1"/>
        <n v="518.66" u="1"/>
        <n v="3557.62" u="1"/>
        <n v="8867.11" u="1"/>
        <n v="9300.7099999999991" u="1"/>
        <n v="1429.32" u="1"/>
        <n v="1250.23" u="1"/>
        <n v="2315.0500000000002" u="1"/>
        <n v="1921.89" u="1"/>
        <n v="2963.82" u="1"/>
        <n v="3080.68" u="1"/>
        <n v="3584.08" u="1"/>
        <n v="710.06" u="1"/>
        <n v="1047.48" u="1"/>
        <n v="650.4" u="1"/>
        <n v="1497.96" u="1"/>
        <n v="3830.88" u="1"/>
        <n v="1104.68" u="1"/>
        <n v="33781.93" u="1"/>
        <n v="814.83" u="1"/>
        <n v="95.94" u="1"/>
        <n v="2480" u="1"/>
        <n v="9507.11" u="1"/>
        <n v="1200.18" u="1"/>
        <n v="2788.25" u="1"/>
        <n v="2558.6799999999998" u="1"/>
        <n v="2835.87" u="1"/>
        <n v="1455.95" u="1"/>
        <n v="1831.15" u="1"/>
        <n v="236.55" u="1"/>
        <n v="2665.14" u="1"/>
        <n v="498.15" u="1"/>
        <n v="2006.88" u="1"/>
        <n v="2960.72" u="1"/>
        <n v="17568.080000000002" u="1"/>
        <n v="12713.68" u="1"/>
        <n v="13149.08" u="1"/>
        <n v="1182.96" u="1"/>
        <n v="2264.08" u="1"/>
        <n v="2873.64" u="1"/>
        <n v="1044.96" u="1"/>
        <n v="510.7" u="1"/>
        <n v="2395.1999999999998" u="1"/>
        <n v="1245.3800000000001" u="1"/>
        <n v="747.23249999999996" u="1"/>
        <n v="1456.1604" u="1"/>
        <n v="766.76" u="1"/>
        <n v="313.86" u="1"/>
        <n v="570.16" u="1"/>
        <n v="312.2" u="1"/>
        <n v="675.72" u="1"/>
        <n v="299.1266" u="1"/>
        <n v="460.92750000000001" u="1"/>
        <n v="366.4" u="1"/>
        <n v="687.952" u="1"/>
        <n v="1612" u="1"/>
        <n v="545.01" u="1"/>
        <n v="459.94" u="1"/>
        <n v="59.99" u="1"/>
        <n v="297" u="1"/>
        <n v="864" u="1"/>
        <n v="2994" u="1"/>
        <n v="256.26499999999999" u="1"/>
        <n v="348.05" u="1"/>
        <n v="205.62" u="1"/>
        <n v="259.93" u="1"/>
        <n v="921.49" u="1"/>
        <n v="574.05989999999997" u="1"/>
        <n v="900" u="1"/>
        <n v="965.92" u="1"/>
        <n v="221.4" u="1"/>
        <n v="450.92" u="1"/>
        <n v="4620" u="1"/>
        <n v="3170.82" u="1"/>
        <n v="2043.28" u="1"/>
        <n v="1462.98" u="1"/>
        <n v="944.25" u="1"/>
        <n v="295.41000000000003" u="1"/>
        <n v="1265.99" u="1"/>
        <n v="962.58" u="1"/>
        <n v="1461.07" u="1"/>
        <n v="598.1" u="1"/>
        <n v="872.68" u="1"/>
        <n v="1733.93" u="1"/>
        <n v="1103.8699999999999" u="1"/>
        <n v="759.91" u="1"/>
        <n v="1029.5999999999999" u="1"/>
        <n v="902.02" u="1"/>
        <n v="1230.53" u="1"/>
        <n v="820.48" u="1"/>
        <n v="463.1" u="1"/>
        <n v="330.04" u="1"/>
        <n v="711.11" u="1"/>
        <n v="908.75" u="1"/>
        <n v="1547.5" u="1"/>
        <n v="603.11" u="1"/>
        <n v="805.44" u="1"/>
        <n v="1590.5" u="1"/>
        <n v="1965" u="1"/>
        <n v="930" u="1"/>
        <n v="352.5" u="1"/>
        <n v="521.13750000000005" u="1"/>
        <n v="188.29" u="1"/>
        <n v="516.61" u="1"/>
        <n v="46.32" u="1"/>
        <n v="668.6" u="1"/>
        <n v="10354" u="1"/>
        <n v="550.05999999999995" u="1"/>
        <n v="500.55" u="1"/>
        <n v="806.82" u="1"/>
        <n v="492.28" u="1"/>
        <n v="563.48" u="1"/>
        <n v="923.7" u="1"/>
        <n v="371.56" u="1"/>
        <n v="930.92" u="1"/>
        <n v="576.76" u="1"/>
        <n v="804.04" u="1"/>
        <n v="342.32" u="1"/>
        <n v="1712.68" u="1"/>
        <n v="1935.78" u="1"/>
        <n v="1383.35" u="1"/>
        <n v="1152.17" u="1"/>
        <n v="1150.45" u="1"/>
        <n v="2453.0700000000002" u="1"/>
        <n v="2252.7060000000001" u="1"/>
        <n v="13602.78" u="1"/>
        <n v="371.25" u="1"/>
        <n v="768.42" u="1"/>
        <n v="997.89" u="1"/>
        <n v="1240.24" u="1"/>
        <n v="3256.46" u="1"/>
        <n v="564.96" u="1"/>
        <n v="1200" u="1"/>
        <n v="576" u="1"/>
        <n v="499.62" u="1"/>
        <n v="1475.64" u="1"/>
        <n v="1020.6" u="1"/>
        <n v="870.88" u="1"/>
        <n v="371" u="1"/>
        <n v="2545.71" u="1"/>
        <n v="1482.7760000000001" u="1"/>
        <n v="606" u="1"/>
        <n v="408.33" u="1"/>
        <n v="408.3" u="1"/>
        <n v="1001.63" u="1"/>
        <n v="2350" u="1"/>
        <n v="386.5" u="1"/>
        <n v="341.93340000000001" u="1"/>
        <n v="332.1" u="1"/>
        <n v="326.35500000000002" u="1"/>
        <n v="239.68" u="1"/>
        <n v="456.44" u="1"/>
        <n v="220.65" u="1"/>
        <n v="14542.36" u="1"/>
        <n v="11929.96" u="1"/>
        <n v="2451.36" u="1"/>
        <n v="4698.4399999999996" u="1"/>
        <n v="1414.8" u="1"/>
        <n v="269.10000000000002" u="1"/>
        <n v="995" u="1"/>
        <n v="162.96" u="1"/>
        <n v="80.47" u="1"/>
        <n v="1360" u="1"/>
        <n v="1140" u="1"/>
        <n v="705.92" u="1"/>
        <n v="326.35000000000002" u="1"/>
        <n v="170" u="1"/>
        <n v="463" u="1"/>
        <n v="447.04" u="1"/>
        <n v="598.25599999999997" u="1"/>
        <n v="634.95000000000005" u="1"/>
        <n v="207.24" u="1"/>
        <n v="386.42" u="1"/>
        <n v="152.82" u="1"/>
        <n v="692.34" u="1"/>
        <n v="376.64" u="1"/>
        <n v="1105.58" u="1"/>
        <n v="546.02" u="1"/>
        <n v="1497.6" u="1"/>
        <n v="820" u="1"/>
        <n v="404.04" u="1"/>
        <n v="800.49" u="1"/>
        <n v="1031.9202" u="1"/>
        <n v="312.98" u="1"/>
        <n v="548.6499" u="1"/>
        <n v="156.45500000000001" u="1"/>
        <n v="16371.04" u="1"/>
        <n v="15218.86" u="1"/>
        <n v="13323.24" u="1"/>
        <n v="16022.72" u="1"/>
        <n v="13932.8" u="1"/>
        <n v="11842.88" u="1"/>
        <n v="757.16800000000001" u="1"/>
        <n v="119813.4" u="1"/>
        <n v="32.93" u="1"/>
        <n v="230.28" u="1"/>
        <n v="905.18" u="1"/>
        <n v="426.09339999999997" u="1"/>
        <n v="765.99" u="1"/>
        <n v="926.01" u="1"/>
        <n v="1890" u="1"/>
        <n v="886.28" u="1"/>
        <n v="374.72" u="1"/>
        <n v="469.48" u="1"/>
        <n v="365" u="1"/>
        <n v="1280" u="1"/>
        <n v="884.8" u="1"/>
        <n v="592.32000000000005" u="1"/>
        <n v="322.35000000000002" u="1"/>
        <n v="413.87" u="1"/>
        <n v="149.38999999999999" u="1"/>
        <n v="606.41" u="1"/>
        <n v="381.2466" u="1"/>
        <n v="506.79" u="1"/>
        <n v="880.32" u="1"/>
        <n v="1293.3074999999999" u="1"/>
        <n v="650.46" u="1"/>
        <n v="454.8075" u="1"/>
        <n v="451.755" u="1"/>
        <n v="442.58249999999998" u="1"/>
        <n v="350.08659999999998" u="1"/>
        <n v="556.58010000000002" u="1"/>
        <n v="966.33600000000001" u="1"/>
        <n v="309.32" u="1"/>
        <n v="1046.92" u="1"/>
        <n v="171.45" u="1"/>
        <n v="965.38350000000003" u="1"/>
        <n v="1067.3" u="1"/>
        <n v="388.1934" u="1"/>
        <n v="1952.38" u="1"/>
        <n v="732.66" u="1"/>
        <n v="476.96" u="1"/>
        <n v="476.94" u="1"/>
        <n v="199" u="1"/>
        <n v="343.73" u="1"/>
        <n v="4230" u="1"/>
        <n v="1379.52" u="1"/>
        <n v="1095.4100000000001" u="1"/>
        <n v="1196.6199999999999" u="1"/>
        <n v="1020.69" u="1"/>
        <n v="403.09" u="1"/>
        <n v="40201.160000000003" u="1"/>
        <n v="1552" u="1"/>
        <n v="211.87" u="1"/>
        <n v="564.46" u="1"/>
        <n v="261.24" u="1"/>
        <n v="3228.75" u="1"/>
        <n v="4680" u="1"/>
        <n v="1989.54" u="1"/>
        <n v="792.43" u="1"/>
        <n v="2357.9" u="1"/>
        <n v="1188.29" u="1"/>
        <n v="398.04" u="1"/>
        <n v="1047.6199999999999" u="1"/>
        <n v="1887" u="1"/>
        <n v="2922.37" u="1"/>
        <n v="1441.27" u="1"/>
        <n v="2090.7800000000002" u="1"/>
        <n v="3108.61" u="1"/>
        <n v="866.21" u="1"/>
        <n v="298.16000000000003" u="1"/>
        <n v="382.82" u="1"/>
        <n v="1184.54" u="1"/>
        <n v="2091.23" u="1"/>
        <n v="5169.18" u="1"/>
        <n v="979.48" u="1"/>
        <n v="2248.69" u="1"/>
        <n v="1271.82" u="1"/>
        <n v="1932.84" u="1"/>
        <n v="2222.61" u="1"/>
        <n v="1249.3499999999999" u="1"/>
        <n v="2100.73" u="1"/>
        <n v="1607.68" u="1"/>
        <n v="1639.74" u="1"/>
        <n v="1136.79" u="1"/>
        <n v="710.73" u="1"/>
        <n v="1957.17" u="1"/>
        <n v="511.17" u="1"/>
        <n v="400.08" u="1"/>
        <n v="902.77" u="1"/>
        <n v="984.08" u="1"/>
        <n v="1678.92" u="1"/>
        <n v="3550.82" u="1"/>
        <n v="855.33" u="1"/>
        <n v="1100.27" u="1"/>
        <n v="588.45000000000005" u="1"/>
        <n v="687.8" u="1"/>
        <n v="1280.6300000000001" u="1"/>
        <n v="1060.76" u="1"/>
        <n v="1732.45" u="1"/>
        <n v="995.27" u="1"/>
        <n v="531.22" u="1"/>
        <n v="1120.73" u="1"/>
        <n v="599.86" u="1"/>
        <n v="694.49" u="1"/>
        <n v="1045.6400000000001" u="1"/>
        <n v="13.92" u="1"/>
        <n v="3263.59" u="1"/>
        <n v="1177.1300000000001" u="1"/>
        <n v="613.72" u="1"/>
        <n v="988.17" u="1"/>
        <n v="1298.27" u="1"/>
        <n v="668.19" u="1"/>
        <n v="1799.35" u="1"/>
        <n v="1013.97" u="1"/>
        <n v="906.04" u="1"/>
        <n v="1227.3399999999999" u="1"/>
        <n v="865.67" u="1"/>
        <n v="2004.86" u="1"/>
        <n v="474.15" u="1"/>
        <n v="2824.8" u="1"/>
        <n v="1869.22" u="1"/>
        <n v="1103.56" u="1"/>
        <n v="753.76" u="1"/>
        <n v="216.54" u="1"/>
        <n v="1895.94" u="1"/>
        <n v="345.41" u="1"/>
        <n v="285.10000000000002" u="1"/>
        <n v="928.41" u="1"/>
        <n v="1123.58" u="1"/>
        <n v="1681.34" u="1"/>
        <n v="1584.79" u="1"/>
        <n v="1551.73" u="1"/>
        <n v="587.13" u="1"/>
        <n v="2729.06" u="1"/>
        <n v="983.12" u="1"/>
        <n v="676.81" u="1"/>
        <n v="926.83" u="1"/>
        <n v="635.16" u="1"/>
        <n v="1200.03" u="1"/>
        <n v="2767.13" u="1"/>
        <n v="2162.2800000000002" u="1"/>
        <n v="2208.16" u="1"/>
        <n v="1492.16" u="1"/>
        <n v="765.23" u="1"/>
        <n v="1265.78" u="1"/>
        <n v="982" u="1"/>
        <n v="1891.93" u="1"/>
        <n v="676.86" u="1"/>
        <n v="954.72" u="1"/>
        <n v="709.42" u="1"/>
        <n v="229.34" u="1"/>
        <n v="471.61" u="1"/>
        <n v="1368.54" u="1"/>
        <n v="924.43" u="1"/>
        <n v="804.1" u="1"/>
        <n v="635.88" u="1"/>
        <n v="1590.64" u="1"/>
        <n v="647.83000000000004" u="1"/>
        <n v="599.36" u="1"/>
        <n v="1138.79" u="1"/>
        <n v="1292.3900000000001" u="1"/>
        <n v="1114.5899999999999" u="1"/>
        <n v="1369.41" u="1"/>
        <n v="440.21" u="1"/>
        <n v="582.88" u="1"/>
        <n v="566.94000000000005" u="1"/>
        <n v="381.34" u="1"/>
        <n v="1918.62" u="1"/>
        <n v="574.94000000000005" u="1"/>
        <n v="1533.98" u="1"/>
        <n v="849.07" u="1"/>
        <n v="568.42999999999995" u="1"/>
        <n v="306.68" u="1"/>
        <n v="1998.16" u="1"/>
        <n v="3145" u="1"/>
        <n v="408.85" u="1"/>
        <n v="2160.17" u="1"/>
        <n v="475.8" u="1"/>
        <n v="3823.43" u="1"/>
        <n v="2334.13" u="1"/>
        <n v="2372.4" u="1"/>
        <n v="763.07" u="1"/>
        <n v="321.58999999999997" u="1"/>
        <n v="1198.79" u="1"/>
        <n v="1568.69" u="1"/>
        <n v="766.9" u="1"/>
        <n v="1836.28" u="1"/>
        <n v="1426.71" u="1"/>
        <n v="892.19" u="1"/>
        <n v="320.49" u="1"/>
        <n v="1547.52" u="1"/>
        <n v="1250.73" u="1"/>
        <n v="2946.46" u="1"/>
        <n v="706.58" u="1"/>
        <n v="2689.98" u="1"/>
        <n v="1187.53" u="1"/>
        <n v="814.3" u="1"/>
        <n v="396.39" u="1"/>
        <n v="776.86" u="1"/>
        <n v="881.8" u="1"/>
        <n v="597.25" u="1"/>
        <n v="6168.26" u="1"/>
        <n v="610.4" u="1"/>
        <n v="2544.35" u="1"/>
        <n v="1676.87" u="1"/>
        <n v="1252.53" u="1"/>
        <n v="984.78" u="1"/>
        <n v="333.64" u="1"/>
        <n v="1252.3499999999999" u="1"/>
        <n v="881.18" u="1"/>
        <n v="1134.4100000000001" u="1"/>
        <n v="410.84" u="1"/>
        <n v="3483.7" u="1"/>
        <n v="2726.55" u="1"/>
        <n v="2410.27" u="1"/>
        <n v="1464.9" u="1"/>
        <n v="517.41" u="1"/>
        <n v="1022.94" u="1"/>
        <n v="464.21" u="1"/>
        <n v="199.84" u="1"/>
        <n v="458.86" u="1"/>
        <n v="2655.92" u="1"/>
        <n v="714.47" u="1"/>
        <n v="372.52" u="1"/>
        <n v="3400.26" u="1"/>
        <n v="14912.44" u="1"/>
        <n v="13236.16" u="1"/>
        <n v="870.8" u="1"/>
        <n v="292.76659999999998" u="1"/>
        <n v="406.92" u="1"/>
        <n v="280.54000000000002" u="1"/>
        <n v="1652.27" u="1"/>
        <n v="1239.22" u="1"/>
        <n v="1528.97" u="1"/>
        <n v="507.04" u="1"/>
        <n v="2479.87" u="1"/>
        <n v="1113.24" u="1"/>
        <n v="209.37" u="1"/>
        <n v="2342.1799999999998" u="1"/>
        <n v="792.29" u="1"/>
        <n v="364.19" u="1"/>
        <n v="1920" u="1"/>
        <n v="1719.9" u="1"/>
        <n v="737.1" u="1"/>
        <n v="25895.87" u="1"/>
        <n v="396.37" u="1"/>
        <n v="2736.96" u="1"/>
        <n v="130.47" u="1"/>
        <n v="33545.1" u="1"/>
        <n v="863.94" u="1"/>
        <n v="997.92" u="1"/>
        <n v="47.07" u="1"/>
        <n v="49.92" u="1"/>
        <n v="48.15" u="1"/>
        <n v="13352.43" u="1"/>
        <n v="11353.25" u="1"/>
        <n v="914.83" u="1"/>
        <n v="1039.3499999999999" u="1"/>
        <n v="656.92" u="1"/>
        <n v="509.88" u="1"/>
        <n v="370.66" u="1"/>
        <n v="341.21" u="1"/>
        <n v="2009.54" u="1"/>
        <n v="2251.1" u="1"/>
        <n v="6491.18" u="1"/>
        <n v="582.58000000000004" u="1"/>
        <n v="1320.43" u="1"/>
        <n v="2992.04" u="1"/>
        <n v="1906.75" u="1"/>
        <n v="1512.17" u="1"/>
        <n v="1798.23" u="1"/>
        <n v="35498.519999999997" u="1"/>
        <n v="5895" u="1"/>
        <n v="8877.36" u="1"/>
        <n v="672.32" u="1"/>
        <n v="513.85" u="1"/>
        <n v="375" u="1"/>
        <n v="963" u="1"/>
        <n v="3268.9135999999999" u="1"/>
        <n v="233.68" u="1"/>
        <n v="5371.74" u="1"/>
        <n v="220.07" u="1"/>
        <n v="613.67999999999995" u="1"/>
        <n v="652.63" u="1"/>
        <n v="856" u="1"/>
        <n v="428" u="1"/>
        <n v="675" u="1"/>
        <n v="1666.68" u="1"/>
        <n v="346" u="1"/>
        <n v="38.799999999999997" u="1"/>
        <n v="34.15" u="1"/>
        <n v="10296" u="1"/>
        <n v="1016.4" u="1"/>
        <n v="35.76" u="1"/>
        <n v="38.19" u="1"/>
        <n v="150.9" u="1"/>
        <n v="191.67" u="1"/>
        <n v="1880.32" u="1"/>
        <n v="14667" u="1"/>
        <n v="13444.86" u="1"/>
        <n v="1145.8499999999999" u="1"/>
        <n v="13109.4" u="1"/>
        <n v="72" u="1"/>
        <n v="52.35" u="1"/>
        <n v="42.67" u="1"/>
        <n v="717.22" u="1"/>
        <n v="2220.63" u="1"/>
        <n v="6208.16" u="1"/>
        <n v="1839.18" u="1"/>
        <n v="389.5" u="1"/>
        <n v="996" u="1"/>
        <n v="1102.92" u="1"/>
        <n v="1863.56" u="1"/>
        <n v="121.9" u="1"/>
        <n v="1095.3499999999999" u="1"/>
        <n v="349.3734" u="1"/>
        <n v="321.68" u="1"/>
        <n v="90" u="1"/>
        <n v="223" u="1"/>
        <n v="345.99" u="1"/>
        <n v="747" u="1"/>
        <n v="1125.3900000000001" u="1"/>
        <n v="200.72" u="1"/>
        <n v="302.45999999999998" u="1"/>
        <n v="792" u="1"/>
        <n v="228.12" u="1"/>
        <n v="387.92" u="1"/>
        <n v="560.46" u="1"/>
        <n v="299.32" u="1"/>
        <n v="288" u="1"/>
        <n v="210.42" u="1"/>
        <n v="179.92" u="1"/>
        <n v="474.39" u="1"/>
        <n v="4000" u="1"/>
        <n v="30500" u="1"/>
        <n v="1780" u="1"/>
        <n v="1380" u="1"/>
        <n v="3100" u="1"/>
        <n v="378" u="1"/>
        <n v="2288" u="1"/>
        <n v="527.51009999999997" u="1"/>
        <n v="631.11" u="1"/>
        <n v="351.2" u="1"/>
        <n v="129.38" u="1"/>
        <n v="345.08" u="1"/>
        <n v="150.75" u="1"/>
        <n v="1802.0299" u="1"/>
        <n v="241.11" u="1"/>
        <n v="324.52" u="1"/>
        <n v="234.08" u="1"/>
        <n v="24387.3" u="1"/>
        <n v="537.76" u="1"/>
        <n v="346.15339999999998" u="1"/>
        <n v="236.3" u="1"/>
        <n v="1494.51" u="1"/>
        <n v="2202.8834999999999" u="1"/>
        <n v="452.28" u="1"/>
        <n v="21072.87" u="1"/>
        <n v="10328.65" u="1"/>
        <n v="498.48" u="1"/>
        <n v="392.08" u="1"/>
        <n v="5150.97" u="1"/>
        <n v="266.32" u="1"/>
        <n v="253.64" u="1"/>
        <n v="266.25" u="1"/>
        <n v="8363.4599999999991" u="1"/>
        <n v="113" u="1"/>
        <n v="322" u="1"/>
        <n v="3258.9875999999999" u="1"/>
        <n v="455.81" u="1"/>
        <n v="2980.26" u="1"/>
        <n v="6183" u="1"/>
        <n v="1570.25" u="1"/>
        <n v="73.17" u="1"/>
        <n v="72.83" u="1"/>
        <n v="903" u="1"/>
        <n v="1550" u="1"/>
        <n v="556.47" u="1"/>
        <n v="576.57000000000005" u="1"/>
        <n v="925.67020000000002" u="1"/>
        <n v="1366.02" u="1"/>
        <n v="354.96" u="1"/>
        <n v="2655.75" u="1"/>
        <n v="194.54" u="1"/>
        <n v="259.04000000000002" u="1"/>
        <n v="329.93" u="1"/>
        <n v="620" u="1"/>
        <n v="592" u="1"/>
        <n v="817.49599999999998" u="1"/>
        <n v="406.54" u="1"/>
        <n v="1082.3648000000001" u="1"/>
        <n v="105.19499999999999" u="1"/>
        <n v="780.46400000000006" u="1"/>
        <n v="90.89" u="1"/>
        <n v="84" u="1"/>
        <n v="217.38" u="1"/>
        <n v="750.39" u="1"/>
        <n v="166.2" u="1"/>
        <n v="242.16" u="1"/>
        <n v="1533.84" u="1"/>
        <n v="313.48" u="1"/>
        <n v="428.79989999999998" u="1"/>
        <n v="240.61" u="1"/>
        <n v="164" u="1"/>
        <n v="260.37" u="1"/>
        <n v="477.99990000000003" u="1"/>
        <n v="7770" u="1"/>
        <n v="152.79499999999999" u="1"/>
        <n v="813.46" u="1"/>
        <n v="1094.29" u="1"/>
        <n v="609.80999999999995" u="1"/>
        <n v="504.81" u="1"/>
        <n v="535.6" u="1"/>
        <n v="40.11" u="1"/>
        <n v="1777.8" u="1"/>
        <n v="506.82" u="1"/>
        <n v="644.55999999999995" u="1"/>
        <n v="324.63" u="1"/>
        <n v="2306.0700000000002" u="1"/>
        <n v="597.37" u="1"/>
        <n v="368.62" u="1"/>
        <n v="775.12" u="1"/>
        <n v="301.64" u="1"/>
        <n v="615.44000000000005" u="1"/>
        <n v="679.68" u="1"/>
        <n v="2870.46" u="1"/>
        <n v="5586.6" u="1"/>
        <n v="22088.34" u="1"/>
        <n v="5322.7" u="1"/>
        <n v="8626.31" u="1"/>
        <n v="823.92" u="1"/>
        <n v="2561.94" u="1"/>
        <n v="426.24" u="1"/>
        <n v="317" u="1"/>
        <n v="1522.269" u="1"/>
        <n v="755.85" u="1"/>
        <n v="3165.3" u="1"/>
        <n v="2499" u="1"/>
        <n v="608" u="1"/>
        <n v="189" u="1"/>
        <n v="7875" u="1"/>
        <n v="726.6" u="1"/>
        <n v="1123.2" u="1"/>
        <n v="1702.4" u="1"/>
        <n v="2128" u="1"/>
        <n v="2132.9699999999998" u="1"/>
        <n v="2918.43" u="1"/>
        <n v="636" u="1"/>
        <n v="1450" u="1"/>
        <n v="2359" u="1"/>
        <n v="314.8" u="1"/>
        <n v="677.25" u="1"/>
        <n v="1860" u="1"/>
        <n v="71" u="1"/>
        <n v="180.9" u="1"/>
        <n v="1810" u="1"/>
        <n v="1004" u="1"/>
        <n v="840" u="1"/>
        <n v="189.29" u="1"/>
        <n v="475" u="1"/>
        <n v="267" u="1"/>
        <n v="268" u="1"/>
        <n v="722.01" u="1"/>
        <n v="956" u="1"/>
        <n v="464.01749999999998" u="1"/>
        <n v="522.48" u="1"/>
        <n v="636.6" u="1"/>
        <n v="435.4" u="1"/>
        <n v="696.64" u="1"/>
        <n v="540.80999999999995" u="1"/>
        <n v="297.72000000000003" u="1"/>
        <n v="573.08000000000004" u="1"/>
        <n v="3528.8" u="1"/>
        <n v="602.29" u="1"/>
        <n v="534.03989999999999" u="1"/>
        <n v="774.66" u="1"/>
        <n v="438.32" u="1"/>
        <n v="1229.3598" u="1"/>
        <n v="434.25" u="1"/>
        <n v="585.04" u="1"/>
        <n v="1472.2" u="1"/>
        <n v="357.67" u="1"/>
        <n v="316.08" u="1"/>
        <n v="2437.44" u="1"/>
        <n v="539.79" u="1"/>
        <n v="1551" u="1"/>
        <n v="547.096" u="1"/>
        <n v="910.06" u="1"/>
        <n v="282.68" u="1"/>
        <n v="503" u="1"/>
        <n v="1668.1418000000001" u="1"/>
        <n v="614.67989999999998" u="1"/>
        <n v="1208.46" u="1"/>
        <n v="347.98500000000001" u="1"/>
        <n v="2786.56" u="1"/>
        <n v="783.72" u="1"/>
        <n v="1078.8" u="1"/>
        <n v="857.92" u="1"/>
        <n v="750.56" u="1"/>
        <n v="654.99" u="1"/>
        <n v="1071" u="1"/>
        <n v="458" u="1"/>
        <n v="370" u="1"/>
        <n v="1319.72" u="1"/>
        <n v="1101.3900000000001" u="1"/>
        <n v="215.5" u="1"/>
        <n v="798.78" u="1"/>
        <n v="712.41" u="1"/>
        <n v="834.71" u="1"/>
        <n v="1100.8699999999999" u="1"/>
        <n v="386.74" u="1"/>
        <n v="401.83" u="1"/>
        <n v="819.17" u="1"/>
        <n v="433.66660000000002" u="1"/>
        <n v="856.3" u="1"/>
        <n v="827.72799999999995" u="1"/>
        <n v="375.6" u="1"/>
        <n v="737.52" u="1"/>
        <n v="779.79" u="1"/>
        <n v="270.12" u="1"/>
        <n v="818.99" u="1"/>
        <n v="456.93" u="1"/>
        <n v="267.36660000000001" u="1"/>
        <n v="303.72000000000003" u="1"/>
        <n v="397" u="1"/>
        <n v="378.08" u="1"/>
        <n v="1494.12" u="1"/>
        <n v="176" u="1"/>
        <n v="524.63" u="1"/>
        <n v="192.3" u="1"/>
        <n v="543.04999999999995" u="1"/>
        <n v="360.09" u="1"/>
        <n v="507.67" u="1"/>
        <n v="357.87" u="1"/>
        <n v="606.13" u="1"/>
        <n v="854.38" u="1"/>
        <n v="704.81" u="1"/>
        <n v="877.95" u="1"/>
        <n v="480.86" u="1"/>
        <n v="523.55999999999995" u="1"/>
        <n v="396.64" u="1"/>
        <n v="651.24" u="1"/>
        <n v="351.8" u="1"/>
        <n v="349.52" u="1"/>
        <n v="293.16000000000003" u="1"/>
        <n v="418.48" u="1"/>
        <n v="1099.6400000000001" u="1"/>
        <n v="428.04" u="1"/>
        <n v="570.64" u="1"/>
        <n v="2949.8" u="1"/>
        <n v="216.7" u="1"/>
        <n v="1402.1" u="1"/>
        <n v="93.68" u="1"/>
        <n v="3070.86" u="1"/>
        <n v="436.36" u="1"/>
        <n v="2518" u="1"/>
        <n v="3502.98" u="1"/>
        <n v="13891.5" u="1"/>
        <n v="9145" u="1"/>
        <n v="3275.6790000000001" u="1"/>
        <n v="5242.6000000000004" u="1"/>
        <n v="783.11" u="1"/>
        <n v="448.38" u="1"/>
        <n v="1361.8" u="1"/>
        <n v="1366.14" u="1"/>
        <n v="1735.27" u="1"/>
        <n v="1109.8" u="1"/>
        <n v="598.4" u="1"/>
        <n v="3720.944" u="1"/>
        <n v="198.79" u="1"/>
        <n v="674.9" u="1"/>
        <n v="33959.85" u="1"/>
        <n v="329.9" u="1"/>
        <n v="790" u="1"/>
        <n v="705" u="1"/>
        <n v="641.65599999999995" u="1"/>
        <n v="2372.63" u="1"/>
        <n v="1005" u="1"/>
        <n v="292.39999999999998" u="1"/>
        <n v="2254" u="1"/>
        <n v="3395.52" u="1"/>
        <n v="612.55889999999999" u="1"/>
        <n v="1688.26" u="1"/>
        <n v="117.98" u="1"/>
        <n v="4596.8" u="1"/>
        <n v="876" u="1"/>
        <n v="315.63" u="1"/>
        <n v="354.18" u="1"/>
        <n v="687.66" u="1"/>
        <n v="896.34990000000005" u="1"/>
        <n v="946.46" u="1"/>
        <n v="2462.2199999999998" u="1"/>
        <n v="196.93" u="1"/>
        <n v="1243.48" u="1"/>
        <n v="824.77" u="1"/>
        <n v="1915.76" u="1"/>
        <n v="2760" u="1"/>
        <n v="25765.74" u="1"/>
        <n v="2048.5949999999998" u="1"/>
        <n v="195.59" u="1"/>
        <n v="614.51" u="1"/>
        <n v="266.22000000000003" u="1"/>
        <n v="363.36" u="1"/>
        <n v="214.96" u="1"/>
        <n v="2059.64" u="1"/>
        <n v="226.28" u="1"/>
        <n v="515.01750000000004" u="1"/>
        <n v="978.50250000000005" u="1"/>
        <n v="72.42" u="1"/>
        <n v="581.86" u="1"/>
        <n v="79.12" u="1"/>
        <n v="792.32" u="1"/>
        <n v="766.12" u="1"/>
        <n v="2826.26" u="1"/>
        <n v="95.01" u="1"/>
        <n v="1143.3699999999999" u="1"/>
        <n v="303.44" u="1"/>
        <n v="487.92" u="1"/>
        <n v="2327.9412000000002" u="1"/>
        <n v="1868.42" u="1"/>
        <n v="1014.09" u="1"/>
        <n v="1248.25" u="1"/>
        <n v="537.32000000000005" u="1"/>
        <n v="454.32" u="1"/>
        <n v="569.84" u="1"/>
        <n v="3941.64" u="1"/>
        <n v="323.64" u="1"/>
        <n v="2100.38" u="1"/>
        <n v="2128.9499999999998" u="1"/>
        <n v="307.81" u="1"/>
        <n v="369.76" u="1"/>
        <n v="6530.6850000000004" u="1"/>
        <n v="662.97" u="1"/>
        <n v="722.24" u="1"/>
        <n v="335.45" u="1"/>
        <n v="1811" u="1"/>
        <n v="423.24" u="1"/>
        <n v="631.9" u="1"/>
        <n v="0.01" u="1"/>
        <n v="333.76" u="1"/>
        <n v="1020.29" u="1"/>
        <n v="89812.11" u="1"/>
        <n v="504.21" u="1"/>
        <n v="112" u="1"/>
        <n v="565" u="1"/>
        <n v="594.30499999999995" u="1"/>
        <n v="1490.49" u="1"/>
        <n v="1649.03" u="1"/>
        <n v="2776.38" u="1"/>
        <n v="644.32000000000005" u="1"/>
        <n v="816.3" u="1"/>
        <n v="606.6" u="1"/>
        <n v="620.97" u="1"/>
        <n v="674.51" u="1"/>
        <n v="1095.8900000000001" u="1"/>
        <n v="3045" u="1"/>
        <n v="912" u="1"/>
        <n v="4882.5" u="1"/>
        <n v="2324.23" u="1"/>
        <n v="2916.9" u="1"/>
        <n v="395.51" u="1"/>
        <n v="2046.99" u="1"/>
        <n v="3289" u="1"/>
        <n v="388.31" u="1"/>
        <n v="238" u="1"/>
        <n v="304.88" u="1"/>
        <n v="399.9" u="1"/>
        <n v="1909.8" u="1"/>
        <n v="220.57" u="1"/>
        <n v="1084.8" u="1"/>
        <n v="207" u="1"/>
        <n v="645.90300000000002" u="1"/>
        <n v="2344.8000000000002" u="1"/>
        <n v="1571.84" u="1"/>
        <n v="393.68" u="1"/>
        <n v="1281.05" u="1"/>
        <n v="2691.54" u="1"/>
        <n v="138" u="1"/>
        <n v="781.57" u="1"/>
        <n v="1434.34" u="1"/>
        <n v="1520.4" u="1"/>
        <n v="1482.26" u="1"/>
        <n v="648.64" u="1"/>
        <n v="611.91999999999996" u="1"/>
        <n v="2087.14" u="1"/>
        <n v="5224.58" u="1"/>
        <n v="1343.6" u="1"/>
        <n v="531.86" u="1"/>
        <n v="1913.74" u="1"/>
        <n v="1911.32" u="1"/>
        <n v="10090.27" u="1"/>
        <n v="417.16" u="1"/>
        <n v="5603.61" u="1"/>
        <n v="3016.44" u="1"/>
        <n v="1124.46" u="1"/>
        <n v="392.82" u="1"/>
        <n v="4117.76" u="1"/>
        <n v="888.64" u="1"/>
        <n v="676.2" u="1"/>
        <n v="218" u="1"/>
        <n v="286" u="1"/>
        <n v="3304.97" u="1"/>
        <n v="311.39999999999998" u="1"/>
        <n v="153.38" u="1"/>
        <n v="412.98" u="1"/>
        <n v="123.88" u="1"/>
        <n v="235.98" u="1"/>
        <n v="188.67" u="1"/>
        <n v="9992.232" u="1"/>
        <n v="5531.4" u="1"/>
        <n v="1377" u="1"/>
        <n v="1544" u="1"/>
        <n v="318" u="1"/>
        <n v="502" u="1"/>
        <n v="641" u="1"/>
        <n v="1107" u="1"/>
        <n v="2698.45" u="1"/>
        <n v="470" u="1"/>
        <n v="496.97" u="1"/>
        <n v="534" u="1"/>
        <n v="498.15339999999998" u="1"/>
        <n v="4482.25" u="1"/>
        <n v="1175.49" u="1"/>
        <n v="281.99" u="1"/>
        <n v="310.82" u="1"/>
        <n v="360.47" u="1"/>
        <n v="427.73" u="1"/>
        <n v="326.39" u="1"/>
        <n v="1171.49" u="1"/>
        <n v="1050.76" u="1"/>
        <n v="3378.6" u="1"/>
        <n v="510.83" u="1"/>
        <n v="302.64" u="1"/>
        <n v="472.3" u="1"/>
        <n v="585.49" u="1"/>
        <n v="1463.28" u="1"/>
        <n v="603.91" u="1"/>
        <n v="860.46" u="1"/>
        <n v="272.24" u="1"/>
        <n v="129.84" u="1"/>
        <n v="956.87" u="1"/>
        <n v="627" u="1"/>
        <n v="287.39999999999998" u="1"/>
        <n v="277.55" u="1"/>
        <n v="723.23" u="1"/>
        <n v="303.61" u="1"/>
        <n v="540.45000000000005" u="1"/>
        <n v="406.8" u="1"/>
        <n v="370.08" u="1"/>
        <n v="892.33" u="1"/>
        <n v="1355.02" u="1"/>
        <n v="507.81" u="1"/>
        <n v="903.52" u="1"/>
        <n v="352.38" u="1"/>
        <n v="358.73" u="1"/>
        <n v="3775.42" u="1"/>
        <n v="926.33" u="1"/>
        <n v="1839.64" u="1"/>
        <n v="422.2" u="1"/>
        <n v="5" u="1"/>
        <n v="542.5" u="1"/>
        <n v="578.28" u="1"/>
        <n v="433.12" u="1"/>
        <n v="181.56" u="1"/>
        <n v="499.16" u="1"/>
        <n v="454.4" u="1"/>
        <n v="501.52" u="1"/>
        <n v="385.24" u="1"/>
        <n v="285.68" u="1"/>
        <n v="388.28" u="1"/>
        <n v="430.08" u="1"/>
        <n v="180.8" u="1"/>
        <n v="387.52" u="1"/>
        <n v="446.04" u="1"/>
        <n v="879.92" u="1"/>
        <n v="188.4" u="1"/>
        <n v="505.24" u="1"/>
        <n v="1110.2" u="1"/>
        <n v="410.32" u="1"/>
        <n v="455" u="1"/>
        <n v="2260" u="1"/>
        <n v="708" u="1"/>
        <n v="5610" u="1"/>
        <n v="2539.98" u="1"/>
        <n v="498.96" u="1"/>
        <n v="613" u="1"/>
        <n v="2361.8000000000002" u="1"/>
        <n v="1666.42" u="1"/>
        <n v="1897.02" u="1"/>
        <n v="1748.8" u="1"/>
        <n v="1105.0899999999999" u="1"/>
        <n v="3205.26" u="1"/>
        <n v="333" u="1"/>
        <n v="954" u="1"/>
        <n v="1729.83" u="1"/>
        <n v="1739.145" u="1"/>
        <n v="7131.8" u="1"/>
        <n v="404" u="1"/>
        <n v="26400" u="1"/>
        <n v="474" u="1"/>
        <n v="239.06" u="1"/>
        <n v="3322.09" u="1"/>
        <n v="2362.79" u="1"/>
        <n v="2516.2800000000002" u="1"/>
        <n v="3072.09" u="1"/>
        <n v="180.77" u="1"/>
        <n v="563" u="1"/>
        <n v="1584" u="1"/>
        <n v="4597.2" u="1"/>
        <n v="6262.5" u="1"/>
        <n v="2356.1999999999998" u="1"/>
        <n v="2880.12" u="1"/>
        <n v="1750" u="1"/>
        <n v="1176" u="1"/>
        <n v="277.2" u="1"/>
        <n v="249" u="1"/>
        <n v="1079.3599999999999" u="1"/>
        <n v="619.5" u="1"/>
        <n v="511.74" u="1"/>
        <n v="1440" u="1"/>
        <n v="448.5" u="1"/>
        <n v="909.3" u="1"/>
        <n v="1377.54" u="1"/>
        <n v="677.59" u="1"/>
        <n v="601.32000000000005" u="1"/>
        <n v="1244.3699999999999" u="1"/>
        <n v="208.77" u="1"/>
        <n v="945.82" u="1"/>
        <n v="2263.48" u="1"/>
        <n v="2774.75" u="1"/>
        <n v="1329.46" u="1"/>
        <n v="1846.2" u="1"/>
        <n v="682.5" u="1"/>
        <n v="724.96" u="1"/>
        <n v="719.72" u="1"/>
        <n v="410.24" u="1"/>
        <n v="430" u="1"/>
        <n v="1544.54" u="1"/>
        <n v="586.29999999999995" u="1"/>
        <n v="1499.31" u="1"/>
        <n v="972.81" u="1"/>
        <n v="11252.304" u="1"/>
        <n v="438" u="1"/>
        <n v="3791.76" u="1"/>
        <n v="202.98" u="1"/>
        <n v="1278" u="1"/>
        <n v="640" u="1"/>
        <n v="571.03" u="1"/>
        <n v="1944" u="1"/>
        <n v="1120" u="1"/>
        <n v="5832.2860000000001" u="1"/>
        <n v="3370.5" u="1"/>
        <n v="976.5" u="1"/>
        <n v="1089" u="1"/>
        <n v="133.41999999999999" u="1"/>
        <n v="4096.95" u="1"/>
        <n v="952" u="1"/>
        <n v="356.25" u="1"/>
        <n v="820.72" u="1"/>
        <n v="773.52" u="1"/>
        <n v="1306.2" u="1"/>
        <n v="3657.36" u="1"/>
        <n v="2699.48" u="1"/>
        <n v="2089.92" u="1"/>
        <n v="1741.6" u="1"/>
        <n v="5311.88" u="1"/>
        <n v="174.16" u="1"/>
        <n v="1480.36" u="1"/>
        <n v="307.8" u="1"/>
        <n v="205.81" u="1"/>
        <n v="5940.76" u="1"/>
        <n v="6966.54" u="1"/>
        <n v="667.18399999999997" u="1"/>
        <n v="2729.07" u="1"/>
        <n v="1604.65" u="1"/>
        <n v="2726.74" u="1"/>
        <n v="1603.49" u="1"/>
        <n v="1639.0898999999999" u="1"/>
        <n v="1153.82" u="1"/>
        <n v="848.29" u="1"/>
        <n v="1476.7599" u="1"/>
        <n v="313.20999999999998" u="1"/>
        <n v="1093" u="1"/>
        <n v="559" u="1"/>
        <n v="279" u="1"/>
        <n v="130.30000000000001" u="1"/>
        <n v="384" u="1"/>
        <n v="624" u="1"/>
        <n v="633" u="1"/>
        <n v="443" u="1"/>
        <n v="991.95" u="1"/>
        <n v="457.6" u="1"/>
        <n v="217" u="1"/>
        <n v="477.99" u="1"/>
        <n v="932.01" u="1"/>
        <n v="963.99" u="1"/>
        <n v="555.00660000000005" u="1"/>
        <n v="1585.5840000000001" u="1"/>
        <n v="320.39999999999998" u="1"/>
        <n v="1080.6192000000001" u="1"/>
        <n v="347.08" u="1"/>
        <n v="267.72000000000003" u="1"/>
        <n v="10360.392" u="1"/>
        <n v="9731.3310000000001" u="1"/>
        <n v="110" u="1"/>
        <n v="417.94" u="1"/>
        <n v="484" u="1"/>
        <n v="890.52" u="1"/>
        <n v="688.53" u="1"/>
        <n v="2002" u="1"/>
        <n v="350.7" u="1"/>
        <n v="329.81" u="1"/>
        <n v="354.17" u="1"/>
        <n v="580.45600000000002" u="1"/>
        <n v="85.37" u="1"/>
        <n v="2157.08" u="1"/>
        <n v="1704.5" u="1"/>
        <n v="1016" u="1"/>
        <n v="3966" u="1"/>
        <n v="843.96" u="1"/>
        <n v="805.26" u="1"/>
        <n v="335.33" u="1"/>
        <n v="816" u="1"/>
        <n v="1326.99" u="1"/>
        <n v="29" u="1"/>
        <n v="1249.8900000000001" u="1"/>
        <n v="249.76" u="1"/>
        <n v="427.46" u="1"/>
        <n v="441.16" u="1"/>
        <n v="401.92" u="1"/>
        <n v="728.75" u="1"/>
        <n v="578.9" u="1"/>
        <n v="497.21" u="1"/>
        <n v="2364.5500000000002" u="1"/>
        <n v="250.82" u="1"/>
        <n v="1066.96" u="1"/>
        <n v="1230.6199999999999" u="1"/>
        <n v="5046.32" u="1"/>
        <n v="890.76099999999997" u="1"/>
        <n v="1657.74" u="1"/>
        <n v="183.2" u="1"/>
        <n v="570.32000000000005" u="1"/>
        <n v="1234.9259999999999" u="1"/>
        <n v="1336.566" u="1"/>
        <n v="5500" u="1"/>
        <n v="652.31399999999996" u="1"/>
        <n v="2904.3629999999998" u="1"/>
        <n v="5760" u="1"/>
        <n v="2439.36" u="1"/>
        <n v="3112" u="1"/>
        <n v="1882.8810000000001" u="1"/>
        <n v="790.68" u="1"/>
        <n v="733.7" u="1"/>
        <n v="292.61" u="1"/>
        <n v="1393.84" u="1"/>
        <n v="651.6" u="1"/>
        <n v="132.17500000000001" u="1"/>
        <n v="879" u="1"/>
        <n v="1331.36" u="1"/>
        <n v="346.33" u="1"/>
        <n v="619.78399999999999" u="1"/>
        <n v="273.7466" u="1"/>
        <n v="117.08" u="1"/>
        <n v="1006.9" u="1"/>
        <n v="417.57990000000001" u="1"/>
        <n v="1361.0328" u="1"/>
        <n v="238.47" u="1"/>
        <n v="461.88" u="1"/>
        <n v="1225.25" u="1"/>
        <n v="563.79999999999995" u="1"/>
        <n v="465" u="1"/>
        <n v="615" u="1"/>
        <n v="301.16660000000002" u="1"/>
        <n v="1261.1400000000001" u="1"/>
        <n v="4734.1400000000003" u="1"/>
        <n v="599.4" u="1"/>
        <n v="468.38" u="1"/>
        <n v="1098.53" u="1"/>
        <n v="478.99" u="1"/>
        <n v="567.67999999999995" u="1"/>
        <n v="886.84" u="1"/>
        <n v="969.96" u="1"/>
        <n v="5953.93" u="1"/>
        <n v="290.02999999999997" u="1"/>
        <n v="1788.4" u="1"/>
        <n v="10666.6" u="1"/>
        <n v="1388.88" u="1"/>
        <n v="68.8" u="1"/>
        <n v="66.790000000000006" u="1"/>
        <n v="661.14" u="1"/>
        <n v="146" u="1"/>
        <n v="146.97" u="1"/>
        <n v="3098.57" u="1"/>
        <n v="773.67" u="1"/>
        <n v="560.36" u="1"/>
        <n v="1474.82" u="1"/>
        <n v="2507.34" u="1"/>
        <n v="835.72" u="1"/>
        <n v="295.93" u="1"/>
        <n v="1604.69" u="1"/>
        <n v="369.28" u="1"/>
        <n v="1209.08" u="1"/>
        <n v="1068.4000000000001" u="1"/>
        <n v="1893.76" u="1"/>
        <n v="9440.11" u="1"/>
        <n v="8005.9" u="1"/>
        <n v="712.11" u="1"/>
        <n v="1277.75" u="1"/>
        <n v="4010.38" u="1"/>
        <n v="564.94000000000005" u="1"/>
        <n v="630.91" u="1"/>
        <n v="621.78" u="1"/>
        <n v="927.34" u="1"/>
        <n v="648.88" u="1"/>
        <n v="245.24" u="1"/>
        <n v="1018.06" u="1"/>
        <n v="3556.64" u="1"/>
        <n v="2014.4" u="1"/>
        <n v="3993.59" u="1"/>
        <n v="2814.13" u="1"/>
        <n v="902.8" u="1"/>
        <n v="481.76" u="1"/>
        <n v="560.44000000000005" u="1"/>
        <n v="2396.94" u="1"/>
        <n v="9327.69" u="1"/>
        <n v="12117.3" u="1"/>
        <n v="16955.96" u="1"/>
        <n v="607.01" u="1"/>
        <n v="947.88" u="1"/>
        <n v="1589.8" u="1"/>
        <n v="2264.1534000000001" u="1"/>
        <n v="310.02999999999997" u="1"/>
        <n v="863.16" u="1"/>
        <n v="197" u="1"/>
        <n v="348.32" u="1"/>
        <n v="3483.2" u="1"/>
        <n v="2351.16" u="1"/>
        <n v="4953.96" u="1"/>
        <n v="2349.2199999999998" u="1"/>
        <n v="4876.4799999999996" u="1"/>
        <n v="1636.8" u="1"/>
        <n v="1221.52" u="1"/>
        <n v="1164.1300000000001" u="1"/>
        <n v="1474.2" u="1"/>
        <n v="334" u="1"/>
        <n v="33.619999999999997" u="1"/>
        <n v="2828.3002000000001" u="1"/>
        <n v="329.08" u="1"/>
        <n v="435.1" u="1"/>
        <n v="1127.08" u="1"/>
        <n v="326.18" u="1"/>
        <n v="704.2" u="1"/>
        <n v="929.61" u="1"/>
        <n v="336.58" u="1"/>
        <n v="989.5" u="1"/>
        <n v="958.18399999999997" u="1"/>
        <n v="346.01" u="1"/>
        <n v="482.72" u="1"/>
        <n v="198.18" u="1"/>
        <n v="364.2466" u="1"/>
        <n v="7119.42" u="1"/>
        <n v="89.36" u="1"/>
        <n v="179.53" u="1"/>
        <n v="445.64" u="1"/>
        <n v="533.19000000000005" u="1"/>
        <n v="770.98" u="1"/>
        <n v="417.93" u="1"/>
        <n v="432.9" u="1"/>
        <n v="310.76" u="1"/>
        <n v="1461.4" u="1"/>
        <n v="412.52" u="1"/>
        <n v="622.36" u="1"/>
        <n v="82.76" u="1"/>
        <n v="535.72" u="1"/>
        <n v="650.48" u="1"/>
        <n v="296.24" u="1"/>
        <n v="658.84" u="1"/>
        <n v="6658.36" u="1"/>
        <n v="13785.8" u="1"/>
        <n v="474.85" u="1"/>
        <n v="135.22" u="1"/>
        <n v="588.94000000000005" u="1"/>
        <n v="287.29000000000002" u="1"/>
        <n v="520" u="1"/>
        <n v="611.61749999999995" u="1"/>
        <n v="254.96" u="1"/>
        <n v="220.24" u="1"/>
        <n v="489.4701" u="1"/>
        <n v="757.33" u="1"/>
        <n v="442.76" u="1"/>
        <n v="443.07" u="1"/>
        <n v="216.99" u="1"/>
        <n v="1344.46" u="1"/>
        <n v="415.64" u="1"/>
        <n v="487.12" u="1"/>
        <n v="575.91999999999996" u="1"/>
        <n v="862.52" u="1"/>
        <n v="591.55999999999995" u="1"/>
        <n v="834.27" u="1"/>
        <n v="2183.7399999999998" u="1"/>
        <n v="676.72" u="1"/>
        <n v="3197.69" u="1"/>
        <n v="50974.39" u="1"/>
        <n v="1128.01" u="1"/>
        <n v="1245.52" u="1"/>
        <n v="518.97" u="1"/>
        <n v="10576.36" u="1"/>
        <n v="11932.95" u="1"/>
        <n v="10011.73" u="1"/>
        <n v="2154.87" u="1"/>
        <n v="3780" u="1"/>
        <n v="1446.84" u="1"/>
        <n v="533.11" u="1"/>
        <n v="1732.57" u="1"/>
        <n v="719.39" u="1"/>
        <n v="3528.32" u="1"/>
        <n v="1152.83" u="1"/>
        <n v="2109.77" u="1"/>
        <n v="916.47" u="1"/>
        <n v="11826.65" u="1"/>
        <n v="2521.5300000000002" u="1"/>
        <n v="2382.8200000000002" u="1"/>
        <n v="2121.81" u="1"/>
        <n v="975.63" u="1"/>
        <n v="3041.29" u="1"/>
        <n v="220.49" u="1"/>
        <n v="508.05" u="1"/>
        <n v="1547.01" u="1"/>
        <n v="2823.9" u="1"/>
        <n v="1912.9" u="1"/>
        <n v="115.5" u="1"/>
        <n v="8175.35" u="1"/>
        <n v="80" u="1"/>
        <n v="3365.52" u="1"/>
        <n v="283.5" u="1"/>
        <n v="642.36" u="1"/>
        <n v="3974.3" u="1"/>
        <n v="9946.7900000000009" u="1"/>
        <n v="6075.89" u="1"/>
        <n v="1929.42" u="1"/>
        <n v="115.9" u="1"/>
        <n v="1916.07" u="1"/>
        <n v="1136.43" u="1"/>
        <n v="2219.9" u="1"/>
        <n v="883.9" u="1"/>
        <n v="613.37" u="1"/>
        <n v="3065.9" u="1"/>
        <n v="1263.6600000000001" u="1"/>
        <n v="735.84" u="1"/>
        <n v="170.21" u="1"/>
        <n v="85.45" u="1"/>
        <n v="1167.54" u="1"/>
        <n v="875.66" u="1"/>
        <n v="8888.83" u="1"/>
        <n v="5093.3599999999997" u="1"/>
        <n v="6891.6959999999999" u="1"/>
        <n v="2065.7800000000002" u="1"/>
        <n v="849.57" u="1"/>
        <n v="339.38" u="1"/>
        <n v="517.83000000000004" u="1"/>
        <n v="341.04" u="1"/>
        <n v="429.02" u="1"/>
        <n v="516.9" u="1"/>
        <n v="383.21" u="1"/>
        <n v="1869.9" u="1"/>
        <n v="1090.52" u="1"/>
        <n v="493.63" u="1"/>
        <n v="1256.8" u="1"/>
        <n v="201.32" u="1"/>
        <n v="435.32" u="1"/>
        <n v="1219.72" u="1"/>
        <n v="687.89" u="1"/>
        <n v="982.79" u="1"/>
        <n v="7875.15" u="1"/>
        <n v="236.28" u="1"/>
        <n v="2649.4" u="1"/>
        <n v="6167.14" u="1"/>
        <n v="6919.95" u="1"/>
        <n v="6759.72" u="1"/>
        <n v="1071.45" u="1"/>
        <n v="636.12" u="1"/>
        <n v="506.92" u="1"/>
        <n v="1240.1600000000001" u="1"/>
        <n v="5739.47" u="1"/>
        <n v="646" u="1"/>
        <n v="957" u="1"/>
        <n v="1073.97" u="1"/>
        <n v="504.5025" u="1"/>
        <n v="1828.68" u="1"/>
        <n v="2801.04" u="1"/>
        <n v="4528.16" u="1"/>
        <n v="2814.75" u="1"/>
        <n v="2612.4" u="1"/>
        <n v="1654.52" u="1"/>
        <n v="102.14" u="1"/>
        <n v="612.84" u="1"/>
        <n v="2406.04" u="1"/>
        <n v="2002.84" u="1"/>
        <n v="3047.8" u="1"/>
        <n v="5137.72" u="1"/>
        <n v="1567.44" u="1"/>
        <n v="3221.96" u="1"/>
        <n v="1219.1199999999999" u="1"/>
        <n v="87.08" u="1"/>
        <n v="3134.88" u="1"/>
        <n v="427.47" u="1"/>
        <n v="1225.68" u="1"/>
        <n v="957.88" u="1"/>
        <n v="3539.1417000000001" u="1"/>
        <n v="3142.752" u="1"/>
        <n v="797.48" u="1"/>
        <n v="256.2" u="1"/>
        <n v="306.92" u="1"/>
        <n v="591.63750000000005" u="1"/>
        <n v="393.11" u="1"/>
        <n v="257.33999999999997" u="1"/>
        <n v="274.93" u="1"/>
        <n v="195.43" u="1"/>
        <n v="811.19" u="1"/>
        <n v="676.27" u="1"/>
        <n v="421.86" u="1"/>
        <n v="539.73" u="1"/>
        <n v="4028.38" u="1"/>
        <n v="3279.97" u="1"/>
        <n v="5343.41" u="1"/>
        <n v="1811.16" u="1"/>
        <n v="728.04" u="1"/>
        <n v="2655.64" u="1"/>
        <n v="2419.08" u="1"/>
        <n v="2482.92" u="1"/>
        <n v="1082.3800000000001" u="1"/>
        <n v="643.16999999999996" u="1"/>
        <n v="395.48" u="1"/>
        <n v="622.72" u="1"/>
        <n v="1360.87" u="1"/>
        <n v="168.9" u="1"/>
        <n v="498.24990000000003" u="1"/>
        <n v="276.44" u="1"/>
        <n v="328.4" u="1"/>
        <n v="1514.5299" u="1"/>
        <n v="303.14" u="1"/>
        <n v="306" u="1"/>
        <n v="511.82" u="1"/>
        <n v="365.11" u="1"/>
        <n v="429.15" u="1"/>
        <n v="2139.56" u="1"/>
        <n v="223.53" u="1"/>
        <n v="211.38" u="1"/>
        <n v="142.47" u="1"/>
        <n v="4452.84" u="1"/>
        <n v="2852.4126000000001" u="1"/>
        <n v="2102.2356" u="1"/>
        <n v="481.73" u="1"/>
        <n v="1121.8053" u="1"/>
        <n v="642.12" u="1"/>
        <n v="496.2" u="1"/>
        <n v="603.36" u="1"/>
        <n v="161.04" u="1"/>
        <n v="375.36" u="1"/>
        <n v="2472.08" u="1"/>
        <n v="1970.7963999999999" u="1"/>
        <n v="414.39" u="1"/>
        <n v="273.38" u="1"/>
        <n v="784.66" u="1"/>
        <n v="608.96" u="1"/>
        <n v="1540" u="1"/>
        <n v="1702.96" u="1"/>
        <n v="1185" u="1"/>
        <n v="5590.41" u="1"/>
        <n v="325" u="1"/>
        <n v="305.68" u="1"/>
        <n v="2884.4202" u="1"/>
        <n v="788" u="1"/>
        <n v="528" u="1"/>
        <n v="1975.5917999999999" u="1"/>
        <n v="1660.62" u="1"/>
        <n v="502.7" u="1"/>
        <n v="408.56" u="1"/>
        <n v="2291.7600000000002" u="1"/>
        <n v="1424.9" u="1"/>
        <n v="14831.34" u="1"/>
        <n v="1117.0899999999999" u="1"/>
        <n v="263.45" u="1"/>
        <n v="92" u="1"/>
        <n v="288.39999999999998" u="1"/>
        <n v="810" u="1"/>
        <n v="1065.72" u="1"/>
        <n v="1078.4602" u="1"/>
        <n v="223328.17" u="1"/>
        <n v="8717.8080000000009" u="1"/>
        <n v="709.8" u="1"/>
        <n v="123.99" u="1"/>
        <n v="89.99" u="1"/>
        <n v="229.97" u="1"/>
        <n v="524.41999999999996" u="1"/>
        <n v="332.5" u="1"/>
        <n v="680.01" u="1"/>
        <n v="188.8" u="1"/>
        <n v="851.01" u="1"/>
        <n v="243" u="1"/>
        <n v="295" u="1"/>
        <n v="531" u="1"/>
        <n v="273" u="1"/>
        <n v="1560" u="1"/>
        <n v="625.32749999999999" u="1"/>
        <n v="464.82" u="1"/>
        <n v="429.8" u="1"/>
        <n v="1009.4" u="1"/>
        <n v="835.88" u="1"/>
        <n v="868.49" u="1"/>
        <n v="581.04" u="1"/>
        <n v="310.1934" u="1"/>
        <n v="366.21" u="1"/>
        <n v="298" u="1"/>
        <n v="970.41" u="1"/>
        <n v="485.21" u="1"/>
        <n v="2516" u="1"/>
        <n v="569" u="1"/>
        <n v="3720" u="1"/>
        <n v="4250" u="1"/>
        <n v="1151.08" u="1"/>
        <n v="630" u="1"/>
        <n v="282" u="1"/>
        <n v="167.48" u="1"/>
        <n v="853.08" u="1"/>
        <n v="583.20000000000005" u="1"/>
        <n v="1706.72" u="1"/>
        <n v="1639.76" u="1"/>
        <n v="870.78" u="1"/>
        <n v="403.2" u="1"/>
        <n v="434.7" u="1"/>
        <n v="228.8" u="1"/>
        <n v="977.22990000000004" u="1"/>
        <n v="426.92" u="1"/>
        <n v="236.9" u="1"/>
        <n v="384.11340000000001" u="1"/>
        <n v="1197.82" u="1"/>
        <n v="705.3" u="1"/>
        <n v="142.52000000000001" u="1"/>
        <n v="442.71" u="1"/>
        <n v="2370.3694" u="1"/>
        <n v="10584" u="1"/>
        <n v="121.09" u="1"/>
        <n v="1099.3599999999999" u="1"/>
        <n v="1418.93" u="1"/>
        <n v="2524.04" u="1"/>
        <n v="947.67" u="1"/>
        <n v="3229.04" u="1"/>
        <n v="2066.06" u="1"/>
        <n v="477.38" u="1"/>
        <n v="2013.58" u="1"/>
        <n v="6387.1817000000001" u="1"/>
        <n v="736.13" u="1"/>
        <n v="363.96" u="1"/>
        <n v="749.28" u="1"/>
        <n v="5400.42" u="1"/>
        <n v="999.5" u="1"/>
        <n v="2593.8000000000002" u="1"/>
        <n v="3050.78" u="1"/>
        <n v="1119.18" u="1"/>
        <n v="5689.9" u="1"/>
        <n v="1826.65" u="1"/>
        <n v="482.9" u="1"/>
        <n v="37943.39" u="1"/>
        <n v="1700" u="1"/>
        <n v="712" u="1"/>
        <n v="1297.58" u="1"/>
        <n v="1514.57" u="1"/>
        <n v="35694.879999999997" u="1"/>
        <n v="1493.91" u="1"/>
        <n v="1395.97" u="1"/>
        <n v="549.23" u="1"/>
        <n v="361.85" u="1"/>
        <n v="460.75" u="1"/>
        <n v="3309.04" u="1"/>
        <n v="4354" u="1"/>
        <n v="622.12" u="1"/>
        <n v="1123.54" u="1"/>
        <n v="687.44" u="1"/>
        <n v="714.98" u="1"/>
        <n v="1568.72" u="1"/>
        <n v="605.24" u="1"/>
        <n v="936.41650000000004" u="1"/>
        <n v="521" u="1"/>
        <n v="500.43" u="1"/>
        <n v="1040" u="1"/>
        <n v="91757.38" u="1"/>
        <n v="319.36" u="1"/>
        <n v="904.23" u="1"/>
        <n v="190.33" u="1"/>
        <n v="196.27" u="1"/>
        <n v="649.72799999999995" u="1"/>
        <n v="293.01339999999999" u="1"/>
        <n v="430.35" u="1"/>
        <n v="637.32000000000005" u="1"/>
        <n v="807.41" u="1"/>
        <n v="470.84010000000001" u="1"/>
        <n v="23.01" u="1"/>
        <n v="32.14" u="1"/>
        <n v="573.52" u="1"/>
        <n v="209.43" u="1"/>
        <n v="551.32000000000005" u="1"/>
        <n v="529.04" u="1"/>
        <n v="418.32990000000001" u="1"/>
        <n v="435.45" u="1"/>
        <n v="1318.8" u="1"/>
        <n v="482.01" u="1"/>
        <n v="643.1" u="1"/>
        <n v="1889.94" u="1"/>
        <n v="1219.1400000000001" u="1"/>
        <n v="255.76" u="1"/>
        <n v="398.91" u="1"/>
        <n v="578.95000000000005" u="1"/>
        <n v="832.94" u="1"/>
        <n v="628.36" u="1"/>
        <n v="285.99" u="1"/>
        <n v="274.8" u="1"/>
        <n v="561.35" u="1"/>
        <n v="394.1" u="1"/>
        <n v="151.46" u="1"/>
        <n v="1382.9" u="1"/>
        <n v="385.29" u="1"/>
        <n v="341.86" u="1"/>
        <n v="181.19" u="1"/>
        <n v="587.75" u="1"/>
        <n v="281.51" u="1"/>
        <n v="1443.95" u="1"/>
        <n v="838.35" u="1"/>
        <n v="509.43" u="1"/>
        <n v="682.39" u="1"/>
        <n v="186.59" u="1"/>
        <n v="28.18" u="1"/>
        <n v="386.89" u="1"/>
        <n v="682.79" u="1"/>
        <n v="221.73" u="1"/>
        <n v="744.96" u="1"/>
        <n v="747.25" u="1"/>
        <n v="1055.56" u="1"/>
        <n v="367.08" u="1"/>
        <n v="345.96" u="1"/>
        <n v="556.66" u="1"/>
        <n v="1880.4" u="1"/>
        <n v="1601.22" u="1"/>
        <n v="1671.84" u="1"/>
        <n v="2212.96" u="1"/>
        <n v="2159.9299999999998" u="1"/>
        <n v="2303.84" u="1"/>
        <n v="3865.64" u="1"/>
        <n v="2427.7199999999998" u="1"/>
        <n v="275.04000000000002" u="1"/>
        <n v="269.42" u="1"/>
        <n v="509.12" u="1"/>
        <n v="442.86" u="1"/>
        <n v="364.72" u="1"/>
        <n v="332.8" u="1"/>
        <n v="257.87" u="1"/>
        <n v="243.12" u="1"/>
        <n v="436.92" u="1"/>
        <n v="284.16000000000003" u="1"/>
        <n v="227.16" u="1"/>
        <n v="422.48" u="1"/>
        <n v="456.84" u="1"/>
        <n v="179.28" u="1"/>
        <n v="307.70999999999998" u="1"/>
        <n v="487.08" u="1"/>
        <n v="296.32" u="1"/>
        <n v="472.64" u="1"/>
        <n v="483.66" u="1"/>
        <n v="393.6" u="1"/>
        <n v="608.30999999999995" u="1"/>
        <n v="340.17" u="1"/>
        <n v="386.76" u="1"/>
        <n v="316.97000000000003" u="1"/>
        <n v="427.8" u="1"/>
        <n v="3106.74" u="1"/>
        <n v="2951.86" u="1"/>
        <n v="2658.5410999999999" u="1"/>
        <n v="81" u="1"/>
        <n v="754.31" u="1"/>
        <n v="380.4" u="1"/>
        <n v="922.65" u="1"/>
        <n v="483.64" u="1"/>
        <n v="255.8" u="1"/>
        <n v="285.52999999999997" u="1"/>
        <n v="569.82000000000005" u="1"/>
        <n v="459.12" u="1"/>
        <n v="546.52" u="1"/>
        <n v="796.88" u="1"/>
        <n v="1295.3699999999999" u="1"/>
        <n v="401.72" u="1"/>
        <n v="700.39" u="1"/>
        <n v="1916.26" u="1"/>
        <n v="491.1" u="1"/>
        <n v="218.04" u="1"/>
        <n v="190.16" u="1"/>
        <n v="480.44" u="1"/>
        <n v="200.82" u="1"/>
        <n v="432.46" u="1"/>
        <n v="579.70000000000005" u="1"/>
        <n v="241.82" u="1"/>
        <n v="407.68" u="1"/>
        <n v="833.26" u="1"/>
        <n v="779.25" u="1"/>
        <n v="327.18" u="1"/>
        <n v="373.35" u="1"/>
        <n v="335" u="1"/>
        <n v="300.39" u="1"/>
        <n v="693" u="1"/>
        <n v="272.48" u="1"/>
        <n v="272.22000000000003" u="1"/>
        <n v="134" u="1"/>
        <n v="546.03" u="1"/>
        <n v="1120.4938" u="1"/>
        <n v="15151.691999999999" u="1"/>
        <n v="625" u="1"/>
        <n v="3918.6" u="1"/>
        <n v="1804.53" u="1"/>
        <n v="2663.83" u="1"/>
        <n v="703.24" u="1"/>
        <n v="1190" u="1"/>
        <n v="853.28" u="1"/>
        <n v="1393.28" u="1"/>
        <n v="1736.38" u="1"/>
        <n v="747.88" u="1"/>
        <n v="231.78" u="1"/>
        <n v="455.07" u="1"/>
        <n v="749.12879999999996" u="1"/>
        <n v="220.67" u="1"/>
        <n v="399.86" u="1"/>
        <n v="464.2" u="1"/>
        <n v="245" u="1"/>
        <n v="336.74" u="1"/>
        <n v="2200" u="1"/>
        <n v="690" u="1"/>
        <n v="251" u="1"/>
        <n v="2915" u="1"/>
        <n v="282.10000000000002" u="1"/>
        <n v="825" u="1"/>
        <n v="629.97" u="1"/>
        <n v="425.85" u="1"/>
        <n v="673.9" u="1"/>
        <n v="850" u="1"/>
        <n v="445.17" u="1"/>
        <n v="1165.92" u="1"/>
        <n v="474.63" u="1"/>
        <n v="607.86" u="1"/>
        <n v="1165" u="1"/>
        <n v="536.85" u="1"/>
        <n v="517.82000000000005" u="1"/>
        <n v="1112.3" u="1"/>
        <n v="616.48" u="1"/>
        <n v="312.58999999999997" u="1"/>
        <n v="869.94" u="1"/>
        <n v="834.84" u="1"/>
        <n v="3062.4" u="1"/>
        <n v="2296.8000000000002" u="1"/>
        <n v="388.5" u="1"/>
        <n v="1901.97" u="1"/>
        <n v="329.19" u="1"/>
        <n v="1403.36" u="1"/>
        <n v="623.82000000000005" u="1"/>
        <n v="274.16000000000003" u="1"/>
        <n v="633.02250000000004" u="1"/>
        <n v="700.78" u="1"/>
        <n v="763.11" u="1"/>
        <n v="846.94" u="1"/>
        <n v="2002.98" u="1"/>
        <n v="230.26" u="1"/>
        <n v="207.53" u="1"/>
        <n v="206.5" u="1"/>
        <n v="605.02" u="1"/>
        <n v="359.08" u="1"/>
        <n v="4288.6688000000004" u="1"/>
        <n v="359.56" u="1"/>
        <n v="465.12990000000002" u="1"/>
        <n v="550.44000000000005" u="1"/>
        <n v="650.34" u="1"/>
        <n v="227.19" u="1"/>
        <n v="453.42" u="1"/>
        <n v="516.72" u="1"/>
        <n v="956.22659999999996" u="1"/>
        <n v="343.40249999999997" u="1"/>
        <n v="210.67" u="1"/>
        <n v="923.08" u="1"/>
        <n v="168.96" u="1"/>
        <n v="384.42" u="1"/>
        <n v="459.3" u="1"/>
        <n v="549.51" u="1"/>
        <n v="2710.49" u="1"/>
        <n v="536.45000000000005" u="1"/>
        <n v="352.46" u="1"/>
        <n v="639.95000000000005" u="1"/>
        <n v="227.34" u="1"/>
        <n v="650.94000000000005" u="1"/>
        <n v="485.2" u="1"/>
        <n v="594.12" u="1"/>
        <n v="414.12" u="1"/>
        <n v="366.68" u="1"/>
        <n v="156.07" u="1"/>
        <n v="611.64" u="1"/>
        <n v="378.7" u="1"/>
        <n v="339.8" u="1"/>
        <n v="306.01" u="1"/>
        <n v="944.36" u="1"/>
        <n v="445.52" u="1"/>
        <n v="314.02" u="1"/>
        <n v="173.48" u="1"/>
        <n v="1789.94" u="1"/>
        <n v="1119.1400000000001" u="1"/>
        <n v="3147.02" u="1"/>
        <n v="7198.36" u="1"/>
        <n v="17653.04" u="1"/>
        <n v="1579.96" u="1"/>
        <n v="22706.7" u="1"/>
        <n v="24973.439999999999" u="1"/>
        <n v="7401.62" u="1"/>
        <n v="1035" u="1"/>
        <n v="2757.7" u="1"/>
        <n v="2031.73" u="1"/>
        <n v="2755.34" u="1"/>
        <n v="1274.3599999999999" u="1"/>
        <n v="1830.4" u="1"/>
        <n v="2203.84" u="1"/>
        <n v="3765.64" u="1"/>
        <n v="2327.7199999999998" u="1"/>
        <n v="2016.1" u="1"/>
        <n v="1253.3433" u="1"/>
        <n v="38349.660000000003" u="1"/>
        <n v="6800.07" u="1"/>
        <n v="12545.06" u="1"/>
        <n v="1672.35" u="1"/>
        <n v="1888.11" u="1"/>
        <n v="14756.21" u="1"/>
        <n v="3997.95" u="1"/>
        <n v="4549.51" u="1"/>
        <n v="19783.38" u="1"/>
        <n v="411" u="1"/>
        <n v="1029" u="1"/>
        <n v="748" u="1"/>
        <n v="1116" u="1"/>
        <n v="2897.28" u="1"/>
        <n v="225" u="1"/>
        <n v="20498.97" u="1"/>
        <n v="5314.87" u="1"/>
        <n v="156" u="1"/>
        <n v="419" u="1"/>
        <n v="155" u="1"/>
        <n v="3540" u="1"/>
        <n v="2396.8000000000002" u="1"/>
        <n v="1753.2" u="1"/>
        <n v="1998.5" u="1"/>
        <n v="408" u="1"/>
        <n v="403" u="1"/>
        <n v="303" u="1"/>
        <n v="1240" u="1"/>
        <n v="837" u="1"/>
        <n v="4042.8359999999998" u="1"/>
        <n v="2205" u="1"/>
        <n v="490" u="1"/>
        <n v="198" u="1"/>
        <n v="344" u="1"/>
        <n v="634.20000000000005" u="1"/>
        <n v="317.73" u="1"/>
        <n v="43.81" u="1"/>
        <n v="1080" u="1"/>
        <n v="561.20000000000005" u="1"/>
        <n v="225.98" u="1"/>
        <n v="1696.4657999999999" u="1"/>
        <n v="3392.73" u="1"/>
        <n v="1496.79" u="1"/>
        <n v="1791.68" u="1"/>
        <n v="3371.212" u="1"/>
        <n v="1408.5" u="1"/>
        <n v="616.79999999999995" u="1"/>
        <n v="966.9" u="1"/>
        <n v="5050.6400000000003" u="1"/>
        <n v="7140.56" u="1"/>
        <n v="6269.76" u="1"/>
        <n v="4092.76" u="1"/>
        <n v="6531" u="1"/>
        <n v="7314.72" u="1"/>
        <n v="4963.5600000000004" u="1"/>
        <n v="5573.12" u="1"/>
        <n v="1273.2" u="1"/>
        <n v="5660.2" u="1"/>
        <n v="7053.48" u="1"/>
        <n v="423.44400000000002" u="1"/>
        <n v="437.82" u="1"/>
        <n v="802.4" u="1"/>
        <n v="1036.1759999999999" u="1"/>
        <n v="1668" u="1"/>
        <n v="3023.65" u="1"/>
        <n v="14460.96" u="1"/>
        <n v="191" u="1"/>
        <n v="1111" u="1"/>
        <n v="1138" u="1"/>
        <n v="533" u="1"/>
        <n v="951.99" u="1"/>
        <n v="800.01" u="1"/>
        <n v="705.99" u="1"/>
        <n v="446" u="1"/>
        <n v="523" u="1"/>
        <n v="564" u="1"/>
        <n v="861" u="1"/>
        <n v="855" u="1"/>
        <n v="544" u="1"/>
        <n v="888.99" u="1"/>
        <n v="557" u="1"/>
        <n v="296" u="1"/>
        <n v="774.15" u="1"/>
        <n v="2346.4" u="1"/>
        <n v="301.08" u="1"/>
        <n v="286.62" u="1"/>
        <n v="1249.0296000000001" u="1"/>
        <n v="540.89" u="1"/>
        <n v="154.32" u="1"/>
        <n v="202.345" u="1"/>
        <n v="942" u="1"/>
        <n v="713.4" u="1"/>
        <n v="439.8" u="1"/>
        <n v="499.48" u="1"/>
        <n v="1758.75" u="1"/>
        <n v="366.22500000000002" u="1"/>
        <n v="181.16" u="1"/>
        <n v="349.15" u="1"/>
        <n v="734.6" u="1"/>
        <n v="369.47340000000003" u="1"/>
        <n v="735.56" u="1"/>
        <n v="205" u="1"/>
        <n v="3419.7" u="1"/>
        <n v="1284" u="1"/>
        <n v="1587.04" u="1"/>
        <n v="204.75" u="1"/>
        <n v="546" u="1"/>
        <n v="316.22000000000003" u="1"/>
        <n v="342.16" u="1"/>
        <n v="345.84" u="1"/>
        <n v="659.40800000000002" u="1"/>
        <n v="279.5" u="1"/>
        <n v="589.34010000000001" u="1"/>
        <n v="370.8066" u="1"/>
        <n v="4244.9903999999997" u="1"/>
        <n v="590.36" u="1"/>
        <n v="3525.6102000000001" u="1"/>
        <n v="827.99" u="1"/>
        <n v="482.33010000000002" u="1"/>
        <n v="738.9" u="1"/>
        <n v="1472.4" u="1"/>
        <n v="2812.32" u="1"/>
        <n v="688.95" u="1"/>
        <n v="297.42" u="1"/>
        <n v="1938" u="1"/>
        <n v="732.69" u="1"/>
        <n v="1087.32" u="1"/>
        <n v="290.3" u="1"/>
        <n v="139.52000000000001" u="1"/>
        <n v="427.12" u="1"/>
        <n v="533.70000000000005" u="1"/>
        <n v="475.32" u="1"/>
        <n v="130" u="1"/>
        <n v="1006.7" u="1"/>
        <n v="694.56" u="1"/>
        <n v="1612.33" u="1"/>
        <n v="498.02" u="1"/>
        <n v="277.18" u="1"/>
        <n v="2155.9699999999998" u="1"/>
        <n v="305.82" u="1"/>
        <n v="432.2" u="1"/>
        <n v="413.13" u="1"/>
        <n v="241.95" u="1"/>
        <n v="614.24" u="1"/>
        <n v="245.76" u="1"/>
        <n v="210.72" u="1"/>
        <n v="231.56" u="1"/>
        <n v="6595.1" u="1"/>
        <n v="3951.18" u="1"/>
        <n v="1018.44" u="1"/>
        <n v="1120.26" u="1"/>
        <n v="21325.54" u="1"/>
        <n v="1143.55" u="1"/>
        <n v="1983.4" u="1"/>
        <n v="204.36" u="1"/>
        <n v="144.32" u="1"/>
        <n v="414.88" u="1"/>
        <n v="602.82000000000005" u="1"/>
        <n v="280.36" u="1"/>
        <n v="757.64" u="1"/>
        <n v="347.24" u="1"/>
        <n v="460.48" u="1"/>
        <n v="2418.71" u="1"/>
        <n v="1803.78" u="1"/>
        <n v="3356.41" u="1"/>
        <n v="2101" u="1"/>
        <n v="307.62" u="1"/>
        <n v="13323.44" u="1"/>
        <n v="3034.68" u="1"/>
        <n v="40.5" u="1"/>
        <n v="2833.32" u="1"/>
        <n v="877.27" u="1"/>
        <n v="307.5" u="1"/>
        <n v="529.52" u="1"/>
        <n v="381.14" u="1"/>
        <n v="453.05" u="1"/>
        <n v="1554" u="1"/>
        <n v="966" u="1"/>
        <n v="204" u="1"/>
        <n v="1796" u="1"/>
        <n v="1775.71" u="1"/>
        <n v="1782.17" u="1"/>
        <n v="711.24" u="1"/>
        <n v="488.04" u="1"/>
        <n v="1039.3502000000001" u="1"/>
        <n v="1625.009" u="1"/>
        <n v="1643.155" u="1"/>
        <n v="4848.3360000000002" u="1"/>
        <n v="795.2" u="1"/>
        <n v="739.5" u="1"/>
        <n v="492.78" u="1"/>
        <n v="859.94" u="1"/>
        <n v="470.46660000000003" u="1"/>
        <n v="914.52" u="1"/>
        <n v="6879.32" u="1"/>
        <n v="6528.75" u="1"/>
        <n v="2438.2399999999998" u="1"/>
        <n v="14469.6" u="1"/>
        <n v="4005.68" u="1"/>
        <n v="5107" u="1"/>
        <n v="5209.1400000000003" u="1"/>
        <n v="4340.88" u="1"/>
        <n v="193.38" u="1"/>
        <n v="4266.92" u="1"/>
        <n v="40223.040000000001" u="1"/>
        <n v="6413.28" u="1"/>
        <n v="5834.36" u="1"/>
        <n v="4615.24" u="1"/>
        <n v="8011.36" u="1"/>
        <n v="2859.92" u="1"/>
        <n v="463.32" u="1"/>
        <n v="6934.64" u="1"/>
        <n v="2610.3000000000002" u="1"/>
        <n v="3080.1" u="1"/>
        <n v="1219.47" u="1"/>
        <n v="777.12990000000002" u="1"/>
        <n v="256.35000000000002" u="1"/>
        <n v="499.8399" u="1"/>
        <n v="357.9" u="1"/>
        <n v="3120" u="1"/>
        <n v="344.25" u="1"/>
        <n v="451.95" u="1"/>
        <n v="259.66000000000003" u="1"/>
        <n v="161.02000000000001" u="1"/>
        <n v="665.07" u="1"/>
        <n v="368.91" u="1"/>
        <n v="560.63" u="1"/>
        <n v="355.86" u="1"/>
        <n v="1653.9143999999999" u="1"/>
        <n v="584.10400000000004" u="1"/>
        <n v="1056.3599999999999" u="1"/>
        <n v="213.94" u="1"/>
        <n v="117.02" u="1"/>
        <n v="275.36" u="1"/>
        <n v="1185.8399999999999" u="1"/>
        <n v="762.65" u="1"/>
        <n v="218.88" u="1"/>
        <n v="309.95999999999998" u="1"/>
        <n v="941.4" u="1"/>
        <n v="700.88" u="1"/>
        <n v="210.24" u="1"/>
        <n v="874.35" u="1"/>
        <n v="857.3" u="1"/>
        <n v="903.45" u="1"/>
        <n v="874.85" u="1"/>
        <n v="344.04" u="1"/>
        <n v="148.80000000000001" u="1"/>
        <n v="301.44" u="1"/>
        <n v="424.68" u="1"/>
        <n v="882.56" u="1"/>
        <n v="512.98400000000004" u="1"/>
        <n v="783.65599999999995" u="1"/>
        <n v="352.71339999999998" u="1"/>
        <n v="274.58" u="1"/>
        <n v="337.77" u="1"/>
        <n v="376.85" u="1"/>
        <n v="549.52" u="1"/>
        <n v="305.2466" u="1"/>
        <n v="322.76249999999999" u="1"/>
        <n v="285.8" u="1"/>
        <n v="463.98" u="1"/>
        <n v="743.40499999999997" u="1"/>
        <n v="407.16" u="1"/>
        <n v="194.51499999999999" u="1"/>
        <n v="1188.32" u="1"/>
        <n v="343.34660000000002" u="1"/>
        <n v="536.98" u="1"/>
        <n v="136.04" u="1"/>
        <n v="569.94000000000005" u="1"/>
        <n v="488.46" u="1"/>
        <n v="618.08000000000004" u="1"/>
        <n v="179.82" u="1"/>
        <n v="3247.58" u="1"/>
        <n v="321.73" u="1"/>
        <n v="512.90009999999995" u="1"/>
        <n v="814.52" u="1"/>
        <n v="1124.56" u="1"/>
        <n v="1089.28" u="1"/>
        <n v="62.14" u="1"/>
        <n v="398.71" u="1"/>
        <n v="665.93" u="1"/>
        <n v="317.22000000000003" u="1"/>
        <n v="1610.01" u="1"/>
        <n v="23343.56" u="1"/>
        <n v="14110.7" u="1"/>
        <n v="1173.28" u="1"/>
        <n v="1925.85" u="1"/>
        <n v="991.7" u="1"/>
        <n v="2564.84" u="1"/>
        <n v="1407.42" u="1"/>
        <n v="1157.9100000000001" u="1"/>
        <n v="2510.3000000000002" u="1"/>
        <n v="1035.8900000000001" u="1"/>
        <n v="514.79999999999995" u="1"/>
        <n v="415.13" u="1"/>
        <n v="978.09" u="1"/>
        <n v="978.11" u="1"/>
        <n v="4598.07" u="1"/>
        <n v="540.83000000000004" u="1"/>
        <n v="6349.5" u="1"/>
        <n v="257.82" u="1"/>
        <n v="1658.49" u="1"/>
        <n v="342.05" u="1"/>
        <n v="1413.51" u="1"/>
        <n v="716.23" u="1"/>
        <n v="519" u="1"/>
        <n v="550.16" u="1"/>
        <n v="593.6" u="1"/>
        <n v="487.93" u="1"/>
        <n v="120.03" u="1"/>
        <n v="461.29" u="1"/>
        <n v="719.66" u="1"/>
        <n v="425.14" u="1"/>
        <n v="996.04" u="1"/>
        <n v="2422.33" u="1"/>
        <n v="515.12" u="1"/>
        <n v="190.68" u="1"/>
        <n v="215.72" u="1"/>
        <n v="2791.86" u="1"/>
        <n v="1215.3302000000001" u="1"/>
        <n v="636.18730000000005" u="1"/>
        <n v="1182.26" u="1"/>
        <n v="180.96" u="1"/>
        <n v="687.21600000000001" u="1"/>
        <n v="847" u="1"/>
        <n v="423.5" u="1"/>
        <n v="706.23990000000003" u="1"/>
        <n v="567.87" u="1"/>
        <n v="442.17" u="1"/>
        <n v="1893.6297" u="1"/>
        <n v="2574.9" u="1"/>
        <n v="4441.08" u="1"/>
        <n v="4330.4799999999996" u="1"/>
        <n v="5004.8599999999997" u="1"/>
        <n v="4902.72" u="1"/>
        <n v="2707.31" u="1"/>
        <n v="945.23" u="1"/>
        <n v="3511.2" u="1"/>
        <n v="6016.23" u="1"/>
        <n v="1655.52" u="1"/>
        <n v="4552.68" u="1"/>
        <n v="12790.19" u="1"/>
        <n v="4863.09" u="1"/>
        <n v="4789.3999999999996" u="1"/>
        <n v="3396.12" u="1"/>
        <n v="4283.16" u="1"/>
        <n v="6104.73" u="1"/>
        <n v="6730.68" u="1"/>
        <n v="1552.05" u="1"/>
        <n v="3000.63" u="1"/>
        <n v="4079.2" u="1"/>
        <n v="3263.36" u="1"/>
        <n v="5099" u="1"/>
        <n v="2855.44" u="1"/>
        <n v="431.13" u="1"/>
        <n v="1491.75" u="1"/>
        <n v="2753.46" u="1"/>
        <n v="1019.8" u="1"/>
        <n v="1733.66" u="1"/>
        <n v="2483.2800000000002" u="1"/>
        <n v="2447.52" u="1"/>
        <n v="101.98" u="1"/>
        <n v="2574.88" u="1"/>
        <n v="4345.74" u="1"/>
        <n v="4449.21" u="1"/>
        <n v="1121.78" u="1"/>
        <n v="4589.1000000000004" u="1"/>
        <n v="3745.28" u="1"/>
        <n v="4915.68" u="1"/>
        <n v="3875.24" u="1"/>
        <n v="3043.04" u="1"/>
        <n v="3059.4" u="1"/>
        <n v="3161.38" u="1"/>
        <n v="2963.25" u="1"/>
        <n v="3828.39" u="1"/>
        <n v="3931.86" u="1"/>
        <n v="3365.34" u="1"/>
        <n v="3414.51" u="1"/>
        <n v="3517.98" u="1"/>
        <n v="1323.73" u="1"/>
        <n v="227.72" u="1"/>
        <n v="870" u="1"/>
        <n v="550.16999999999996" u="1"/>
        <n v="1081.83" u="1"/>
        <n v="1589.655" u="1"/>
        <n v="558.36" u="1"/>
        <n v="528.11" u="1"/>
        <n v="414.4101" u="1"/>
        <n v="577.73" u="1"/>
        <n v="6612.81" u="1"/>
        <n v="454.89" u="1"/>
        <n v="188" u="1"/>
        <n v="222" u="1"/>
        <n v="195" u="1"/>
        <n v="206.1" u="1"/>
        <n v="401.94" u="1"/>
        <n v="1754.3196" u="1"/>
        <n v="329.71" u="1"/>
        <n v="897.61" u="1"/>
        <n v="825.24800000000005" u="1"/>
        <n v="1554.27" u="1"/>
        <n v="122.36" u="1"/>
        <n v="359.86" u="1"/>
        <n v="2601.54" u="1"/>
        <n v="29554.27" u="1"/>
        <n v="20766.240000000002" u="1"/>
        <n v="751.56" u="1"/>
        <n v="213.75" u="1"/>
        <n v="4320" u="1"/>
        <n v="413" u="1"/>
        <n v="226.32" u="1"/>
        <n v="281.64" u="1"/>
        <n v="295.42660000000001" u="1"/>
        <n v="173.09" u="1"/>
        <n v="275.1866" u="1"/>
        <n v="431.25" u="1"/>
        <n v="323.95999999999998" u="1"/>
        <n v="1713.96" u="1"/>
        <n v="383.32" u="1"/>
        <n v="749.18" u="1"/>
        <n v="226.25" u="1"/>
        <n v="459.27339999999998" u="1"/>
        <n v="563.04" u="1"/>
        <n v="493.62" u="1"/>
        <n v="339.32" u="1"/>
        <n v="882.87199999999996" u="1"/>
        <n v="454.63339999999999" u="1"/>
        <n v="317.47340000000003" u="1"/>
        <n v="1315.7397000000001" u="1"/>
        <n v="1557.8" u="1"/>
        <n v="694.94" u="1"/>
        <n v="303.05" u="1"/>
        <n v="704" u="1"/>
        <n v="476" u="1"/>
        <n v="1032.06" u="1"/>
        <n v="3344.2559999999999" u="1"/>
        <n v="20171.97" u="1"/>
        <n v="3996.9497999999999" u="1"/>
        <n v="380.67" u="1"/>
        <n v="507.29340000000002" u="1"/>
        <n v="707.8" u="1"/>
        <n v="225.38" u="1"/>
        <n v="553.41" u="1"/>
        <n v="972.32500000000005" u="1"/>
        <n v="1128.46" u="1"/>
        <n v="829.38400000000001" u="1"/>
        <n v="860.7" u="1"/>
        <n v="286.89999999999998" u="1"/>
        <n v="723.87990000000002" u="1"/>
        <n v="1551.87" u="1"/>
        <n v="567.9375" u="1"/>
        <n v="592.03" u="1"/>
        <n v="1437.7" u="1"/>
        <n v="780.2" u="1"/>
        <n v="989.04" u="1"/>
        <n v="2875.56" u="1"/>
        <n v="1341.84" u="1"/>
        <n v="530" u="1"/>
        <n v="720.9" u="1"/>
        <n v="1087.4000000000001" u="1"/>
        <n v="2359.21" u="1"/>
        <n v="551.79999999999995" u="1"/>
        <n v="691.74" u="1"/>
        <n v="1389.2" u="1"/>
        <n v="2458.37" u="1"/>
        <n v="1530" u="1"/>
        <n v="1271.8800000000001" u="1"/>
        <n v="3706.39" u="1"/>
        <n v="274" u="1"/>
        <n v="1502.47" u="1"/>
        <n v="6202.35" u="1"/>
        <n v="665.74" u="1"/>
        <n v="1148.3900000000001" u="1"/>
        <n v="1566" u="1"/>
        <n v="2071.835" u="1"/>
        <n v="3486.06" u="1"/>
        <n v="3397.52" u="1"/>
        <n v="897" u="1"/>
        <n v="297.08" u="1"/>
        <n v="901.98" u="1"/>
        <n v="185.59" u="1"/>
        <n v="1142.96" u="1"/>
        <n v="1220.4000000000001" u="1"/>
        <n v="772" u="1"/>
        <n v="664.11" u="1"/>
        <n v="953.3" u="1"/>
        <n v="1286.56" u="1"/>
        <n v="9159.81" u="1"/>
        <n v="4070.08" u="1"/>
        <n v="3140.33" u="1"/>
        <n v="143.69999999999999" u="1"/>
        <n v="27847.19" u="1"/>
        <n v="20592" u="1"/>
        <n v="638" u="1"/>
        <n v="567.6" u="1"/>
        <n v="449" u="1"/>
        <n v="513.39" u="1"/>
        <n v="5689.26" u="1"/>
        <n v="2594.1999999999998" u="1"/>
        <n v="5405.41" u="1"/>
        <n v="2183.15" u="1"/>
        <n v="7168.17" u="1"/>
        <n v="1921.32" u="1"/>
        <n v="1683.72" u="1"/>
        <n v="4487.0200000000004" u="1"/>
        <n v="1020.12" u="1"/>
        <n v="801.15" u="1"/>
        <n v="1188.6099999999999" u="1"/>
        <n v="3305.7" u="1"/>
        <n v="478.4" u="1"/>
        <n v="239.2" u="1"/>
        <n v="12166.05" u="1"/>
        <n v="105" u="1"/>
        <n v="719.01" u="1"/>
        <n v="462" u="1"/>
        <n v="157" u="1"/>
        <n v="849.99" u="1"/>
        <n v="1084" u="1"/>
        <n v="997" u="1"/>
        <n v="672.99" u="1"/>
        <n v="974.01" u="1"/>
        <n v="421.8" u="1"/>
        <n v="7568.48" u="1"/>
        <n v="1278.2639999999999" u="1"/>
        <n v="2559.42" u="1"/>
        <n v="639.13199999999995" u="1"/>
        <n v="986.64200000000005" u="1"/>
        <n v="771.3" u="1"/>
        <n v="2208.4868000000001" u="1"/>
        <n v="2507.8200000000002" u="1"/>
        <n v="603.19039999999995" u="1"/>
        <n v="2283.0120000000002" u="1"/>
        <n v="196.25" u="1"/>
        <n v="214.99" u="1"/>
        <n v="2313.36" u="1"/>
        <n v="556.5" u="1"/>
        <n v="3631.1660000000002" u="1"/>
        <n v="1664.4" u="1"/>
        <n v="523.08000000000004" u="1"/>
        <n v="1156" u="1"/>
        <n v="655.03" u="1"/>
        <n v="1119.96" u="1"/>
        <n v="884.2" u="1"/>
        <n v="4585.7920000000004" u="1"/>
        <n v="472.5" u="1"/>
        <n v="2503.36" u="1"/>
        <n v="3044" u="1"/>
        <n v="1283.22" u="1"/>
        <n v="803.44" u="1"/>
        <n v="1290.6600000000001" u="1"/>
        <n v="415" u="1"/>
        <n v="782.84" u="1"/>
        <n v="2301.4499999999998" u="1"/>
        <n v="14837.35" u="1"/>
        <n v="1167.03" u="1"/>
        <n v="149.46" u="1"/>
        <n v="5720" u="1"/>
        <n v="445.75" u="1"/>
        <n v="1170.75" u="1"/>
        <n v="376" u="1"/>
        <n v="1175.5" u="1"/>
        <n v="1168.02" u="1"/>
        <n v="359.81" u="1"/>
        <n v="347" u="1"/>
        <n v="945" u="1"/>
        <n v="535.5" u="1"/>
        <n v="1020" u="1"/>
        <n v="556.08659999999998" u="1"/>
        <n v="274.05" u="1"/>
        <n v="154" u="1"/>
        <n v="162.11000000000001" u="1"/>
        <n v="335.39" u="1"/>
        <n v="179.3" u="1"/>
        <n v="6340.39" u="1"/>
        <n v="1002.34" u="1"/>
        <n v="775.7" u="1"/>
        <n v="697.6" u="1"/>
        <n v="515.45000000000005" u="1"/>
        <n v="961.02" u="1"/>
        <n v="1002.3501" u="1"/>
        <n v="1909.54" u="1"/>
        <n v="398" u="1"/>
        <n v="1701.38" u="1"/>
        <n v="553.02" u="1"/>
        <n v="1189.1500000000001" u="1"/>
        <n v="1786.42" u="1"/>
        <n v="857.22" u="1"/>
        <n v="178.36" u="1"/>
        <n v="516.23" u="1"/>
        <n v="1200.1199999999999" u="1"/>
        <n v="2601.1799999999998" u="1"/>
        <n v="874.17" u="1"/>
        <n v="229.9" u="1"/>
        <n v="643.67999999999995" u="1"/>
        <n v="810.9" u="1"/>
        <n v="1385.82" u="1"/>
        <n v="502.11" u="1"/>
        <n v="258" u="1"/>
        <n v="6947.91" u="1"/>
        <n v="794.31" u="1"/>
        <n v="305.44" u="1"/>
        <n v="513.23" u="1"/>
        <n v="717.11" u="1"/>
        <n v="984.77" u="1"/>
        <n v="345.72" u="1"/>
        <n v="283.39999999999998" u="1"/>
        <n v="1071.52" u="1"/>
        <n v="653.63" u="1"/>
        <n v="2301.4899999999998" u="1"/>
        <n v="699.8" u="1"/>
        <n v="825.28" u="1"/>
        <n v="430.83" u="1"/>
        <n v="1142.8800000000001" u="1"/>
        <n v="94" u="1"/>
        <n v="281.31" u="1"/>
        <n v="158.97" u="1"/>
        <n v="186.12" u="1"/>
        <n v="369" u="1"/>
        <n v="4151.71" u="1"/>
        <n v="597.55999999999995" u="1"/>
        <n v="45.85" u="1"/>
        <n v="367.45339999999999" u="1"/>
        <n v="489.28" u="1"/>
        <n v="493.93" u="1"/>
        <n v="807.4085" u="1"/>
        <n v="547.14" u="1"/>
        <n v="1075.32" u="1"/>
        <n v="790.02" u="1"/>
        <n v="834.28420000000006" u="1"/>
        <n v="309" u="1"/>
        <n v="1775" u="1"/>
        <n v="1025.6302000000001" u="1"/>
        <n v="2332.5500000000002" u="1"/>
        <n v="236.7" u="1"/>
        <n v="541.32000000000005" u="1"/>
        <n v="2378.64" u="1"/>
        <n v="1625.7801999999999" u="1"/>
        <n v="252.37" u="1"/>
        <n v="177.2" u="1"/>
        <n v="1302.7398000000001" u="1"/>
        <n v="1327.48" u="1"/>
        <n v="1180.23" u="1"/>
        <n v="542.79999999999995" u="1"/>
        <n v="1136.8" u="1"/>
        <n v="727.12" u="1"/>
        <n v="2339.7199999999998" u="1"/>
        <n v="404.56" u="1"/>
        <n v="2175.6799999999998" u="1"/>
        <n v="620.48" u="1"/>
        <n v="993.74" u="1"/>
        <n v="809.4" u="1"/>
        <n v="304.8" u="1"/>
        <n v="1463.68" u="1"/>
        <n v="1284.58" u="1"/>
        <n v="79.92" u="1"/>
        <n v="3893.12" u="1"/>
        <n v="991.28" u="1"/>
        <n v="1582.15" u="1"/>
        <n v="902.64" u="1"/>
        <n v="2462.44" u="1"/>
        <n v="489.25" u="1"/>
        <n v="1499.0940000000001" u="1"/>
        <n v="6869.87" u="1"/>
        <n v="913.15" u="1"/>
        <n v="814.19" u="1"/>
        <n v="2344.1999999999998" u="1"/>
        <n v="3824.52" u="1"/>
        <n v="474.48989999999998" u="1"/>
        <n v="395.4" u="1"/>
        <n v="7604.835" u="1"/>
        <n v="200.57499999999999" u="1"/>
        <n v="560.14400000000001" u="1"/>
        <n v="209.29" u="1"/>
        <n v="472.98" u="1"/>
        <n v="795.11" u="1"/>
        <n v="457.86750000000001" u="1"/>
        <n v="1180" u="1"/>
        <n v="819.38" u="1"/>
        <n v="528.84" u="1"/>
        <n v="913.85159999999996" u="1"/>
        <n v="717.25" u="1"/>
        <n v="353.9" u="1"/>
        <n v="475.01" u="1"/>
        <n v="552.51" u="1"/>
        <n v="663.49" u="1"/>
        <n v="916.81029999999998" u="1"/>
        <n v="422.02" u="1"/>
        <n v="222.63499999999999" u="1"/>
        <n v="287.86" u="1"/>
        <n v="1280.76" u="1"/>
        <n v="1123.6500000000001" u="1"/>
        <n v="467.04" u="1"/>
        <n v="93.71" u="1"/>
        <n v="825.31" u="1"/>
        <n v="1327.61" u="1"/>
        <n v="328.67340000000002" u="1"/>
        <n v="302.27999999999997" u="1"/>
        <n v="686.22" u="1"/>
        <n v="903.98" u="1"/>
        <n v="873.94" u="1"/>
        <n v="1196.74" u="1"/>
        <n v="479.7" u="1"/>
        <n v="341.92" u="1"/>
        <n v="1147.46" u="1"/>
        <n v="118.71" u="1"/>
        <n v="452.44" u="1"/>
        <n v="277.32" u="1"/>
        <n v="396.5" u="1"/>
        <n v="424.76" u="1"/>
        <n v="558.26" u="1"/>
        <n v="1169.3800000000001" u="1"/>
        <n v="1092.29" u="1"/>
        <n v="652.05999999999995" u="1"/>
        <n v="670.9" u="1"/>
        <n v="674.22" u="1"/>
        <n v="2280" u="1"/>
        <n v="1476" u="1"/>
        <n v="1679.24" u="1"/>
        <n v="411.48" u="1"/>
        <n v="1741" u="1"/>
        <n v="459.45" u="1"/>
        <n v="3627" u="1"/>
        <n v="1791" u="1"/>
        <n v="1911" u="1"/>
        <n v="490.28" u="1"/>
        <n v="416.5" u="1"/>
        <n v="302.61" u="1"/>
        <n v="4139.8307999999997" u="1"/>
        <n v="597.56659999999999" u="1"/>
        <n v="1194" u="1"/>
        <n v="202.38" u="1"/>
        <n v="188.96" u="1"/>
        <n v="817.82" u="1"/>
        <n v="472.72" u="1"/>
        <n v="218.1" u="1"/>
        <n v="2753.73" u="1"/>
        <n v="555.79" u="1"/>
        <n v="583.78" u="1"/>
        <n v="187.03" u="1"/>
        <n v="726" u="1"/>
        <n v="677.06" u="1"/>
        <n v="398.66" u="1"/>
        <n v="1528.89" u="1"/>
        <n v="143.88" u="1"/>
        <n v="1328.91" u="1"/>
        <n v="696.86" u="1"/>
        <n v="8098.44" u="1"/>
        <n v="4702.32" u="1"/>
        <n v="6366" u="1"/>
        <n v="2494.59" u="1"/>
        <n v="6620.64" u="1"/>
        <n v="5921.44" u="1"/>
        <n v="648.29999999999995" u="1"/>
        <n v="800" u="1"/>
        <n v="1186.8399999999999" u="1"/>
        <n v="3555.66" u="1"/>
        <n v="3007.55" u="1"/>
        <n v="5224.8" u="1"/>
        <n v="3744.44" u="1"/>
        <n v="2606.17" u="1"/>
        <n v="318.7534" u="1"/>
        <n v="803.26400000000001" u="1"/>
        <n v="702.49599999999998" u="1"/>
        <n v="566.48" u="1"/>
        <n v="820.2" u="1"/>
        <n v="431.68" u="1"/>
        <n v="516" u="1"/>
        <n v="980" u="1"/>
        <n v="1365.28" u="1"/>
        <n v="2305.85" u="1"/>
        <n v="1815.4" u="1"/>
        <n v="1145.8800000000001" u="1"/>
        <n v="9926.49" u="1"/>
        <n v="2530.5509999999999" u="1"/>
        <n v="201.75" u="1"/>
        <n v="393.86" u="1"/>
        <n v="317.24" u="1"/>
        <n v="1157.6400000000001" u="1"/>
        <n v="3579.81" u="1"/>
        <n v="1501.5" u="1"/>
        <n v="905.45600000000002" u="1"/>
        <n v="574.58000000000004" u="1"/>
        <n v="1002.57" u="1"/>
        <n v="7082.53" u="1"/>
        <n v="428.46" u="1"/>
        <n v="707.08" u="1"/>
        <n v="340.84" u="1"/>
        <n v="1904.9304999999999" u="1"/>
        <n v="567.9" u="1"/>
        <n v="326.99340000000001" u="1"/>
        <n v="233.15" u="1"/>
        <n v="1135.1799000000001" u="1"/>
        <n v="946.05" u="1"/>
        <n v="1724.84" u="1"/>
        <n v="136.13" u="1"/>
        <n v="853.01" u="1"/>
        <n v="315.04000000000002" u="1"/>
        <n v="517" u="1"/>
        <n v="878" u="1"/>
        <n v="712.5" u="1"/>
        <n v="538" u="1"/>
        <n v="214.77" u="1"/>
        <n v="870.96" u="1"/>
        <n v="379.8" u="1"/>
        <n v="5077" u="1"/>
        <n v="449.34" u="1"/>
        <n v="321.55340000000001" u="1"/>
        <n v="715.28" u="1"/>
        <n v="183.54" u="1"/>
        <n v="891.38" u="1"/>
        <n v="2745.27" u="1"/>
        <n v="827.72" u="1"/>
        <n v="823.65" u="1"/>
        <n v="192.60499999999999" u="1"/>
        <n v="1043.8" u="1"/>
        <n v="566.35500000000002" u="1"/>
        <n v="666.6" u="1"/>
        <n v="620.12" u="1"/>
        <n v="196.9" u="1"/>
        <n v="656.66" u="1"/>
        <n v="773.61" u="1"/>
        <n v="329.86" u="1"/>
        <n v="3721.0291999999999" u="1"/>
        <n v="2131.92" u="1"/>
        <n v="1150.51" u="1"/>
        <n v="285.38659999999999" u="1"/>
        <n v="335.34" u="1"/>
        <n v="184.36" u="1"/>
        <n v="767.68" u="1"/>
        <n v="227.20500000000001" u="1"/>
        <n v="582.30999999999995" u="1"/>
        <n v="390.17" u="1"/>
        <n v="772.8" u="1"/>
        <n v="374.28750000000002" u="1"/>
        <n v="1172.72" u="1"/>
        <n v="2883.7592" u="1"/>
        <n v="483.18" u="1"/>
        <n v="246.58" u="1"/>
        <n v="703.45500000000004" u="1"/>
        <n v="584.22" u="1"/>
        <n v="829.31010000000003" u="1"/>
        <n v="461.59500000000003" u="1"/>
        <n v="720.78" u="1"/>
        <n v="394.58" u="1"/>
        <n v="791.05849999999998" u="1"/>
        <n v="747.5" u="1"/>
        <n v="589.32989999999995" u="1"/>
        <n v="439.52249999999998" u="1"/>
        <n v="407.7466" u="1"/>
        <n v="565.64800000000002" u="1"/>
        <n v="457.86989999999997" u="1"/>
        <n v="511.0575" u="1"/>
        <n v="391.05" u="1"/>
        <n v="998.98" u="1"/>
        <n v="343.97" u="1"/>
        <n v="618.64" u="1"/>
        <n v="665.24800000000005" u="1"/>
        <n v="587.05999999999995" u="1"/>
        <n v="1446" u="1"/>
        <n v="1200.92" u="1"/>
        <n v="695.55" u="1"/>
        <n v="539" u="1"/>
        <n v="269.5" u="1"/>
        <n v="877.16579999999999" u="1"/>
        <n v="788.61" u="1"/>
        <n v="594.07000000000005" u="1"/>
        <n v="1051.8800000000001" u="1"/>
        <n v="468.32" u="1"/>
        <n v="633.02009999999996" u="1"/>
        <n v="431.63" u="1"/>
        <n v="372.93" u="1"/>
        <n v="751.29" u="1"/>
        <n v="483.03" u="1"/>
        <n v="576.17250000000001" u="1"/>
        <n v="691.59" u="1"/>
        <n v="573.79999999999995" u="1"/>
        <n v="1331.85" u="1"/>
        <n v="488.94749999999999" u="1"/>
        <n v="836.58" u="1"/>
        <n v="238.58" u="1"/>
        <n v="306.81" u="1"/>
        <n v="708.33" u="1"/>
        <n v="281.17500000000001" u="1"/>
        <n v="699.54989999999998" u="1"/>
        <n v="931.28" u="1"/>
        <n v="1058" u="1"/>
        <n v="256" u="1"/>
        <n v="851.02" u="1"/>
        <n v="260.32" u="1"/>
        <n v="37988.769999999997" u="1"/>
        <n v="610.49" u="1"/>
        <n v="377.58" u="1"/>
        <n v="792.02250000000004" u="1"/>
        <n v="214.63499999999999" u="1"/>
        <n v="201.26499999999999" u="1"/>
        <n v="3605.67" u="1"/>
        <n v="658.16" u="1"/>
        <n v="715.23199999999997" u="1"/>
        <n v="354.6" u="1"/>
        <n v="544.38" u="1"/>
        <n v="396.54660000000001" u="1"/>
        <n v="322.26" u="1"/>
        <n v="510.8775" u="1"/>
        <n v="402.42" u="1"/>
        <n v="229.65" u="1"/>
        <n v="3887.75" u="1"/>
        <n v="336.54" u="1"/>
        <n v="795.06" u="1"/>
        <n v="918.6" u="1"/>
        <n v="561.41999999999996" u="1"/>
        <n v="1794.36" u="1"/>
        <n v="461.37" u="1"/>
        <n v="1605.59" u="1"/>
        <n v="784" u="1"/>
        <n v="983.25" u="1"/>
        <n v="879.04" u="1"/>
        <n v="402.95" u="1"/>
        <n v="1247.8800000000001" u="1"/>
        <n v="958.47" u="1"/>
        <n v="646.98" u="1"/>
        <n v="353.32" u="1"/>
        <n v="504.72" u="1"/>
        <n v="8404.64" u="1"/>
        <n v="1275.9000000000001" u="1"/>
        <n v="2632.78" u="1"/>
        <n v="6137.78" u="1"/>
        <n v="2630.1" u="1"/>
        <n v="9221.5679999999993" u="1"/>
        <n v="3047.998" u="1"/>
        <n v="2726.6118000000001" u="1"/>
        <n v="3153.1880000000001" u="1"/>
        <n v="10014.200000000001" u="1"/>
        <n v="2400.11" u="1"/>
        <n v="2307.13" u="1"/>
        <n v="2378.3247999999999" u="1"/>
        <n v="1290" u="1"/>
        <n v="461.52" u="1"/>
        <n v="10860.32" u="1"/>
        <n v="932" u="1"/>
        <n v="987" u="1"/>
        <n v="8058.0096000000003" u="1"/>
        <n v="23377.61" u="1"/>
        <n v="722.21600000000001" u="1"/>
        <n v="880.59" u="1"/>
        <n v="971.11" u="1"/>
        <n v="842.63" u="1"/>
        <n v="797.75" u="1"/>
        <n v="318.47000000000003" u="1"/>
        <n v="492.41" u="1"/>
        <n v="1461.5" u="1"/>
        <n v="1590.44" u="1"/>
        <n v="1197.78" u="1"/>
        <n v="778.2" u="1"/>
        <n v="251.22" u="1"/>
        <n v="5161.6899999999996" u="1"/>
        <n v="8193.5" u="1"/>
        <n v="718.23" u="1"/>
        <n v="541.98" u="1"/>
        <n v="1633.55" u="1"/>
        <n v="565.1" u="1"/>
        <n v="3991.22" u="1"/>
        <n v="2523.5279999999998" u="1"/>
        <n v="353" u="1"/>
        <n v="277.36" u="1"/>
        <n v="30" u="1"/>
        <n v="979.2" u="1"/>
        <n v="814.56" u="1"/>
        <n v="1572.72" u="1"/>
        <n v="2217.44" u="1"/>
        <n v="288.81" u="1"/>
        <n v="31090.65" u="1"/>
        <n v="5367.55" u="1"/>
        <n v="2284.6" u="1"/>
        <n v="196.5" u="1"/>
        <n v="251.78" u="1"/>
        <n v="6740" u="1"/>
        <n v="6524" u="1"/>
        <n v="1352.92" u="1"/>
        <n v="639.76" u="1"/>
        <n v="9897.6360000000004" u="1"/>
        <n v="5440.23" u="1"/>
        <n v="8910.1119999999992" u="1"/>
        <n v="2147.8000000000002" u="1"/>
        <n v="2791.72" u="1"/>
        <n v="645" u="1"/>
        <n v="350" u="1"/>
        <n v="267.73" u="1"/>
        <n v="152.33000000000001" u="1"/>
        <n v="7236.8" u="1"/>
        <n v="9787.4" u="1"/>
        <n v="2408.7199999999998" u="1"/>
        <n v="2408.8000000000002" u="1"/>
        <n v="21113.82" u="1"/>
        <n v="600.52" u="1"/>
        <n v="1113.18" u="1"/>
        <n v="555.58000000000004" u="1"/>
        <n v="8257.5" u="1"/>
        <n v="1072.6400000000001" u="1"/>
        <n v="644.72" u="1"/>
        <n v="2741.4" u="1"/>
        <n v="2062.16" u="1"/>
        <n v="783.04" u="1"/>
        <n v="404.32" u="1"/>
        <n v="766.66" u="1"/>
        <n v="296.39999999999998" u="1"/>
        <n v="406.52" u="1"/>
        <n v="412.63" u="1"/>
        <n v="323.36" u="1"/>
        <n v="1337.55" u="1"/>
        <n v="374.08" u="1"/>
        <n v="356.36" u="1"/>
        <n v="651.08000000000004" u="1"/>
        <n v="794.8" u="1"/>
        <n v="389.08" u="1"/>
        <n v="672.55" u="1"/>
        <n v="451.74" u="1"/>
        <n v="298.44" u="1"/>
        <n v="291" u="1"/>
        <n v="500.76" u="1"/>
        <n v="828.74" u="1"/>
        <n v="441.4" u="1"/>
        <n v="346.03" u="1"/>
        <n v="693.35" u="1"/>
        <n v="899.92" u="1"/>
        <n v="881.32" u="1"/>
        <n v="2470.3000000000002" u="1"/>
        <n v="254" u="1"/>
        <n v="4110.5600000000004" u="1"/>
        <n v="1463.22" u="1"/>
        <n v="25962.33" u="1"/>
        <n v="28961.64" u="1"/>
        <n v="6703.6804000000002" u="1"/>
        <n v="1875" u="1"/>
        <n v="728" u="1"/>
        <n v="1683.77" u="1"/>
        <n v="15498.27" u="1"/>
        <n v="1650" u="1"/>
        <n v="704.72" u="1"/>
        <n v="559.28" u="1"/>
        <n v="472.89" u="1"/>
        <n v="1199.07" u="1"/>
        <n v="683.12" u="1"/>
        <n v="343.05" u="1"/>
        <n v="472.9" u="1"/>
        <n v="1515.17" u="1"/>
        <n v="3332.76" u="1"/>
        <n v="1250.96" u="1"/>
        <n v="77.55" u="1"/>
        <n v="918.58" u="1"/>
        <n v="2037.52" u="1"/>
        <n v="2704.71" u="1"/>
        <n v="746.23" u="1"/>
        <n v="5401.16" u="1"/>
        <n v="880.24" u="1"/>
        <n v="865.12" u="1"/>
        <n v="880.22" u="1"/>
        <n v="888.36" u="1"/>
        <n v="979.3" u="1"/>
        <n v="9910.5" u="1"/>
        <n v="2189.36" u="1"/>
        <n v="38320.400000000001" u="1"/>
        <n v="2120.92" u="1"/>
        <n v="2481.4" u="1"/>
        <n v="2214.58" u="1"/>
        <n v="1845.48" u="1"/>
        <n v="1634.84" u="1"/>
        <n v="1583.84" u="1"/>
        <n v="3289.08" u="1"/>
        <n v="3308.94" u="1"/>
        <n v="3906.36" u="1"/>
        <n v="2759.13" u="1"/>
        <n v="2099.38" u="1"/>
        <n v="1547.54" u="1"/>
        <n v="4743.12" u="1"/>
        <n v="15404.8" u="1"/>
        <n v="1408.32" u="1"/>
        <n v="6779.52" u="1"/>
        <n v="734.66" u="1"/>
        <n v="349122.5" u="1"/>
        <n v="773" u="1"/>
        <n v="648" u="1"/>
        <n v="1757.98" u="1"/>
        <n v="1690" u="1"/>
        <n v="7650" u="1"/>
        <n v="527.41" u="1"/>
        <n v="7311" u="1"/>
        <n v="717" u="1"/>
        <n v="386.43" u="1"/>
        <n v="30500.55" u="1"/>
        <n v="2704.47" u="1"/>
        <n v="2713.17" u="1"/>
        <n v="2169.5100000000002" u="1"/>
        <n v="525.79999999999995" u="1"/>
        <n v="2316.5700000000002" u="1"/>
        <n v="1675.16" u="1"/>
        <n v="20745.599999999999" u="1"/>
        <n v="4906.24" u="1"/>
        <n v="1545.96" u="1"/>
        <n v="1795.9" u="1"/>
        <n v="1496.58" u="1"/>
        <n v="2699.19" u="1"/>
        <n v="1499.56" u="1"/>
        <n v="1646.24" u="1"/>
        <n v="749.78" u="1"/>
        <n v="5289.06" u="1"/>
        <n v="8741.67" u="1"/>
        <n v="1473.54" u="1"/>
        <n v="1273.4000000000001" u="1"/>
        <n v="1469.32" u="1"/>
        <n v="1971.75" u="1"/>
        <n v="2020.38" u="1"/>
        <n v="19143.64" u="1"/>
        <n v="75" u="1"/>
        <n v="20574.72" u="1"/>
        <n v="20512.259999999998" u="1"/>
        <n v="396.75" u="1"/>
        <n v="306.89999999999998" u="1"/>
        <n v="173.33" u="1"/>
        <n v="170.67" u="1"/>
        <n v="312" u="1"/>
        <n v="498" u="1"/>
        <n v="7871.98" u="1"/>
        <n v="999.6" u="1"/>
        <n v="9305.6" u="1"/>
        <n v="652" u="1"/>
        <n v="1871.1" u="1"/>
        <n v="710.89" u="1"/>
        <n v="1148.8" u="1"/>
        <n v="1256.5999999999999" u="1"/>
        <n v="1999.76" u="1"/>
        <n v="12664.89" u="1"/>
        <n v="19122.400000000001" u="1"/>
        <n v="1375" u="1"/>
        <n v="324" u="1"/>
        <n v="1067.72" u="1"/>
        <n v="5054.22" u="1"/>
        <n v="768.6" u="1"/>
        <n v="1162.8399999999999" u="1"/>
        <n v="8528.4" u="1"/>
        <n v="5702.58" u="1"/>
        <n v="3028.41" u="1"/>
        <n v="10083.32" u="1"/>
        <n v="12304" u="1"/>
        <n v="576.13" u="1"/>
        <n v="2465" u="1"/>
        <n v="1015" u="1"/>
        <n v="22560" u="1"/>
        <n v="591.03" u="1"/>
        <n v="790.74" u="1"/>
        <n v="147.33000000000001" u="1"/>
        <n v="373.64" u="1"/>
        <n v="616.86" u="1"/>
        <n v="122.95" u="1"/>
        <n v="116.45" u="1"/>
        <n v="149.36000000000001" u="1"/>
        <n v="3909.96" u="1"/>
        <n v="1959.6" u="1"/>
        <n v="6303.42" u="1"/>
        <n v="3145.02" u="1"/>
        <n v="492.8" u="1"/>
        <n v="153" u="1"/>
        <n v="3389.22" u="1"/>
        <n v="3724.71" u="1"/>
        <n v="1744.88" u="1"/>
        <n v="6324.36" u="1"/>
        <n v="4947.63" u="1"/>
        <n v="1680" u="1"/>
        <n v="463.43" u="1"/>
        <n v="4671.09" u="1"/>
        <n v="4596.62" u="1"/>
        <n v="9030.51" u="1"/>
        <n v="727.2" u="1"/>
        <n v="228.92" u="1"/>
        <n v="961.92" u="1"/>
        <n v="1697.53" u="1"/>
        <n v="1963.4" u="1"/>
        <n v="537.25" u="1"/>
        <n v="1080.99" u="1"/>
        <n v="222.22" u="1"/>
        <n v="343.9" u="1"/>
        <n v="368.84" u="1"/>
        <n v="927.54" u="1"/>
        <n v="538.32000000000005" u="1"/>
        <n v="503.33" u="1"/>
        <n v="421.94" u="1"/>
        <n v="966.48" u="1"/>
        <n v="965.07" u="1"/>
        <n v="624.29999999999995" u="1"/>
        <n v="1201.8399999999999" u="1"/>
        <n v="566.84" u="1"/>
        <n v="346.85" u="1"/>
        <n v="680.52" u="1"/>
        <n v="932.35" u="1"/>
        <n v="237.75" u="1"/>
        <n v="522.04" u="1"/>
        <n v="333.85" u="1"/>
        <n v="354.68" u="1"/>
        <n v="436.98" u="1"/>
        <n v="318.83" u="1"/>
        <n v="2342.5700000000002" u="1"/>
        <n v="1400" u="1"/>
        <n v="1151.6099999999999" u="1"/>
        <n v="5386.5" u="1"/>
        <n v="136875" u="1"/>
        <n v="1103.8800000000001" u="1"/>
        <n v="777.9" u="1"/>
        <n v="613.91999999999996" u="1"/>
        <n v="1338.28" u="1"/>
        <n v="574.548" u="1"/>
        <n v="7280" u="1"/>
        <n v="8111.1959999999999" u="1"/>
        <n v="7351.5343999999996" u="1"/>
        <n v="2106.0100000000002" u="1"/>
        <n v="248.6" u="1"/>
        <n v="3630" u="1"/>
        <n v="23.55" u="1"/>
        <n v="718.95" u="1"/>
        <n v="1228.6098999999999" u="1"/>
        <n v="819.97" u="1"/>
        <n v="1184.82" u="1"/>
        <n v="281.05" u="1"/>
        <n v="392.63" u="1"/>
        <n v="402.01" u="1"/>
        <n v="848.4" u="1"/>
        <n v="135" u="1"/>
        <n v="2184" u="1"/>
        <n v="200.16499999999999" u="1"/>
        <n v="397.98" u="1"/>
        <n v="490.69499999999999" u="1"/>
        <n v="733.68" u="1"/>
        <n v="181.05" u="1"/>
        <n v="694.68" u="1"/>
        <n v="250.94" u="1"/>
        <n v="229.88" u="1"/>
        <n v="561.79200000000003" u="1"/>
        <n v="1089.48" u="1"/>
        <n v="385.92" u="1"/>
        <n v="372.99" u="1"/>
        <n v="220.06" u="1"/>
        <n v="3407.46" u="1"/>
        <n v="1423.08" u="1"/>
        <n v="5747.28" u="1"/>
        <n v="3831.52" u="1"/>
        <n v="2525.3200000000002" u="1"/>
        <n v="1437.28" u="1"/>
        <n v="2647.39" u="1"/>
        <n v="683.3" u="1"/>
        <n v="5233.04" u="1"/>
        <n v="510.6" u="1"/>
        <n v="466.88" u="1"/>
        <n v="634.48" u="1"/>
        <n v="8155.77" u="1"/>
        <n v="679.08989999999994" u="1"/>
        <n v="269.95339999999999" u="1"/>
        <n v="562.53" u="1"/>
        <n v="628" u="1"/>
        <n v="1068.99" u="1"/>
        <n v="392" u="1"/>
        <n v="666" u="1"/>
        <n v="247" u="1"/>
        <n v="598" u="1"/>
        <n v="581" u="1"/>
        <n v="712.44" u="1"/>
        <n v="2785" u="1"/>
        <n v="3047.52" u="1"/>
        <n v="206.49" u="1"/>
        <n v="371.63" u="1"/>
        <n v="325.5" u="1"/>
        <n v="1946.7562" u="1"/>
        <n v="4059.848" u="1"/>
        <n v="4327.0883999999996" u="1"/>
        <n v="718.94" u="1"/>
        <n v="1744.8" u="1"/>
        <n v="2065.17" u="1"/>
        <n v="1137.5" u="1"/>
        <n v="701.88" u="1"/>
        <n v="468" u="1"/>
        <n v="400.28" u="1"/>
        <n v="422" u="1"/>
        <n v="1030.74" u="1"/>
        <n v="1472.31" u="1"/>
        <n v="173.13499999999999" u="1"/>
        <n v="323.41340000000002" u="1"/>
        <n v="226.18" u="1"/>
        <n v="243.53" u="1"/>
        <n v="559.55999999999995" u="1"/>
        <n v="234.14" u="1"/>
        <n v="288.10000000000002" u="1"/>
        <n v="941.45" u="1"/>
        <n v="606.50400000000002" u="1"/>
        <n v="710.79" u="1"/>
        <n v="551.04" u="1"/>
        <n v="509.85" u="1"/>
        <n v="1143.1199999999999" u="1"/>
        <n v="602.47199999999998" u="1"/>
        <n v="655.01599999999996" u="1"/>
        <n v="627.78399999999999" u="1"/>
        <n v="226.88499999999999" u="1"/>
        <n v="215" u="1"/>
        <n v="358" u="1"/>
        <n v="423" u="1"/>
        <n v="519.76" u="1"/>
        <n v="364" u="1"/>
        <n v="207.2" u="1"/>
        <n v="540.76" u="1"/>
        <n v="679.8" u="1"/>
        <n v="1951.62" u="1"/>
        <n v="767.25" u="1"/>
        <n v="595.70000000000005" u="1"/>
        <n v="734.4" u="1"/>
        <n v="1512.9" u="1"/>
        <n v="326.97000000000003" u="1"/>
        <n v="582.76" u="1"/>
        <n v="923.92" u="1"/>
        <n v="1734" u="1"/>
        <n v="1870" u="1"/>
        <n v="2551.5" u="1"/>
        <n v="326.55" u="1"/>
        <n v="121" u="1"/>
        <n v="3732.6" u="1"/>
        <n v="453.4701" u="1"/>
        <n v="700.53" u="1"/>
        <n v="878.3" u="1"/>
        <n v="207.98" u="1"/>
        <n v="173.005" u="1"/>
        <n v="515.01990000000001" u="1"/>
        <n v="493.45" u="1"/>
        <n v="419.98" u="1"/>
        <n v="281.61" u="1"/>
        <n v="1480.0400999999999" u="1"/>
        <n v="585.09" u="1"/>
        <n v="278.57" u="1"/>
        <n v="210.6" u="1"/>
        <n v="1780.29" u="1"/>
        <n v="708.96" u="1"/>
        <n v="238.24" u="1"/>
        <n v="198.48500000000001" u="1"/>
        <n v="370.47" u="1"/>
        <n v="433.04" u="1"/>
        <n v="488.44499999999999" u="1"/>
        <n v="328.78" u="1"/>
        <n v="358.17340000000002" u="1"/>
        <n v="527.61990000000003" u="1"/>
        <n v="1096.7001" u="1"/>
        <n v="796.77" u="1"/>
        <n v="1819.46" u="1"/>
        <n v="277.69" u="1"/>
        <n v="1094.8599999999999" u="1"/>
        <n v="497.66250000000002" u="1"/>
        <n v="340.95339999999999" u="1"/>
        <n v="3577.05" u="1"/>
        <n v="11002.555200000001" u="1"/>
        <n v="1110.1500000000001" u="1"/>
        <n v="1545.67" u="1"/>
        <n v="300.27" u="1"/>
        <n v="540.22" u="1"/>
        <n v="235.83" u="1"/>
        <n v="1150" u="1"/>
        <n v="179.5" u="1"/>
        <n v="335.36" u="1"/>
        <n v="10080.69" u="1"/>
        <n v="354.87" u="1"/>
        <n v="1453.81" u="1"/>
        <n v="902" u="1"/>
        <n v="664.7" u="1"/>
        <n v="1963.09" u="1"/>
        <n v="7291.0511999999999" u="1"/>
        <n v="729.6" u="1"/>
        <n v="618.96" u="1"/>
        <n v="375.54" u="1"/>
        <n v="1219.32" u="1"/>
        <n v="4213.5893999999998" u="1"/>
        <n v="744.58" u="1"/>
        <n v="1680.05" u="1"/>
        <n v="581.24" u="1"/>
        <n v="1396.97" u="1"/>
        <n v="931.77" u="1"/>
        <n v="672.51" u="1"/>
        <n v="236.4" u="1"/>
        <n v="1725.12" u="1"/>
        <n v="568.26" u="1"/>
        <n v="838.88" u="1"/>
        <n v="1402.3" u="1"/>
        <n v="962" u="1"/>
        <n v="5026.72" u="1"/>
        <n v="1996.52" u="1"/>
        <n v="1497.66" u="1"/>
        <n v="836.04" u="1"/>
        <n v="867.44" u="1"/>
        <n v="1982.56" u="1"/>
        <n v="1904.64" u="1"/>
        <n v="2540.6999999999998" u="1"/>
        <n v="888.88" u="1"/>
        <n v="654.26" u="1"/>
        <n v="748.12" u="1"/>
        <n v="614.46" u="1"/>
        <n v="170.48" u="1"/>
        <n v="471" u="1"/>
        <n v="6356.84" u="1"/>
        <n v="632.15250000000003" u="1"/>
        <n v="378.74" u="1"/>
        <n v="34115.25" u="1"/>
        <n v="2271.3856000000001" u="1"/>
        <n v="542.28" u="1"/>
        <n v="846.3" u="1"/>
        <n v="7481.15" u="1"/>
        <n v="8269.2999999999993" u="1"/>
        <n v="2192.5439999999999" u="1"/>
        <n v="329.71499999999997" u="1"/>
        <n v="1644.28" u="1"/>
        <n v="756.88" u="1"/>
        <n v="1583.91" u="1"/>
        <n v="242" u="1"/>
        <n v="1196.92" u="1"/>
        <n v="739.46" u="1"/>
        <n v="784.22" u="1"/>
        <n v="484.96" u="1"/>
        <n v="568.78" u="1"/>
        <n v="639.024" u="1"/>
        <n v="4011.48" u="1"/>
        <n v="900.51" u="1"/>
        <n v="1023" u="1"/>
        <n v="283.68" u="1"/>
        <n v="32.39" u="1"/>
        <n v="2975" u="1"/>
        <n v="2950" u="1"/>
        <n v="568.04250000000002" u="1"/>
        <n v="452.36" u="1"/>
        <n v="541.79999999999995" u="1"/>
        <n v="157.83000000000001" u="1"/>
        <n v="496.8" u="1"/>
        <n v="429.74009999999998" u="1"/>
        <n v="2746.4607999999998" u="1"/>
        <n v="384.7" u="1"/>
        <n v="562.09" u="1"/>
        <n v="699.47" u="1"/>
        <n v="1094.94" u="1"/>
        <n v="186.55500000000001" u="1"/>
        <n v="167.64" u="1"/>
        <n v="558.59" u="1"/>
        <n v="755.33010000000002" u="1"/>
        <n v="509.40989999999999" u="1"/>
        <n v="325.6266" u="1"/>
        <n v="471.61340000000001" u="1"/>
        <n v="485" u="1"/>
        <n v="1516" u="1"/>
        <n v="1129.8" u="1"/>
        <n v="63.15" u="1"/>
        <n v="55.7" u="1"/>
        <n v="386.97" u="1"/>
        <n v="1978.2" u="1"/>
        <n v="2954.6" u="1"/>
        <n v="452.16" u="1"/>
        <n v="776.72" u="1"/>
        <n v="504.36" u="1"/>
        <n v="3147.45" u="1"/>
        <n v="5397.56" u="1"/>
        <n v="403.75" u="1"/>
        <n v="1372.38" u="1"/>
        <n v="294.8" u="1"/>
        <n v="21741.439999999999" u="1"/>
        <n v="991.74" u="1"/>
        <n v="7222.4525999999996" u="1"/>
        <n v="4130.6499999999996" u="1"/>
        <n v="4124.68" u="1"/>
        <n v="760.45" u="1"/>
        <n v="658.42" u="1"/>
        <n v="360.27" u="1"/>
        <n v="291.76" u="1"/>
        <n v="496.6" u="1"/>
        <n v="389.91" u="1"/>
        <n v="1824.14" u="1"/>
        <n v="889.95" u="1"/>
        <n v="123.04" u="1"/>
        <n v="140.91999999999999" u="1"/>
        <n v="581.91999999999996" u="1"/>
        <n v="338.12" u="1"/>
        <n v="2363.5" u="1"/>
        <n v="1272.3900000000001" u="1"/>
        <n v="981.09" u="1"/>
        <n v="483.6" u="1"/>
        <n v="456.43" u="1"/>
        <n v="563.08000000000004" u="1"/>
        <n v="551.66999999999996" u="1"/>
        <n v="1040.1300000000001" u="1"/>
        <n v="1001.72" u="1"/>
        <n v="205.83" u="1"/>
        <n v="3631.82" u="1"/>
        <n v="11735.22" u="1"/>
        <n v="1464.79" u="1"/>
        <n v="975.1807" u="1"/>
        <n v="18012.78" u="1"/>
        <n v="509.76" u="1"/>
        <n v="367.66" u="1"/>
        <n v="1046.48" u="1"/>
        <n v="706.64" u="1"/>
        <n v="627.1694" u="1"/>
        <n v="1709.22" u="1"/>
        <n v="984.87" u="1"/>
        <n v="1000.8335" u="1"/>
        <n v="327.96" u="1"/>
        <n v="561.09" u="1"/>
        <n v="429.63990000000001" u="1"/>
        <n v="656.24" u="1"/>
        <n v="622.14" u="1"/>
        <n v="167.22" u="1"/>
        <n v="468.46" u="1"/>
        <n v="145" u="1"/>
        <n v="765.4402" u="1"/>
        <n v="656.00360000000001" u="1"/>
        <n v="810.4" u="1"/>
        <n v="2567.9549999999999" u="1"/>
        <n v="540.06399999999996" u="1"/>
        <n v="643.4" u="1"/>
        <n v="591.32000000000005" u="1"/>
        <n v="293.60000000000002" u="1"/>
        <n v="858.1508" u="1"/>
        <n v="34682.53" u="1"/>
        <n v="402.89" u="1"/>
        <n v="441.74" u="1"/>
        <n v="433.02" u="1"/>
        <n v="624.38" u="1"/>
        <n v="1210.53" u="1"/>
        <n v="817.27" u="1"/>
        <n v="493.4" u="1"/>
        <n v="32046.76" u="1"/>
        <n v="756.6" u="1"/>
        <n v="785.73" u="1"/>
        <n v="164.99" u="1"/>
        <n v="976.88" u="1"/>
        <n v="10764.32" u="1"/>
        <n v="1275" u="1"/>
        <n v="711.56" u="1"/>
        <n v="232.89" u="1"/>
        <n v="762.48" u="1"/>
        <n v="2576.96" u="1"/>
        <n v="839.6" u="1"/>
        <n v="773.14" u="1"/>
        <n v="2144.0945000000002" u="1"/>
        <n v="594.73" u="1"/>
        <n v="241" u="1"/>
        <n v="375.9" u="1"/>
        <n v="751.51" u="1"/>
        <n v="550.96" u="1"/>
        <n v="261.77999999999997" u="1"/>
        <n v="1662.04" u="1"/>
        <n v="35627.32" u="1"/>
        <n v="9.68" u="1"/>
        <n v="784.86" u="1"/>
        <n v="712.76" u="1"/>
        <n v="360.15" u="1"/>
        <n v="484.64" u="1"/>
        <n v="101.04" u="1"/>
        <n v="6346.8" u="1"/>
        <n v="266.2" u="1"/>
        <n v="287.7" u="1"/>
        <n v="2467.5" u="1"/>
        <n v="198.88" u="1"/>
        <n v="13556.2" u="1"/>
        <n v="724.86" u="1"/>
        <n v="889.9" u="1"/>
        <n v="1162.8" u="1"/>
        <n v="10291.98" u="1"/>
        <n v="749.29" u="1"/>
        <n v="5835.35" u="1"/>
        <n v="1392" u="1"/>
        <n v="799" u="1"/>
        <n v="2950.2" u="1"/>
        <n v="3433" u="1"/>
        <n v="613.08000000000004" u="1"/>
        <n v="104.09" u="1"/>
        <n v="2993.6" u="1"/>
        <n v="3044.2" u="1"/>
        <n v="2599.8000000000002" u="1"/>
        <n v="290.85000000000002" u="1"/>
        <n v="493.02" u="1"/>
        <n v="300.98" u="1"/>
        <n v="311.85000000000002" u="1"/>
        <n v="916.22" u="1"/>
        <n v="1760" u="1"/>
        <n v="299.99" u="1"/>
        <n v="379.99" u="1"/>
        <n v="154.9" u="1"/>
        <n v="48914.28" u="1"/>
        <n v="691.5" u="1"/>
        <n v="124.8" u="1"/>
        <n v="3991.92" u="1"/>
        <n v="785.4" u="1"/>
        <n v="13841.85" u="1"/>
        <n v="2300" u="1"/>
        <n v="257.32" u="1"/>
        <n v="2704.48" u="1"/>
        <n v="522.45000000000005" u="1"/>
        <n v="1146.42" u="1"/>
        <n v="292.60000000000002" u="1"/>
        <n v="220.2" u="1"/>
        <n v="7900" u="1"/>
        <n v="284" u="1"/>
        <n v="309.10000000000002" u="1"/>
        <n v="706" u="1"/>
        <n v="424.33" u="1"/>
        <n v="216" u="1"/>
        <n v="939.99" u="1"/>
        <n v="1910.3" u="1"/>
        <n v="422.31" u="1"/>
        <n v="868.37" u="1"/>
        <n v="613.9" u="1"/>
        <n v="733.15" u="1"/>
        <n v="290.22000000000003" u="1"/>
        <n v="1877.74" u="1"/>
        <n v="1444.32" u="1"/>
        <n v="919.73" u="1"/>
        <n v="2853.16" u="1"/>
        <n v="483.83" u="1"/>
        <n v="214" u="1"/>
        <n v="1184" u="1"/>
        <n v="744.6" u="1"/>
        <n v="936.2" u="1"/>
        <n v="1076" u="1"/>
        <n v="659.64" u="1"/>
        <n v="689.7" u="1"/>
        <n v="785.36" u="1"/>
        <n v="562.65" u="1"/>
        <n v="453.84" u="1"/>
        <n v="1149" u="1"/>
        <n v="631.27" u="1"/>
        <n v="659.61" u="1"/>
        <n v="960" u="1"/>
        <n v="732.36" u="1"/>
        <n v="746.68" u="1"/>
        <n v="77.67" u="1"/>
        <n v="41.73" u="1"/>
        <n v="104.08" u="1"/>
        <n v="561.24" u="1"/>
        <n v="639.48" u="1"/>
        <n v="711.99" u="1"/>
        <n v="873" u="1"/>
        <n v="768.03" u="1"/>
        <n v="1389" u="1"/>
        <n v="119.32" u="1"/>
        <n v="1915" u="1"/>
        <n v="1002" u="1"/>
        <n v="476.46" u="1"/>
        <n v="325.89999999999998" u="1"/>
        <n v="479.9" u="1"/>
        <n v="2420.8000000000002" u="1"/>
        <n v="800.9" u="1"/>
        <n v="1268.2532000000001" u="1"/>
        <n v="1163.5272" u="1"/>
        <n v="756.17" u="1"/>
        <n v="666.9" u="1"/>
        <n v="720.13" u="1"/>
        <n v="511.19" u="1"/>
        <n v="1028.2" u="1"/>
        <n v="217.28" u="1"/>
        <n v="884.19" u="1"/>
        <n v="432.36" u="1"/>
        <n v="436.39" u="1"/>
        <n v="546.86" u="1"/>
        <n v="959.11" u="1"/>
        <n v="307.72000000000003" u="1"/>
        <n v="316.04000000000002" u="1"/>
        <n v="524.34" u="1"/>
        <n v="469.01" u="1"/>
        <n v="324.83999999999997" u="1"/>
        <n v="307.48" u="1"/>
        <n v="3785.48" u="1"/>
        <n v="545.45000000000005" u="1"/>
        <n v="585.12" u="1"/>
        <n v="880.79" u="1"/>
        <n v="964.2" u="1"/>
        <n v="324.7" u="1"/>
        <n v="181.99" u="1"/>
        <n v="1436" u="1"/>
        <n v="771.4" u="1"/>
        <n v="536" u="1"/>
        <n v="3279.86" u="1"/>
        <n v="2729.34" u="1"/>
        <n v="1315.31" u="1"/>
        <n v="1295.6099999999999" u="1"/>
        <n v="382.32" u="1"/>
        <n v="3747.62" u="1"/>
        <n v="4484.9585999999999" u="1"/>
        <n v="3879.45" u="1"/>
        <n v="595.71" u="1"/>
        <n v="119.88" u="1"/>
        <n v="2996.58" u="1"/>
        <n v="13711.6" u="1"/>
        <n v="2836.73" u="1"/>
        <n v="452.78" u="1"/>
        <n v="160.99" u="1"/>
        <n v="569.73" u="1"/>
        <n v="494" u="1"/>
        <n v="477.15" u="1"/>
        <n v="32.9" u="1"/>
        <n v="39.65" u="1"/>
        <n v="1205" u="1"/>
        <n v="214.5" u="1"/>
        <n v="679.39" u="1"/>
        <n v="885.26009999999997" u="1"/>
        <n v="666.66" u="1"/>
        <n v="427.68" u="1"/>
        <n v="163.565" u="1"/>
        <n v="1510.59" u="1"/>
        <n v="910.49159999999995" u="1"/>
        <n v="295.48" u="1"/>
        <n v="2477.5104000000001" u="1"/>
        <n v="554.76750000000004" u="1"/>
        <n v="596.19000000000005" u="1"/>
        <n v="689.67" u="1"/>
        <n v="231.54" u="1"/>
        <n v="753.42989999999998" u="1"/>
        <n v="844.6" u="1"/>
        <n v="852.8" u="1"/>
        <n v="385.52659999999997" u="1"/>
        <n v="327.13" u="1"/>
        <n v="3065.4" u="1"/>
        <n v="378.95" u="1"/>
        <n v="1246.4000000000001" u="1"/>
        <n v="686.32" u="1"/>
        <n v="1033.68" u="1"/>
        <n v="614.43989999999997" u="1"/>
        <n v="1408.86" u="1"/>
        <n v="397.14" u="1"/>
        <n v="2126.34" u="1"/>
        <n v="136" u="1"/>
        <n v="140.22" u="1"/>
        <n v="638.84" u="1"/>
        <n v="409.14" u="1"/>
        <n v="383.16" u="1"/>
        <n v="387.18" u="1"/>
        <n v="472.74" u="1"/>
        <n v="1334.74" u="1"/>
        <n v="630.76" u="1"/>
        <n v="548.24" u="1"/>
        <n v="386.15339999999998" u="1"/>
        <n v="782.88" u="1"/>
        <n v="4596.3" u="1"/>
        <n v="3166.34" u="1"/>
        <n v="588.84" u="1"/>
        <n v="483.8" u="1"/>
        <n v="429.12" u="1"/>
        <n v="541.18399999999997" u="1"/>
        <n v="1083.0415" u="1"/>
        <n v="645.928" u="1"/>
        <n v="414.7" u="1"/>
        <n v="1213.5" u="1"/>
        <n v="207.5" u="1"/>
        <n v="581.96" u="1"/>
        <n v="5311.28" u="1"/>
        <n v="7257.24" u="1"/>
        <n v="11937.42" u="1"/>
        <n v="11213.94" u="1"/>
        <n v="9405.24" u="1"/>
        <n v="817.12" u="1"/>
        <n v="3248.96" u="1"/>
        <n v="1782.48" u="1"/>
        <n v="6245.1450000000004" u="1"/>
        <n v="3496.6320000000001" u="1"/>
        <n v="1119.72" u="1"/>
        <n v="3899.6039999999998" u="1"/>
        <n v="1068.1199999999999" u="1"/>
        <n v="3763.098" u="1"/>
        <n v="6807.9960000000001" u="1"/>
        <n v="882" u="1"/>
        <n v="481.59" u="1"/>
        <n v="1723.47" u="1"/>
        <n v="683.87" u="1"/>
        <n v="590.79" u="1"/>
        <n v="422.98660000000001" u="1"/>
        <n v="7127.4111999999996" u="1"/>
        <n v="1669.1120000000001" u="1"/>
        <n v="428.94990000000001" u="1"/>
        <n v="153.66999999999999" u="1"/>
        <n v="308.69" u="1"/>
        <n v="189.52" u="1"/>
        <n v="369.78" u="1"/>
        <n v="906" u="1"/>
        <n v="675.28" u="1"/>
        <n v="1254.72" u="1"/>
        <n v="217.8" u="1"/>
        <n v="458.64" u="1"/>
        <n v="205.28" u="1"/>
        <n v="1005.72" u="1"/>
        <n v="521.4" u="1"/>
        <n v="782.1" u="1"/>
        <n v="432" u="1"/>
        <n v="240.9" u="1"/>
        <n v="267.75" u="1"/>
        <n v="540.6" u="1"/>
        <n v="429" u="1"/>
        <n v="1096" u="1"/>
        <n v="262.39999999999998" u="1"/>
        <n v="486" u="1"/>
        <n v="335.24" u="1"/>
        <n v="313.11" u="1"/>
        <n v="658.44" u="1"/>
        <n v="472" u="1"/>
        <n v="518.70000000000005" u="1"/>
        <n v="877.52" u="1"/>
        <n v="764.2" u="1"/>
        <n v="711.36" u="1"/>
        <n v="355.36" u="1"/>
        <n v="534.33000000000004" u="1"/>
        <n v="551.30999999999995" u="1"/>
        <n v="310.36" u="1"/>
        <n v="2000" u="1"/>
        <n v="770.55" u="1"/>
        <n v="3500" u="1"/>
        <n v="391.37" u="1"/>
        <n v="1540.26" u="1"/>
        <n v="10989.481400000001" u="1"/>
        <n v="912.67719999999997" u="1"/>
        <n v="590.78250000000003" u="1"/>
        <n v="548.85599999999999" u="1"/>
        <n v="533.61" u="1"/>
        <n v="783.78" u="1"/>
        <n v="1499.24" u="1"/>
        <n v="422.16" u="1"/>
        <n v="4448.2986000000001" u="1"/>
        <n v="699.00750000000005" u="1"/>
        <n v="845" u="1"/>
        <n v="336.81" u="1"/>
        <n v="309.97000000000003" u="1"/>
        <n v="573.82000000000005" u="1"/>
        <n v="354.93" u="1"/>
        <n v="710.52" u="1"/>
        <n v="1199.2" u="1"/>
        <n v="277.64" u="1"/>
        <n v="534.81989999999996" u="1"/>
        <n v="297.5" u="1"/>
        <n v="570.80999999999995" u="1"/>
        <n v="312.44" u="1"/>
        <n v="339.75" u="1"/>
        <n v="272.29000000000002" u="1"/>
        <n v="6576.9" u="1"/>
        <n v="2508.66" u="1"/>
        <n v="244.85" u="1"/>
        <n v="288.7466" u="1"/>
        <n v="310.24" u="1"/>
        <n v="466.17" u="1"/>
        <n v="365.2" u="1"/>
        <n v="3178.3101000000001" u="1"/>
        <n v="3752.22" u="1"/>
        <n v="487.2" u="1"/>
        <n v="576.66989999999998" u="1"/>
        <n v="885.16800000000001" u="1"/>
        <n v="589.34249999999997" u="1"/>
        <n v="598.52009999999996" u="1"/>
        <n v="881.51250000000005" u="1"/>
        <n v="1002.95" u="1"/>
        <n v="1227" u="1"/>
        <n v="606.41600000000005" u="1"/>
        <n v="561.56799999999998" u="1"/>
        <n v="602.33600000000001" u="1"/>
        <n v="577.11" u="1"/>
        <n v="782.57" u="1"/>
        <n v="611.61990000000003" u="1"/>
        <n v="2666.28" u="1"/>
        <n v="1638.81" u="1"/>
        <n v="262.2" u="1"/>
        <n v="339" u="1"/>
        <n v="2560.6604000000002" u="1"/>
        <n v="257.52999999999997" u="1"/>
        <n v="1824" u="1"/>
        <n v="2061.9299999999998" u="1"/>
        <n v="2490.17" u="1"/>
        <n v="1370.84" u="1"/>
        <n v="123.545" u="1"/>
        <n v="2030.3498999999999" u="1"/>
        <n v="439.52010000000001" u="1"/>
        <n v="327.10660000000001" u="1"/>
        <n v="608.06399999999996" u="1"/>
        <n v="223.97" u="1"/>
        <n v="3272.0855999999999" u="1"/>
        <n v="335.35" u="1"/>
        <n v="609.70000000000005" u="1"/>
        <n v="373.09339999999997" u="1"/>
        <n v="943.53" u="1"/>
        <n v="382.5" u="1"/>
        <n v="1390.24" u="1"/>
        <n v="732.54" u="1"/>
        <n v="848.17499999999995" u="1"/>
        <n v="747.82" u="1"/>
        <n v="440.36" u="1"/>
        <n v="785.79" u="1"/>
        <n v="764" u="1"/>
        <n v="406.69" u="1"/>
        <n v="1200.7401" u="1"/>
        <n v="264.74" u="1"/>
        <n v="1190.1420000000001" u="1"/>
        <n v="372.3" u="1"/>
        <n v="456.16" u="1"/>
        <n v="1359.6699000000001" u="1"/>
        <n v="646.26" u="1"/>
        <n v="1287.05" u="1"/>
        <n v="1546.1297999999999" u="1"/>
        <n v="1905.2298000000001" u="1"/>
        <n v="1725.6797999999999" u="1"/>
        <n v="1466.3298" u="1"/>
        <n v="1286.7798" u="1"/>
        <n v="630.70000000000005" u="1"/>
        <n v="298.68" u="1"/>
        <n v="576.67499999999995" u="1"/>
        <n v="337.1" u="1"/>
        <n v="501.99200000000002" u="1"/>
        <n v="664.16250000000002" u="1"/>
        <n v="688.20799999999997" u="1"/>
        <n v="824.26" u="1"/>
        <n v="1142.4880000000001" u="1"/>
        <n v="106.88500000000001" u="1"/>
        <n v="188.29499999999999" u="1"/>
        <n v="497.61989999999997" u="1"/>
        <n v="1444.17" u="1"/>
        <n v="253.49" u="1"/>
        <n v="279.64" u="1"/>
        <n v="1115.3702000000001" u="1"/>
        <n v="742.35" u="1"/>
        <n v="950.49" u="1"/>
        <n v="339.64" u="1"/>
        <n v="611.24" u="1"/>
        <n v="450.06" u="1"/>
        <n v="1592" u="1"/>
        <n v="533.66999999999996" u="1"/>
        <n v="426.42" u="1"/>
        <n v="378.12" u="1"/>
        <n v="5586.84" u="1"/>
        <n v="3338" u="1"/>
        <n v="3122" u="1"/>
        <n v="1784" u="1"/>
        <n v="1782" u="1"/>
        <n v="3215.66" u="1"/>
        <n v="247.99" u="1"/>
        <n v="10466.32" u="1"/>
        <n v="609.39" u="1"/>
        <n v="590.6" u="1"/>
        <n v="812.9" u="1"/>
        <n v="436.14" u="1"/>
        <n v="1920.73" u="1"/>
        <n v="3459.04" u="1"/>
        <n v="663.6" u="1"/>
        <n v="8095.23" u="1"/>
        <n v="5710.1742000000004" u="1"/>
        <n v="1668.9" u="1"/>
        <n v="656.84" u="1"/>
        <n v="1116.1199999999999" u="1"/>
        <n v="219.03" u="1"/>
        <n v="1178.1099999999999" u="1"/>
        <n v="1024.97" u="1"/>
        <n v="1322.12" u="1"/>
        <n v="1043.1600000000001" u="1"/>
        <n v="336.72" u="1"/>
        <n v="136.1" u="1"/>
        <n v="1190.46" u="1"/>
        <n v="92586" u="1"/>
        <n v="1494.4602" u="1"/>
        <n v="124.54" u="1"/>
        <n v="1364.59" u="1"/>
        <n v="587.42999999999995" u="1"/>
        <n v="3311.7" u="1"/>
        <n v="551.70989999999995" u="1"/>
        <n v="778.36" u="1"/>
        <n v="366.71499999999997" u="1"/>
        <n v="880" u="1"/>
        <n v="1033.1545000000001" u="1"/>
        <n v="5140" u="1"/>
        <n v="7090.02" u="1"/>
        <n v="758.04" u="1"/>
        <n v="409.9" u="1"/>
        <n v="485.38499999999999" u="1"/>
        <n v="1033.4503999999999" u="1"/>
        <n v="954.24" u="1"/>
        <n v="777.64" u="1"/>
        <n v="2717.4" u="1"/>
        <n v="2560" u="1"/>
        <n v="2115" u="1"/>
        <n v="562.24" u="1"/>
        <n v="5814" u="1"/>
        <n v="6182.68" u="1"/>
        <n v="5486.04" u="1"/>
        <n v="1056.9000000000001" u="1"/>
        <n v="12000" u="1"/>
        <n v="3200.16" u="1"/>
        <n v="159.5" u="1"/>
        <n v="9337.02" u="1"/>
        <n v="2616.46" u="1"/>
        <n v="7262.2" u="1"/>
        <n v="2993.94" u="1"/>
        <n v="2462.136" u="1"/>
        <n v="503.9" u="1"/>
        <n v="5198.2700000000004" u="1"/>
        <n v="1127" u="1"/>
        <n v="2435.9499999999998" u="1"/>
        <n v="1420" u="1"/>
        <n v="315.86" u="1"/>
        <n v="8841.9599999999991" u="1"/>
        <n v="7367.5752000000002" u="1"/>
        <n v="521.64499999999998" u="1"/>
        <n v="3907.7424000000001" u="1"/>
        <n v="329.4" u="1"/>
        <n v="583" u="1"/>
        <n v="4643.99" u="1"/>
        <n v="985.74" u="1"/>
        <n v="341.91" u="1"/>
        <n v="9049.08" u="1"/>
        <n v="2354.1" u="1"/>
        <n v="3880.5423999999998" u="1"/>
        <n v="568" u="1"/>
        <n v="829.24" u="1"/>
        <n v="718.41" u="1"/>
        <n v="2650.0039999999999" u="1"/>
        <n v="212.63" u="1"/>
        <n v="3653.7" u="1"/>
        <n v="10309.25" u="1"/>
        <n v="1479" u="1"/>
        <n v="4448.1499999999996" u="1"/>
        <n v="262.88" u="1"/>
        <n v="1195.848" u="1"/>
        <n v="263" u="1"/>
        <n v="440.02499999999998" u="1"/>
        <n v="408.92989999999998" u="1"/>
        <n v="1643.2248" u="1"/>
        <n v="1773.8672999999999" u="1"/>
        <n v="220.22" u="1"/>
        <n v="190.4" u="1"/>
        <n v="169.4" u="1"/>
        <n v="201" u="1"/>
        <n v="10528.32" u="1"/>
        <n v="661.05" u="1"/>
        <n v="976.4" u="1"/>
        <n v="10465.68" u="1"/>
        <n v="8" u="1"/>
        <n v="11440" u="1"/>
        <n v="34.950000000000003" u="1"/>
        <n v="229.45" u="1"/>
        <n v="203.93" u="1"/>
        <n v="180.36" u="1"/>
        <n v="680.94" u="1"/>
        <n v="269.64499999999998" u="1"/>
        <n v="269.71699999999998" u="1"/>
        <n v="821.23500000000001" u="1"/>
        <n v="1155.54" u="1"/>
        <n v="2840.2599" u="1"/>
        <n v="332.26" u="1"/>
        <n v="298.60000000000002" u="1"/>
        <n v="1438" u="1"/>
        <n v="1760.77" u="1"/>
        <n v="3342" u="1"/>
        <n v="1808" u="1"/>
        <n v="510.9" u="1"/>
        <n v="6360.78" u="1"/>
        <n v="217.48" u="1"/>
        <n v="739.18" u="1"/>
        <n v="6255.76" u="1"/>
        <n v="10611.92" u="1"/>
        <n v="977.63" u="1"/>
        <n v="2030.9601" u="1"/>
        <n v="1302.8399999999999" u="1"/>
        <n v="468.88" u="1"/>
        <n v="6702.16" u="1"/>
        <n v="3908.94" u="1"/>
        <n v="990.36" u="1"/>
        <n v="1173" u="1"/>
        <n v="812" u="1"/>
        <n v="1044.75" u="1"/>
        <n v="429.99" u="1"/>
        <n v="1670.73" u="1"/>
        <n v="467.69" u="1"/>
        <n v="359.99" u="1"/>
        <n v="378.76" u="1"/>
        <n v="8944.9352999999992" u="1"/>
        <n v="2577.2264" u="1"/>
        <n v="2883.6738" u="1"/>
        <n v="7521.92" u="1"/>
        <n v="8925.8696" u="1"/>
        <n v="4690.1332000000002" u="1"/>
        <n v="10566.2736" u="1"/>
        <n v="2900.3991999999998" u="1"/>
        <n v="374.1" u="1"/>
        <n v="2076.54" u="1"/>
        <n v="343.65" u="1"/>
        <n v="2359.3679999999999" u="1"/>
        <n v="972.97" u="1"/>
        <n v="940.48" u="1"/>
        <n v="374.94659999999999" u="1"/>
        <n v="7227.27" u="1"/>
        <n v="168" u="1"/>
        <n v="576.48" u="1"/>
        <n v="571.48800000000006" u="1"/>
        <n v="717.81989999999996" u="1"/>
        <n v="457.01" u="1"/>
        <n v="507.76499999999999" u="1"/>
        <n v="436.46249999999998" u="1"/>
        <n v="511.83" u="1"/>
        <n v="570.44799999999998" u="1"/>
        <n v="577.87199999999996" u="1"/>
        <n v="651.25599999999997" u="1"/>
        <n v="710.14" u="1"/>
        <n v="1468" u="1"/>
        <n v="363.26" u="1"/>
        <n v="732.1" u="1"/>
        <n v="3680.28" u="1"/>
        <n v="660.66" u="1"/>
        <n v="916.65" u="1"/>
        <n v="368.55" u="1"/>
        <n v="1325" u="1"/>
        <n v="2940" u="1"/>
        <n v="1325.15" u="1"/>
        <n v="659" u="1"/>
        <n v="830.55" u="1"/>
        <n v="1612.2" u="1"/>
        <n v="1378.02" u="1"/>
        <n v="1065" u="1"/>
        <n v="1093.8599999999999" u="1"/>
        <n v="1607.41" u="1"/>
        <n v="1395" u="1"/>
        <n v="698" u="1"/>
        <n v="221.2" u="1"/>
        <n v="234" u="1"/>
        <n v="607.70000000000005" u="1"/>
        <n v="2405.92" u="1"/>
        <n v="242.09" u="1"/>
        <n v="868" u="1"/>
        <n v="1269" u="1"/>
        <n v="454.57" u="1"/>
        <n v="1260.51" u="1"/>
        <n v="12766.36" u="1"/>
        <n v="1818.81" u="1"/>
        <n v="952.44" u="1"/>
        <n v="90.8" u="1"/>
        <n v="169" u="1"/>
        <n v="345.4" u="1"/>
        <n v="987.84" u="1"/>
        <n v="350.9" u="1"/>
        <n v="262.89999999999998" u="1"/>
        <n v="101.19" u="1"/>
        <n v="246.89" u="1"/>
        <n v="188.84" u="1"/>
        <n v="2286.0100000000002" u="1"/>
        <n v="475.73" u="1"/>
        <n v="90.77" u="1"/>
        <n v="88.74" u="1"/>
        <n v="507.21749999999997" u="1"/>
        <n v="184.91" u="1"/>
        <n v="462.24" u="1"/>
        <n v="8323.2800000000007" u="1"/>
        <n v="412.08" u="1"/>
        <n v="450.33" u="1"/>
        <n v="563.36" u="1"/>
        <n v="541.99" u="1"/>
        <n v="1320.048" u="1"/>
        <n v="1188.1300000000001" u="1"/>
        <n v="536.48009999999999" u="1"/>
        <n v="528.51" u="1"/>
        <n v="705.82" u="1"/>
        <n v="15234.96" u="1"/>
        <n v="3746.4" u="1"/>
        <n v="3229.384" u="1"/>
        <n v="876.27" u="1"/>
        <n v="1287.75" u="1"/>
        <n v="585.02" u="1"/>
        <n v="292.08999999999997" u="1"/>
        <n v="755.4" u="1"/>
        <n v="4820.75" u="1"/>
        <n v="197.88" u="1"/>
        <n v="565.08000000000004" u="1"/>
        <n v="535.44000000000005" u="1"/>
        <n v="245.33" u="1"/>
        <n v="3763.08" u="1"/>
        <n v="4771.2299999999996" u="1"/>
        <n v="606.28" u="1"/>
        <n v="1405.8" u="1"/>
        <n v="856.06" u="1"/>
        <n v="1403" u="1"/>
        <n v="11178.32" u="1"/>
        <n v="996.51" u="1"/>
        <n v="1534.02" u="1"/>
        <n v="256.25" u="1"/>
        <n v="3985.77" u="1"/>
        <n v="259.99" u="1"/>
        <n v="62.9" u="1"/>
        <n v="326.94" u="1"/>
        <n v="316.92" u="1"/>
        <n v="235.89" u="1"/>
        <n v="202.23" u="1"/>
        <n v="658.76" u="1"/>
        <n v="1141.44" u="1"/>
        <n v="222.09" u="1"/>
        <n v="2114.91" u="1"/>
        <n v="20712.900000000001" u="1"/>
        <n v="538.85" u="1"/>
        <n v="1208.19" u="1"/>
        <n v="2829.73" u="1"/>
        <n v="590.30999999999995" u="1"/>
        <n v="1504.04" u="1"/>
        <n v="9.2799999999999994" u="1"/>
        <n v="905.4" u="1"/>
        <n v="1358.49" u="1"/>
        <n v="852.4" u="1"/>
        <n v="460.2" u="1"/>
        <n v="661.48" u="1"/>
        <n v="2272.06" u="1"/>
        <n v="3152.24" u="1"/>
        <n v="594.14" u="1"/>
        <n v="2009.08" u="1"/>
        <n v="1370.36" u="1"/>
        <n v="1271.51" u="1"/>
        <n v="526.04" u="1"/>
        <n v="489.19" u="1"/>
        <n v="1483.98" u="1"/>
        <n v="27888.9" u="1"/>
        <n v="2389.1172000000001" u="1"/>
        <n v="2892.18" u="1"/>
        <n v="423.35" u="1"/>
        <n v="6494.92" u="1"/>
        <n v="699.12" u="1"/>
        <n v="840.48" u="1"/>
        <n v="1745.73" u="1"/>
        <n v="937.68" u="1"/>
        <n v="20807.97" u="1"/>
        <n v="9106.27" u="1"/>
        <n v="28639" u="1"/>
        <n v="553.20000000000005" u="1"/>
        <n v="857.8673" u="1"/>
        <n v="838.81529999999998" u="1"/>
        <n v="1177.1600000000001" u="1"/>
        <n v="24049.73" u="1"/>
        <n v="35016.46" u="1"/>
        <n v="27682.17" u="1"/>
        <n v="967.82" u="1"/>
        <n v="19032.46" u="1"/>
        <n v="28975.91" u="1"/>
        <n v="16870" u="1"/>
        <n v="15386.76" u="1"/>
        <n v="2753.38" u="1"/>
        <n v="1395.05" u="1"/>
        <n v="1228.98" u="1"/>
        <n v="2596.85" u="1"/>
        <n v="4977.7299000000003" u="1"/>
        <n v="1778.5" u="1"/>
        <n v="357.75" u="1"/>
        <n v="960.12" u="1"/>
        <n v="1066.28" u="1"/>
        <n v="6642.24" u="1"/>
        <n v="9738.0499999999993" u="1"/>
        <n v="2622.8" u="1"/>
        <n v="2737.98" u="1"/>
        <n v="43183.58" u="1"/>
        <n v="1200.3599999999999" u="1"/>
        <n v="1942.07" u="1"/>
        <n v="21551.05" u="1"/>
        <n v="10589.09" u="1"/>
        <n v="8528.52" u="1"/>
        <n v="2594.34" u="1"/>
        <n v="16250.26" u="1"/>
        <n v="817.5" u="1"/>
        <n v="553.5" u="1"/>
        <n v="89.96" u="1"/>
        <n v="1149.1099999999999" u="1"/>
        <n v="404.71" u="1"/>
        <n v="1202.79" u="1"/>
        <n v="665" u="1"/>
        <n v="1886.04" u="1"/>
        <n v="1323.45" u="1"/>
        <n v="2480.38" u="1"/>
        <n v="478.87" u="1"/>
        <n v="2115.3000000000002" u="1"/>
        <n v="441.62" u="1"/>
        <n v="1720.69" u="1"/>
        <n v="2892.47" u="1"/>
        <n v="625.70000000000005" u="1"/>
        <n v="668" u="1"/>
        <n v="230.61" u="1"/>
        <n v="359.1" u="1"/>
        <n v="1092" u="1"/>
        <n v="11100.6" u="1"/>
        <n v="21219.79" u="1"/>
        <n v="740.53" u="1"/>
        <n v="4442.6970000000001" u="1"/>
        <n v="1268.01" u="1"/>
        <n v="870.2" u="1"/>
        <n v="1248.3" u="1"/>
        <n v="1439.1" u="1"/>
        <n v="2643.9" u="1"/>
        <n v="2150.4899999999998" u="1"/>
        <n v="6250" u="1"/>
        <n v="401.8" u="1"/>
        <n v="489.29" u="1"/>
        <n v="1556.1" u="1"/>
        <n v="258.55" u="1"/>
        <n v="232.63" u="1"/>
        <n v="1490.0001" u="1"/>
        <n v="4579.75" u="1"/>
        <n v="11175.32" u="1"/>
        <n v="446.21" u="1"/>
        <n v="828.29010000000005" u="1"/>
        <n v="493.9" u="1"/>
        <n v="110.34" u="1"/>
        <n v="109.2" u="1"/>
        <n v="1736.64" u="1"/>
        <n v="1179.9999" u="1"/>
        <n v="901.94" u="1"/>
        <n v="149.66" u="1"/>
        <n v="6000" u="1"/>
        <n v="5536" u="1"/>
        <n v="5000" u="1"/>
        <n v="5562" u="1"/>
        <n v="6526" u="1"/>
        <n v="26428.5" u="1"/>
        <n v="6120" u="1"/>
        <n v="7241" u="1"/>
        <n v="6418.5" u="1"/>
        <n v="293.94" u="1"/>
        <n v="355.87" u="1"/>
        <n v="1205.8400999999999" u="1"/>
        <n v="5793.6" u="1"/>
        <n v="518.03" u="1"/>
        <n v="1079.79" u="1"/>
        <n v="1566.42" u="1"/>
        <n v="2724.34" u="1"/>
        <n v="585.99" u="1"/>
        <n v="2454.19" u="1"/>
        <n v="1495.27" u="1"/>
        <n v="894.64" u="1"/>
        <n v="317.43" u="1"/>
        <n v="759.66790000000003" u="1"/>
        <n v="1115.95" u="1"/>
        <n v="521.07000000000005" u="1"/>
        <n v="9686.5300000000007" u="1"/>
        <n v="29203.72" u="1"/>
        <n v="856.9" u="1"/>
        <n v="1275.3800000000001" u="1"/>
        <n v="2516.2199999999998" u="1"/>
        <n v="660.69" u="1"/>
        <n v="561.47" u="1"/>
        <n v="563.26" u="1"/>
        <n v="1681.66" u="1"/>
        <n v="1647.02" u="1"/>
        <n v="2145.14" u="1"/>
        <n v="1112.57" u="1"/>
        <n v="5604.61" u="1"/>
        <n v="408.32" u="1"/>
        <n v="1505.91" u="1"/>
        <n v="792.6" u="1"/>
        <n v="337.32" u="1"/>
        <n v="160.19999999999999" u="1"/>
        <n v="415.68" u="1"/>
        <n v="387.76" u="1"/>
        <n v="39.57" u="1"/>
        <n v="207.85" u="1"/>
        <n v="601.96" u="1"/>
        <n v="555.38250000000005" u="1"/>
        <n v="325.14" u="1"/>
        <n v="538.89" u="1"/>
        <n v="817.6" u="1"/>
        <n v="5133.5" u="1"/>
        <n v="483.17" u="1"/>
        <n v="1034.6600000000001" u="1"/>
        <n v="295.45339999999999" u="1"/>
        <n v="434.2466" u="1"/>
        <n v="386.78" u="1"/>
        <n v="641.09" u="1"/>
        <n v="493.36" u="1"/>
        <n v="299.43" u="1"/>
        <n v="598.26" u="1"/>
        <n v="769.66" u="1"/>
        <n v="897.06" u="1"/>
        <n v="1377.5298" u="1"/>
        <n v="577.25009999999997" u="1"/>
        <n v="819.16650000000004" u="1"/>
        <n v="918.53020000000004" u="1"/>
        <n v="247.09" u="1"/>
        <n v="588.3999" u="1"/>
        <n v="1067.0899999999999" u="1"/>
        <n v="54.99" u="1"/>
        <n v="228.1" u="1"/>
        <n v="1327.7501999999999" u="1"/>
        <n v="616.51499999999999" u="1"/>
        <n v="104.33" u="1"/>
        <n v="203.28" u="1"/>
        <n v="3977.0990000000002" u="1"/>
        <n v="287.36660000000001" u="1"/>
        <n v="213.74" u="1"/>
        <n v="215.91499999999999" u="1"/>
        <n v="43.6" u="1"/>
        <n v="48.5" u="1"/>
        <n v="259.35000000000002" u="1"/>
        <n v="514.67250000000001" u="1"/>
        <n v="106.09" u="1"/>
        <n v="305.63" u="1"/>
        <n v="361.24" u="1"/>
        <n v="1860.21" u="1"/>
        <n v="916.89" u="1"/>
        <n v="422.49" u="1"/>
        <n v="819.75" u="1"/>
        <n v="1742.36" u="1"/>
        <n v="834.83010000000002" u="1"/>
        <n v="393.46" u="1"/>
        <n v="370.41" u="1"/>
        <n v="3548.07" u="1"/>
        <n v="486.01" u="1"/>
        <n v="695.11" u="1"/>
        <n v="1602.9" u="1"/>
        <n v="703.21" u="1"/>
        <n v="698.21" u="1"/>
        <n v="498.07" u="1"/>
        <n v="2007.75" u="1"/>
        <n v="4593.42" u="1"/>
        <n v="528.79999999999995" u="1"/>
        <n v="597.28" u="1"/>
        <n v="660.36" u="1"/>
        <n v="554.72" u="1"/>
        <n v="675.56" u="1"/>
        <n v="724.88" u="1"/>
        <n v="993.24" u="1"/>
        <n v="967.42" u="1"/>
        <n v="132.30000000000001" u="1"/>
        <n v="70.349999999999994" u="1"/>
        <n v="37673.620000000003" u="1"/>
        <n v="39891.870000000003" u="1"/>
        <n v="32690.78" u="1"/>
        <n v="12790.96" u="1"/>
        <n v="33028.36" u="1"/>
        <n v="27997.01" u="1"/>
        <n v="9948.5300000000007" u="1"/>
        <n v="24059.87" u="1"/>
        <n v="4213" u="1"/>
        <n v="366" u="1"/>
        <n v="1599" u="1"/>
        <n v="896.97" u="1"/>
        <n v="2069.9699999999998" u="1"/>
        <n v="930.62" u="1"/>
        <n v="1134.9000000000001" u="1"/>
        <n v="671.51" u="1"/>
        <n v="412.12" u="1"/>
        <n v="1082.3399999999999" u="1"/>
        <n v="3893.62" u="1"/>
        <n v="1873.62" u="1"/>
        <n v="1168.04" u="1"/>
        <n v="583.57000000000005" u="1"/>
        <n v="2104.9" u="1"/>
        <n v="590" u="1"/>
        <n v="891.59" u="1"/>
        <n v="996.49" u="1"/>
        <n v="446.73410000000001" u="1"/>
        <n v="468.23680000000002" u="1"/>
        <n v="284.79000000000002" u="1"/>
        <n v="454" u="1"/>
        <n v="297.31" u="1"/>
        <n v="211" u="1"/>
        <n v="782.01" u="1"/>
        <n v="4975" u="1"/>
        <n v="4940.1750000000002" u="1"/>
        <n v="2552" u="1"/>
        <n v="451.1" u="1"/>
        <n v="532.22" u="1"/>
        <n v="1351" u="1"/>
        <n v="951.88" u="1"/>
        <n v="228.14" u="1"/>
        <n v="141.81" u="1"/>
        <n v="5.95" u="1"/>
        <n v="346.97" u="1"/>
        <n v="2680.2" u="1"/>
        <n v="1007.1" u="1"/>
        <n v="660.03" u="1"/>
        <n v="129.96" u="1"/>
        <n v="1244.0999999999999" u="1"/>
        <n v="2086.56" u="1"/>
        <n v="927" u="1"/>
        <n v="909.36" u="1"/>
        <n v="196.16" u="1"/>
        <n v="8055.06" u="1"/>
        <n v="237.77" u="1"/>
        <n v="3996.54" u="1"/>
        <n v="1189.29" u="1"/>
        <n v="452.73" u="1"/>
        <n v="1067.3119999999999" u="1"/>
        <n v="275.17" u="1"/>
        <n v="549.70000000000005" u="1"/>
        <n v="404.21" u="1"/>
        <n v="741.94" u="1"/>
        <n v="648.21" u="1"/>
        <n v="350.5" u="1"/>
        <n v="724.5" u="1"/>
        <n v="7865" u="1"/>
        <n v="221.61" u="1"/>
        <n v="21663" u="1"/>
        <n v="12757.5" u="1"/>
        <n v="1188.96" u="1"/>
        <n v="2068" u="1"/>
        <n v="146.05000000000001" u="1"/>
        <n v="2632" u="1"/>
        <n v="910" u="1"/>
        <n v="940" u="1"/>
        <n v="4324" u="1"/>
        <n v="1249.74" u="1"/>
        <n v="2730.17" u="1"/>
        <n v="3780.92" u="1"/>
        <n v="1170.8800000000001" u="1"/>
        <n v="4640" u="1"/>
        <n v="230.4" u="1"/>
        <n v="3529.8049999999998" u="1"/>
        <n v="373" u="1"/>
        <n v="327.75" u="1"/>
        <n v="1348" u="1"/>
        <n v="796.4348" u="1"/>
        <n v="4885.1880000000001" u="1"/>
        <n v="3868.48" u="1"/>
        <n v="241.48" u="1"/>
        <n v="167.79" u="1"/>
        <n v="2419.4940000000001" u="1"/>
        <n v="586.02" u="1"/>
        <n v="1464.68" u="1"/>
        <n v="1335" u="1"/>
        <n v="4655.3940000000002" u="1"/>
        <n v="1044.576" u="1"/>
        <n v="557.09" u="1"/>
        <n v="13926.06" u="1"/>
        <n v="4591.9639999999999" u="1"/>
        <n v="11081.492" u="1"/>
        <n v="2357.4319999999998" u="1"/>
        <n v="239.75" u="1"/>
        <n v="317.39999999999998" u="1"/>
        <n v="771.05600000000004" u="1"/>
        <n v="374.06" u="1"/>
        <n v="226.4666" u="1"/>
        <n v="300.38" u="1"/>
        <n v="2775.1545000000001" u="1"/>
        <n v="1978" u="1"/>
        <n v="3072" u="1"/>
        <n v="214.69" u="1"/>
        <n v="3297.84" u="1"/>
        <n v="394.41" u="1"/>
        <n v="548.1" u="1"/>
        <n v="220.66" u="1"/>
        <n v="451.72" u="1"/>
        <n v="284.19" u="1"/>
        <n v="368.82" u="1"/>
        <n v="340.52" u="1"/>
        <n v="129.31" u="1"/>
        <n v="308.94" u="1"/>
        <n v="174.81" u="1"/>
        <n v="448.08" u="1"/>
        <n v="216.76" u="1"/>
        <n v="3099" u="1"/>
        <n v="1072.44" u="1"/>
        <n v="710.19359999999995" u="1"/>
        <n v="551.72" u="1"/>
        <n v="910.95" u="1"/>
        <n v="714.39" u="1"/>
        <n v="496.26" u="1"/>
        <n v="370.6" u="1"/>
        <n v="741.2" u="1"/>
        <n v="3841.9920000000002" u="1"/>
        <n v="504" u="1"/>
        <n v="3331.4250000000002" u="1"/>
        <n v="238.03" u="1"/>
        <n v="382.33" u="1"/>
        <n v="807.34" u="1"/>
        <n v="337.98" u="1"/>
        <n v="320.52" u="1"/>
        <n v="253.1" u="1"/>
        <n v="264.45" u="1"/>
        <n v="319.14" u="1"/>
        <n v="269.25" u="1"/>
        <n v="260.76" u="1"/>
        <n v="351.52" u="1"/>
        <n v="929.64" u="1"/>
        <n v="985.46" u="1"/>
        <n v="275.32" u="1"/>
        <n v="369.84660000000002" u="1"/>
        <n v="13785.92" u="1"/>
        <n v="2881.08" u="1"/>
        <n v="3326.8319999999999" u="1"/>
        <n v="7146.4103999999998" u="1"/>
        <n v="4243.1639999999998" u="1"/>
        <n v="8974.84" u="1"/>
        <n v="654" u="1"/>
        <n v="2070" u="1"/>
        <n v="639.03" u="1"/>
        <n v="12777.75" u="1"/>
        <n v="880.72" u="1"/>
        <n v="390.16" u="1"/>
        <n v="564.72" u="1"/>
        <n v="614.70000000000005" u="1"/>
        <n v="3190.7" u="1"/>
        <n v="993.81989999999996" u="1"/>
        <n v="401.18" u="1"/>
        <n v="711.67" u="1"/>
        <n v="352" u="1"/>
        <n v="372.56" u="1"/>
        <n v="232.18" u="1"/>
        <n v="434.13" u="1"/>
        <n v="530.30999999999995" u="1"/>
        <n v="324.64999999999998" u="1"/>
        <n v="605.79" u="1"/>
        <n v="212.33" u="1"/>
        <n v="855.05" u="1"/>
        <n v="477.33" u="1"/>
        <n v="1850.4205999999999" u="1"/>
        <n v="4164.4301999999998" u="1"/>
        <n v="203.38" u="1"/>
        <n v="573.8066" u="1"/>
        <n v="3243.92" u="1"/>
        <n v="1744.64" u="1"/>
        <n v="7593.95" u="1"/>
        <n v="188.74" u="1"/>
        <n v="842.66" u="1"/>
        <n v="226.5" u="1"/>
        <n v="1789.3848" u="1"/>
        <n v="20012.88" u="1"/>
        <n v="657.21" u="1"/>
        <n v="816.85" u="1"/>
        <n v="3623.76" u="1"/>
        <n v="1221.0999999999999" u="1"/>
        <n v="316.95" u="1"/>
        <n v="902.72" u="1"/>
        <n v="1327.08" u="1"/>
        <n v="2299.2600000000002" u="1"/>
        <n v="1662.57" u="1"/>
        <n v="183.25" u="1"/>
        <n v="1031.4000000000001" u="1"/>
        <n v="4357" u="1"/>
        <n v="581.04750000000001" u="1"/>
        <n v="686.69" u="1"/>
        <n v="3109.68" u="1"/>
        <n v="991.56" u="1"/>
        <n v="523.16999999999996" u="1"/>
        <n v="1122.04" u="1"/>
        <n v="301.75" u="1"/>
        <n v="1197.9000000000001" u="1"/>
        <n v="469.74" u="1"/>
        <n v="612.41" u="1"/>
        <n v="580.13" u="1"/>
        <n v="816.75" u="1"/>
        <n v="476.73" u="1"/>
        <n v="297.44" u="1"/>
        <n v="275.57" u="1"/>
        <n v="430.07" u="1"/>
        <n v="1064.04" u="1"/>
        <n v="742.98" u="1"/>
        <n v="975.2" u="1"/>
        <n v="403.8" u="1"/>
        <n v="800.62" u="1"/>
        <n v="545.79" u="1"/>
        <n v="403.17" u="1"/>
        <n v="694.98" u="1"/>
        <n v="1283.76" u="1"/>
        <n v="850.27" u="1"/>
        <n v="396.29" u="1"/>
        <n v="577.13" u="1"/>
        <n v="758.09" u="1"/>
        <n v="1803.17" u="1"/>
        <n v="1480.18" u="1"/>
        <n v="2965.92" u="1"/>
        <n v="858.12" u="1"/>
        <n v="559.20000000000005" u="1"/>
        <n v="2719.88" u="1"/>
        <n v="2943.8836000000001" u="1"/>
        <n v="712.04" u="1"/>
        <n v="638.32000000000005" u="1"/>
        <n v="605.64" u="1"/>
        <n v="457.35430000000002" u="1"/>
        <n v="2147.84" u="1"/>
        <n v="1901.44" u="1"/>
        <n v="490.88" u="1"/>
        <n v="23128.63" u="1"/>
        <n v="20001.18" u="1"/>
        <n v="15619.64" u="1"/>
        <n v="3250.21" u="1"/>
        <n v="239.36" u="1"/>
        <n v="440.07" u="1"/>
        <n v="1305.5899999999999" u="1"/>
        <n v="362.93" u="1"/>
        <n v="1705.88" u="1"/>
        <n v="1214.8800000000001" u="1"/>
        <n v="861.74" u="1"/>
        <n v="716.6" u="1"/>
        <n v="923.16" u="1"/>
        <n v="525.88" u="1"/>
        <n v="1098" u="1"/>
        <n v="3648.288" u="1"/>
        <n v="4421.12" u="1"/>
        <n v="943.5" u="1"/>
        <n v="4083.6" u="1"/>
        <n v="744.09" u="1"/>
        <n v="764.29" u="1"/>
        <n v="1315.79" u="1"/>
        <n v="2421.0500999999999" u="1"/>
        <n v="704.36009999999999" u="1"/>
        <n v="850.28" u="1"/>
        <n v="643.87" u="1"/>
        <n v="212" u="1"/>
        <n v="462.75" u="1"/>
        <n v="2054.8200000000002" u="1"/>
        <n v="601.71" u="1"/>
        <n v="2535" u="1"/>
        <n v="5398.96" u="1"/>
        <n v="909.02" u="1"/>
        <n v="331.99" u="1"/>
        <n v="324.91000000000003" u="1"/>
        <n v="332.04" u="1"/>
        <n v="265.2" u="1"/>
        <n v="1060" u="1"/>
        <n v="1237.5" u="1"/>
        <n v="11447.892599999999" u="1"/>
        <n v="9052.2104999999992" u="1"/>
        <n v="1285.6320000000001" u="1"/>
        <n v="267.06" u="1"/>
        <n v="1399.31" u="1"/>
        <n v="293.76" u="1"/>
        <n v="232.95" u="1"/>
        <n v="407.88" u="1"/>
        <n v="638.92999999999995" u="1"/>
        <n v="521.04999999999995" u="1"/>
        <n v="527.37" u="1"/>
        <n v="1111.0999999999999" u="1"/>
        <n v="2190.36" u="1"/>
        <n v="178.25" u="1"/>
        <n v="835.66079999999999" u="1"/>
        <n v="7192" u="1"/>
        <n v="422.6" u="1"/>
        <n v="574.08000000000004" u="1"/>
        <n v="1266.24" u="1"/>
        <n v="6687.52" u="1"/>
        <n v="196.18" u="1"/>
        <n v="2900" u="1"/>
        <n v="371.26" u="1"/>
        <n v="797.56" u="1"/>
        <n v="58.6" u="1"/>
        <n v="290.99" u="1"/>
        <n v="63.55" u="1"/>
        <n v="314.11" u="1"/>
        <n v="47.55" u="1"/>
        <n v="179.22" u="1"/>
        <n v="339.99" u="1"/>
        <n v="7164" u="1"/>
        <n v="53.6" u="1"/>
        <n v="248.27" u="1"/>
        <n v="189.91" u="1"/>
        <n v="106.01" u="1"/>
        <n v="128.66999999999999" u="1"/>
        <n v="46.01" u="1"/>
        <n v="74.61" u="1"/>
        <n v="71.400000000000006" u="1"/>
        <n v="67.099999999999994" u="1"/>
        <n v="91.15" u="1"/>
        <n v="127.82" u="1"/>
        <n v="98.12" u="1"/>
        <n v="292.88" u="1"/>
        <n v="139.41999999999999" u="1"/>
        <n v="46.18" u="1"/>
        <n v="62.34" u="1"/>
        <n v="105.57" u="1"/>
        <n v="229.99" u="1"/>
        <n v="190.53" u="1"/>
        <n v="277.23" u="1"/>
        <n v="190.47" u="1"/>
        <n v="46.1" u="1"/>
        <n v="130.99" u="1"/>
        <n v="143.56" u="1"/>
        <n v="256.58" u="1"/>
        <n v="203.84" u="1"/>
        <n v="111.32" u="1"/>
        <n v="164.2" u="1"/>
        <n v="41.06" u="1"/>
        <n v="109.9" u="1"/>
        <n v="106.35" u="1"/>
        <n v="139.91" u="1"/>
        <n v="198.65" u="1"/>
        <n v="83.61" u="1"/>
        <n v="90.82" u="1"/>
        <n v="160.15" u="1"/>
        <n v="152.9" u="1"/>
        <n v="130.07" u="1"/>
        <n v="72.77" u="1"/>
        <n v="88.19" u="1"/>
        <n v="2338" u="1"/>
        <n v="6393.39" u="1"/>
        <n v="909.84" u="1"/>
        <n v="403.92" u="1"/>
        <n v="71.599999999999994" u="1"/>
        <n v="68.599999999999994" u="1"/>
        <n v="98.51" u="1"/>
        <n v="77.11" u="1"/>
        <n v="86.62" u="1"/>
        <n v="69.53" u="1"/>
        <n v="110.97" u="1"/>
        <n v="467.2" u="1"/>
        <n v="58.39" u="1"/>
        <n v="169.08" u="1"/>
        <n v="1003.6" u="1"/>
        <n v="474.88" u="1"/>
        <n v="582.4" u="1"/>
        <n v="733.96" u="1"/>
        <n v="537.63990000000001" u="1"/>
        <n v="529.91999999999996" u="1"/>
        <n v="809.55" u="1"/>
        <n v="1307.46" u="1"/>
        <n v="4164.82" u="1"/>
        <n v="3375" u="1"/>
        <n v="312.89" u="1"/>
        <n v="580.16" u="1"/>
        <n v="531.17999999999995" u="1"/>
        <n v="239.09" u="1"/>
        <n v="1088.04" u="1"/>
        <n v="260.48" u="1"/>
        <n v="596.4" u="1"/>
        <n v="1001.13" u="1"/>
        <n v="444.4" u="1"/>
        <n v="996.45" u="1"/>
        <n v="291.02" u="1"/>
        <n v="2435.02" u="1"/>
        <n v="585.98" u="1"/>
        <n v="4760" u="1"/>
        <n v="711.18" u="1"/>
        <n v="607.65" u="1"/>
        <n v="1999.06" u="1"/>
        <n v="1131.4000000000001" u="1"/>
        <n v="1328.8299" u="1"/>
        <n v="596.09" u="1"/>
        <n v="354.32" u="1"/>
        <n v="999" u="1"/>
        <n v="296.10000000000002" u="1"/>
        <n v="269.32" u="1"/>
        <n v="888.94" u="1"/>
        <n v="252.09" u="1"/>
        <n v="315.64999999999998" u="1"/>
        <n v="47.6" u="1"/>
        <n v="877.02" u="1"/>
        <n v="959.3" u="1"/>
        <n v="338.45" u="1"/>
        <n v="522.09" u="1"/>
        <n v="1009.23" u="1"/>
        <n v="550.20000000000005" u="1"/>
        <n v="1064.22" u="1"/>
        <n v="199.5" u="1"/>
        <n v="193.34" u="1"/>
        <n v="6947.82" u="1"/>
        <n v="445.62" u="1"/>
        <n v="3090.9504999999999" u="1"/>
        <n v="2039.76" u="1"/>
        <n v="750.5" u="1"/>
        <n v="925.59" u="1"/>
        <n v="1336.33" u="1"/>
        <n v="1470.71" u="1"/>
        <n v="785.32" u="1"/>
        <n v="1768.84" u="1"/>
        <n v="434.9" u="1"/>
        <n v="1269.68" u="1"/>
        <n v="896.63" u="1"/>
        <n v="751.63" u="1"/>
        <n v="924.8" u="1"/>
        <n v="2199.87" u="1"/>
        <n v="2339.0500000000002" u="1"/>
        <n v="581.79999999999995" u="1"/>
        <n v="512.62" u="1"/>
        <n v="384.49" u="1"/>
        <n v="373.14" u="1"/>
        <n v="828.13" u="1"/>
        <n v="740.05" u="1"/>
        <n v="297.2" u="1"/>
        <n v="7898.6" u="1"/>
        <n v="905.76" u="1"/>
        <n v="407.28" u="1"/>
        <n v="384.48" u="1"/>
        <n v="677.08" u="1"/>
        <n v="1328.9" u="1"/>
        <n v="478.72" u="1"/>
        <n v="546.36" u="1"/>
        <n v="1928.37" u="1"/>
        <n v="1747.84" u="1"/>
        <n v="1665.9" u="1"/>
        <n v="772.08" u="1"/>
        <n v="920.9" u="1"/>
        <n v="2184.92" u="1"/>
        <n v="927.12" u="1"/>
        <n v="2398.48" u="1"/>
        <n v="1174.1199999999999" u="1"/>
        <n v="1208.32" u="1"/>
        <n v="744.72" u="1"/>
        <n v="539.52" u="1"/>
        <n v="392.84" u="1"/>
        <n v="994.9" u="1"/>
        <n v="2323.16" u="1"/>
        <n v="1135.28" u="1"/>
        <n v="2376.36" u="1"/>
        <n v="153.44" u="1"/>
        <n v="420.43" u="1"/>
        <n v="444.52" u="1"/>
        <n v="1735.76" u="1"/>
        <n v="1795.04" u="1"/>
        <n v="876.96" u="1"/>
        <n v="589.07000000000005" u="1"/>
        <n v="2030" u="1"/>
        <n v="1076.8900000000001" u="1"/>
        <n v="917.64" u="1"/>
        <n v="1168.8900000000001" u="1"/>
        <n v="708.32" u="1"/>
        <n v="961.52" u="1"/>
        <n v="825.46" u="1"/>
        <n v="713.57" u="1"/>
        <n v="576.39" u="1"/>
        <n v="2181.04" u="1"/>
        <n v="813.36" u="1"/>
        <n v="1542.64" u="1"/>
        <n v="1656.32" u="1"/>
        <n v="1884.62" u="1"/>
        <n v="1781.88" u="1"/>
        <n v="683.8" u="1"/>
        <n v="577.79999999999995" u="1"/>
        <n v="850.73" u="1"/>
        <n v="2491.08" u="1"/>
        <n v="1705.49" u="1"/>
        <n v="2168" u="1"/>
        <n v="541.5" u="1"/>
        <n v="706.76" u="1"/>
        <n v="444.42" u="1"/>
        <n v="778.89" u="1"/>
        <n v="646.9" u="1"/>
        <n v="3525.12" u="1"/>
        <n v="508" u="1"/>
        <n v="1662" u="1"/>
        <n v="1006.94" u="1"/>
        <n v="1959.675" u="1"/>
        <n v="5552.2" u="1"/>
        <n v="991.53" u="1"/>
        <n v="348.99" u="1"/>
        <n v="1066.1609000000001" u="1"/>
        <n v="470.13" u="1"/>
        <n v="581.95000000000005" u="1"/>
        <n v="528.4" u="1"/>
        <n v="805.46010000000001" u="1"/>
        <n v="1024.9713999999999" u="1"/>
        <n v="2460.3444" u="1"/>
        <n v="3780.4784" u="1"/>
        <n v="537.6558" u="1"/>
        <n v="638.44000000000005" u="1"/>
        <n v="157.19999999999999" u="1"/>
        <n v="327.1266" u="1"/>
        <n v="1177.0664999999999" u="1"/>
        <n v="1019.0898" u="1"/>
        <n v="2142" u="1"/>
        <n v="18900" u="1"/>
        <n v="13520" u="1"/>
        <n v="1889" u="1"/>
        <n v="1459.76" u="1"/>
        <n v="31.3" u="1"/>
        <n v="225.93" u="1"/>
        <n v="87.75" u="1"/>
        <n v="115.45" u="1"/>
        <n v="15312" u="1"/>
        <n v="17243.099999999999" u="1"/>
        <n v="77.42" u="1"/>
        <n v="142.16" u="1"/>
        <n v="173.42" u="1"/>
        <n v="77.819999999999993" u="1"/>
        <n v="100.25" u="1"/>
        <n v="57.04" u="1"/>
        <n v="90.22" u="1"/>
        <n v="98.46" u="1"/>
        <n v="391.28" u="1"/>
        <n v="432.06" u="1"/>
        <n v="1190.6199999999999" u="1"/>
        <n v="197.51499999999999" u="1"/>
        <n v="297.09339999999997" u="1"/>
        <n v="280.33339999999998" u="1"/>
        <n v="103.14" u="1"/>
        <n v="109" u="1"/>
        <n v="300.09500000000003" u="1"/>
        <n v="289.89999999999998" u="1"/>
        <n v="295.31" u="1"/>
        <n v="392.26659999999998" u="1"/>
        <n v="1005.94" u="1"/>
        <n v="727.44150000000002" u="1"/>
        <n v="469.38990000000001" u="1"/>
        <n v="436.46010000000001" u="1"/>
        <n v="932.79970000000003" u="1"/>
        <n v="590.10400000000004" u="1"/>
        <n v="242.88" u="1"/>
        <n v="313.39999999999998" u="1"/>
        <n v="1214.77" u="1"/>
        <n v="872.9298" u="1"/>
        <n v="586.67999999999995" u="1"/>
        <n v="2917.98" u="1"/>
        <n v="349.03" u="1"/>
        <n v="656.51199999999994" u="1"/>
        <n v="411.99990000000003" u="1"/>
        <n v="433.77" u="1"/>
        <n v="270.995" u="1"/>
        <n v="171.31" u="1"/>
        <n v="496" u="1"/>
        <n v="616" u="1"/>
        <n v="186.22" u="1"/>
        <n v="499.005" u="1"/>
        <n v="615.15" u="1"/>
        <n v="493.08" u="1"/>
        <n v="3530.13" u="1"/>
        <n v="728.76" u="1"/>
        <n v="486.48" u="1"/>
        <n v="3295.89" u="1"/>
        <n v="1344.65" u="1"/>
        <n v="788.5" u="1"/>
        <n v="116.28" u="1"/>
        <n v="266.77" u="1"/>
        <n v="320.43" u="1"/>
        <n v="957.58" u="1"/>
        <n v="1061.83" u="1"/>
        <n v="1072.19" u="1"/>
        <n v="325.23" u="1"/>
        <n v="688.8" u="1"/>
        <n v="7626.06" u="1"/>
        <n v="670.16" u="1"/>
        <n v="175.9" u="1"/>
        <n v="1420.9" u="1"/>
        <n v="913.36" u="1"/>
        <n v="634.6" u="1"/>
        <n v="206.08" u="1"/>
        <n v="523.4" u="1"/>
        <n v="293.48" u="1"/>
        <n v="6510.91" u="1"/>
        <n v="116.97" u="1"/>
        <n v="744" u="1"/>
        <n v="2400" u="1"/>
        <n v="1893.27" u="1"/>
        <n v="447.72" u="1"/>
        <n v="227.96" u="1"/>
        <n v="204.96" u="1"/>
        <n v="248.57" u="1"/>
        <n v="485.39010000000002" u="1"/>
        <n v="215.21" u="1"/>
        <n v="514.14" u="1"/>
        <n v="799.46" u="1"/>
        <n v="3609.6" u="1"/>
        <n v="1795.41" u="1"/>
        <n v="3196.05" u="1"/>
        <n v="6220.78" u="1"/>
        <n v="702" u="1"/>
        <n v="321.75" u="1"/>
        <n v="409.5" u="1"/>
        <n v="251.1" u="1"/>
        <n v="1601.88" u="1"/>
        <n v="6509.31" u="1"/>
        <n v="19793.2" u="1"/>
        <n v="2947.04" u="1"/>
        <n v="3603.64" u="1"/>
        <n v="3365.96" u="1"/>
        <n v="467.88" u="1"/>
        <n v="221.31" u="1"/>
        <n v="1197" u="1"/>
        <n v="283.2" u="1"/>
        <n v="819.21" u="1"/>
        <n v="4458.08" u="1"/>
        <n v="281.45999999999998" u="1"/>
        <n v="688.16" u="1"/>
        <n v="1284.1199999999999" u="1"/>
        <n v="518" u="1"/>
        <n v="2970" u="1"/>
        <n v="266" u="1"/>
        <n v="362" u="1"/>
        <n v="526.30999999999995" u="1"/>
        <n v="551.71" u="1"/>
        <n v="248" u="1"/>
        <n v="193.99" u="1"/>
        <n v="387.98" u="1"/>
        <n v="2428.1999999999998" u="1"/>
        <n v="2328.48" u="1"/>
        <n v="3003.06" u="1"/>
        <n v="434.15" u="1"/>
        <n v="652.79999999999995" u="1"/>
        <n v="2288.16" u="1"/>
        <n v="794.01" u="1"/>
        <n v="606.9" u="1"/>
        <n v="364.49" u="1"/>
        <n v="245.52" u="1"/>
        <n v="345" u="1"/>
        <n v="1043.1199999999999" u="1"/>
        <n v="173.25" u="1"/>
        <n v="302.05" u="1"/>
        <n v="850.5" u="1"/>
        <n v="796.5" u="1"/>
        <n v="4212.6000000000004" u="1"/>
        <n v="4102.28" u="1"/>
        <n v="206.04" u="1"/>
        <n v="906.78" u="1"/>
        <n v="316.58" u="1"/>
        <n v="1768" u="1"/>
        <n v="999.27359999999999" u="1"/>
        <n v="621.72" u="1"/>
        <n v="648.72" u="1"/>
        <n v="7335" u="1"/>
        <n v="1987.16" u="1"/>
        <n v="495.4" u="1"/>
        <n v="194.97" u="1"/>
        <n v="787.2" u="1"/>
        <n v="326.46660000000003" u="1"/>
        <n v="459.79500000000002" u="1"/>
        <n v="269.52" u="1"/>
        <n v="704.22" u="1"/>
        <n v="695.24" u="1"/>
        <n v="339.27339999999998" u="1"/>
        <n v="511.2" u="1"/>
        <n v="268.45999999999998" u="1"/>
        <n v="1796.5" u="1"/>
        <n v="2472" u="1"/>
        <n v="3229.65" u="1"/>
        <n v="628.09" u="1"/>
        <n v="1082.5" u="1"/>
        <n v="1964.78" u="1"/>
        <n v="4941.93" u="1"/>
        <n v="1087.8699999999999" u="1"/>
        <n v="984.76980000000003" u="1"/>
        <n v="1652.7" u="1"/>
        <n v="502.44" u="1"/>
        <n v="230.63" u="1"/>
        <n v="398.48" u="1"/>
        <n v="2634" u="1"/>
        <n v="3512" u="1"/>
        <n v="2606.04" u="1"/>
        <n v="1886.97" u="1"/>
        <n v="633.28" u="1"/>
        <n v="770.7" u="1"/>
        <n v="3946.05" u="1"/>
        <n v="745.07" u="1"/>
        <n v="2450.16" u="1"/>
        <n v="2098.9" u="1"/>
        <n v="9747.0300000000007" u="1"/>
        <n v="24951.17" u="1"/>
        <n v="601.08000000000004" u="1"/>
        <n v="737.12" u="1"/>
        <n v="1452.96" u="1"/>
        <n v="481" u="1"/>
        <n v="281.12" u="1"/>
        <n v="725.72" u="1"/>
        <n v="1355.76" u="1"/>
        <n v="537.24" u="1"/>
        <n v="3230.68" u="1"/>
        <n v="973.48" u="1"/>
        <n v="376.88" u="1"/>
        <n v="968.16" u="1"/>
        <n v="2050.16" u="1"/>
        <n v="547.44000000000005" u="1"/>
        <n v="2611.1999999999998" u="1"/>
        <n v="1103.44" u="1"/>
        <n v="2066.7800000000002" u="1"/>
        <n v="1431.76" u="1"/>
        <n v="1862.6" u="1"/>
        <n v="911.92" u="1"/>
        <n v="841.24" u="1"/>
        <n v="1808.64" u="1"/>
        <n v="3033.18" u="1"/>
        <n v="5366.05" u="1"/>
        <n v="773.75" u="1"/>
        <n v="3371.22" u="1"/>
        <n v="121.5" u="1"/>
        <n v="1064.8399999999999" u="1"/>
        <n v="981.8" u="1"/>
        <n v="543.79999999999995" u="1"/>
        <n v="3314.91" u="1"/>
        <n v="851" u="1"/>
        <n v="1431" u="1"/>
        <n v="1139.42" u="1"/>
        <n v="2203.2600000000002" u="1"/>
        <n v="1194.92" u="1"/>
        <n v="361.54" u="1"/>
        <n v="1442.13" u="1"/>
        <n v="4039.63" u="1"/>
        <n v="363.87" u="1"/>
        <n v="3184.65" u="1"/>
        <n v="75.58" u="1"/>
        <n v="949.53599999999994" u="1"/>
        <n v="25473.26" u="1"/>
        <n v="603" u="1"/>
        <n v="1555.14" u="1"/>
        <n v="4543.1256000000003" u="1"/>
        <n v="575" u="1"/>
        <n v="1902.4304999999999" u="1"/>
        <n v="3265.34" u="1"/>
        <n v="7750.12" u="1"/>
        <n v="6095.6" u="1"/>
        <n v="143.18" u="1"/>
        <n v="188.33" u="1"/>
        <n v="1330.89" u="1"/>
        <n v="533.12" u="1"/>
        <n v="283.18" u="1"/>
        <n v="1344.2" u="1"/>
        <n v="1465.8266000000001" u="1"/>
        <n v="1591.48" u="1"/>
        <n v="3696" u="1"/>
        <n v="121.38" u="1"/>
        <n v="107.04" u="1"/>
        <n v="4308" u="1"/>
        <n v="6287.4" u="1"/>
        <n v="2938.1" u="1"/>
        <n v="237.4" u="1"/>
        <n v="560.28" u="1"/>
        <n v="594.27" u="1"/>
        <n v="426.90989999999999" u="1"/>
        <n v="172.58" u="1"/>
        <n v="809.04" u="1"/>
        <n v="374.66" u="1"/>
        <n v="11779.194" u="1"/>
        <n v="581.952" u="1"/>
        <n v="602.16" u="1"/>
        <n v="515.96010000000001" u="1"/>
        <n v="367.57" u="1"/>
        <n v="189.70500000000001" u="1"/>
        <n v="3979.8" u="1"/>
        <n v="260.58999999999997" u="1"/>
        <n v="283.36" u="1"/>
        <n v="761.7" u="1"/>
        <n v="1064" u="1"/>
        <n v="1102.5" u="1"/>
        <n v="1400.8" u="1"/>
        <n v="383.78" u="1"/>
        <n v="274.08999999999997" u="1"/>
        <n v="292.94" u="1"/>
        <n v="588" u="1"/>
        <n v="283.14" u="1"/>
        <n v="198.9" u="1"/>
        <n v="234.6" u="1"/>
        <n v="521.17999999999995" u="1"/>
        <n v="696.62" u="1"/>
        <n v="687" u="1"/>
        <n v="9161.25" u="1"/>
        <n v="6284.4" u="1"/>
        <n v="2446" u="1"/>
        <n v="752.27009999999996" u="1"/>
        <n v="1259.9297999999999" u="1"/>
        <n v="850.91" u="1"/>
        <n v="808.48" u="1"/>
        <n v="150.83500000000001" u="1"/>
        <n v="484.35" u="1"/>
        <n v="231.57" u="1"/>
        <n v="258.45999999999998" u="1"/>
        <n v="760.43" u="1"/>
        <n v="616.71" u="1"/>
        <n v="584.17999999999995" u="1"/>
        <n v="1465.32" u="1"/>
        <n v="474.24" u="1"/>
        <n v="488.02" u="1"/>
        <n v="434.43" u="1"/>
        <n v="595.55999999999995" u="1"/>
        <n v="5118.42" u="1"/>
        <n v="231.7" u="1"/>
        <n v="734.03" u="1"/>
        <n v="318.44" u="1"/>
        <n v="317.61" u="1"/>
        <n v="451.75" u="1"/>
        <n v="697.23" u="1"/>
        <n v="1697.76" u="1"/>
        <n v="1491.8" u="1"/>
        <n v="754.56" u="1"/>
        <n v="202.4" u="1"/>
        <n v="1382.1" u="1"/>
        <n v="1716.22" u="1"/>
        <n v="983.28" u="1"/>
        <n v="704.57" u="1"/>
        <n v="2340.88" u="1"/>
        <n v="4148.83" u="1"/>
        <n v="4039.26" u="1"/>
        <n v="875.23990000000003" u="1"/>
        <n v="1468.37" u="1"/>
        <n v="508.36" u="1"/>
        <n v="1334.48" u="1"/>
        <n v="866.32" u="1"/>
        <n v="33357.07" u="1"/>
        <n v="634.29" u="1"/>
        <n v="851.12" u="1"/>
        <n v="864.8" u="1"/>
        <n v="499.24" u="1"/>
        <n v="409.56" u="1"/>
        <n v="604.12" u="1"/>
        <n v="1655.88" u="1"/>
        <n v="2389.2800000000002" u="1"/>
        <n v="1533.6" u="1"/>
        <n v="1275.3900000000001" u="1"/>
        <n v="1899.16" u="1"/>
        <n v="991.86" u="1"/>
        <n v="606.4" u="1"/>
        <n v="1139.92" u="1"/>
        <n v="23539.31" u="1"/>
        <n v="1106.83" u="1"/>
        <n v="24191.47" u="1"/>
        <n v="3279" u="1"/>
        <n v="2316.59" u="1"/>
        <n v="767.36" u="1"/>
        <n v="3423.42" u="1"/>
        <n v="1903.96" u="1"/>
        <n v="1433.28" u="1"/>
        <n v="1645.79" u="1"/>
        <n v="1167.76" u="1"/>
        <n v="719.82" u="1"/>
        <n v="5851.12" u="1"/>
        <n v="1460" u="1"/>
        <n v="3866.94" u="1"/>
        <n v="2602.797" u="1"/>
        <n v="848" u="1"/>
        <n v="87.73" u="1"/>
        <n v="95.41" u="1"/>
        <n v="295.97000000000003" u="1"/>
        <n v="676.46" u="1"/>
        <n v="2152.02" u="1"/>
        <n v="1762" u="1"/>
        <n v="6233.35" u="1"/>
        <n v="301.77" u="1"/>
        <n v="1914.54" u="1"/>
        <n v="628.74" u="1"/>
        <n v="783.99" u="1"/>
        <n v="1538.25" u="1"/>
        <n v="720.72" u="1"/>
        <n v="360.36" u="1"/>
        <n v="635.66" u="1"/>
        <n v="1079.04" u="1"/>
        <n v="8206.23" u="1"/>
        <n v="8206.25" u="1"/>
        <n v="4534.42" u="1"/>
        <n v="1210.25" u="1"/>
        <n v="932.4" u="1"/>
        <n v="525.34" u="1"/>
        <n v="1297.1668" u="1"/>
        <n v="452.12" u="1"/>
        <n v="2864.23" u="1"/>
        <n v="942.35" u="1"/>
        <n v="5549.18" u="1"/>
        <n v="193.84" u="1"/>
        <n v="1136.74" u="1"/>
        <n v="764.98" u="1"/>
        <n v="1424.72" u="1"/>
        <n v="2112.5100000000002" u="1"/>
        <n v="690.48" u="1"/>
        <n v="535.99" u="1"/>
        <n v="611.58000000000004" u="1"/>
        <n v="238.95" u="1"/>
        <n v="531.58000000000004" u="1"/>
        <n v="1227.27" u="1"/>
        <n v="1032" u="1"/>
        <n v="1125" u="1"/>
        <n v="331.8" u="1"/>
        <n v="804.15" u="1"/>
        <n v="3377.7" u="1"/>
        <n v="4153.9709999999995" u="1"/>
        <n v="1027.4299000000001" u="1"/>
        <n v="455.11" u="1"/>
        <n v="330.53" u="1"/>
        <n v="755.79" u="1"/>
        <n v="396.84" u="1"/>
        <n v="401.81" u="1"/>
        <n v="616.04" u="1"/>
        <n v="323.16000000000003" u="1"/>
        <n v="413.68" u="1"/>
        <n v="1623.16" u="1"/>
        <n v="1417.86" u="1"/>
        <n v="590.53" u="1"/>
        <n v="282.11" u="1"/>
        <n v="400.52" u="1"/>
        <n v="109.58" u="1"/>
        <n v="1162.6289999999999" u="1"/>
        <n v="697.75" u="1"/>
        <n v="48.41" u="1"/>
        <n v="53.65" u="1"/>
        <n v="190.11" u="1"/>
        <n v="220.08" u="1"/>
        <n v="201.33" u="1"/>
        <n v="1456.0898999999999" u="1"/>
        <n v="761.12" u="1"/>
        <n v="444.18" u="1"/>
        <n v="638.24" u="1"/>
        <n v="2157.1401999999998" u="1"/>
        <n v="2241.65" u="1"/>
        <n v="2621.76" u="1"/>
        <n v="908.28" u="1"/>
        <n v="557.08000000000004" u="1"/>
        <n v="201.41" u="1"/>
        <n v="175.14" u="1"/>
        <n v="202.67" u="1"/>
        <n v="214.08" u="1"/>
        <n v="2131.8000000000002" u="1"/>
        <n v="3279.6" u="1"/>
        <n v="1024.2999" u="1"/>
        <n v="399.55" u="1"/>
        <n v="687.75" u="1"/>
        <n v="2244.4602" u="1"/>
        <n v="249.56" u="1"/>
        <n v="5444.66" u="1"/>
        <n v="4815.8999999999996" u="1"/>
        <n v="2915.82" u="1"/>
        <n v="2320.02" u="1"/>
        <n v="2210.92" u="1"/>
        <n v="2999.71" u="1"/>
        <n v="1206.72" u="1"/>
        <n v="763.88" u="1"/>
        <n v="694.17" u="1"/>
        <n v="617.79999999999995" u="1"/>
        <n v="1747.66" u="1"/>
        <n v="1190.99" u="1"/>
        <n v="1537.3" u="1"/>
        <n v="565.20000000000005" u="1"/>
        <n v="827.14" u="1"/>
        <n v="599.19000000000005" u="1"/>
        <n v="192.45" u="1"/>
        <n v="522.12" u="1"/>
        <n v="739.85" u="1"/>
        <n v="607.72" u="1"/>
        <n v="234.71" u="1"/>
        <n v="434.52" u="1"/>
        <n v="706.24" u="1"/>
        <n v="705.59" u="1"/>
        <n v="1069.06" u="1"/>
        <n v="726.68" u="1"/>
        <n v="1025.52" u="1"/>
        <n v="842.02" u="1"/>
        <n v="1769.6" u="1"/>
        <n v="2208.44" u="1"/>
        <n v="559.4" u="1"/>
        <n v="443.76" u="1"/>
        <n v="765.42" u="1"/>
        <n v="537.91999999999996" u="1"/>
        <n v="446.71" u="1"/>
        <n v="487.24" u="1"/>
        <n v="295.08999999999997" u="1"/>
        <n v="507.33" u="1"/>
        <n v="271.16000000000003" u="1"/>
        <n v="1727.87" u="1"/>
        <n v="2069.4299999999998" u="1"/>
        <n v="28188" u="1"/>
        <n v="718.25" u="1"/>
        <n v="815.71" u="1"/>
        <n v="2189.4" u="1"/>
        <n v="215.76" u="1"/>
        <n v="504.5" u="1"/>
        <n v="1506.39" u="1"/>
        <n v="1406.39" u="1"/>
        <n v="593.48" u="1"/>
        <n v="357.12" u="1"/>
        <n v="379.92" u="1"/>
        <n v="221.54" u="1"/>
        <n v="1860.48" u="1"/>
        <n v="443.9" u="1"/>
        <n v="1825" u="1"/>
        <n v="43443.06" u="1"/>
        <n v="3942.77" u="1"/>
        <n v="1602" u="1"/>
        <n v="1357.64" u="1"/>
        <n v="877.21" u="1"/>
        <n v="765.19" u="1"/>
        <n v="1637.55" u="1"/>
        <n v="931.15" u="1"/>
        <n v="1360.5" u="1"/>
        <n v="1009.31" u="1"/>
        <n v="832.12" u="1"/>
        <n v="1062.4000000000001" u="1"/>
        <n v="838.96" u="1"/>
        <n v="623.73" u="1"/>
        <n v="964.36" u="1"/>
        <n v="1548.72" u="1"/>
        <n v="505.32" u="1"/>
        <n v="1997.2" u="1"/>
        <n v="2528.44" u="1"/>
        <n v="1967.5" u="1"/>
        <n v="4606.96" u="1"/>
        <n v="2106.64" u="1"/>
        <n v="646.67999999999995" u="1"/>
        <n v="1829.16" u="1"/>
        <n v="367.76" u="1"/>
        <n v="44452.66" u="1"/>
        <n v="16069.6" u="1"/>
        <n v="1982.68" u="1"/>
        <n v="391.12" u="1"/>
        <n v="634.54999999999995" u="1"/>
        <n v="3166.46" u="1"/>
        <n v="4020.11" u="1"/>
        <n v="1490.78" u="1"/>
        <n v="1908.88" u="1"/>
        <n v="1597.02" u="1"/>
        <n v="1579.15" u="1"/>
        <n v="227.29" u="1"/>
        <n v="2354.06" u="1"/>
        <n v="223.43" u="1"/>
        <n v="192.62" u="1"/>
        <n v="648.32000000000005" u="1"/>
        <n v="537.19000000000005" u="1"/>
        <n v="275.18" u="1"/>
        <n v="1402.9" u="1"/>
        <n v="1398.5" u="1"/>
        <n v="1764" u="1"/>
        <n v="163.35" u="1"/>
        <n v="14051.556" u="1"/>
        <n v="76.94" u="1"/>
        <n v="851.2" u="1"/>
        <n v="927.2" u="1"/>
        <n v="2650" u="1"/>
        <n v="811.16039999999998" u="1"/>
        <n v="506.6499" u="1"/>
        <n v="710.75" u="1"/>
        <n v="300.41000000000003" u="1"/>
        <n v="1052.4665" u="1"/>
        <n v="1289.46" u="1"/>
        <n v="1119.3599999999999" u="1"/>
        <n v="276.70659999999998" u="1"/>
        <n v="1135" u="1"/>
        <n v="173.18" u="1"/>
        <n v="359" u="1"/>
        <n v="861.87" u="1"/>
        <n v="1299.07" u="1"/>
        <n v="262.57339999999999" u="1"/>
        <n v="2126.23" u="1"/>
        <n v="397.5" u="1"/>
        <n v="791.8" u="1"/>
        <n v="924.56" u="1"/>
        <n v="320.02999999999997" u="1"/>
        <n v="583.69000000000005" u="1"/>
        <n v="942.3" u="1"/>
        <n v="730.04" u="1"/>
        <n v="385.42" u="1"/>
        <n v="577.98749999999995" u="1"/>
        <n v="449.47340000000003" u="1"/>
        <n v="174.685" u="1"/>
        <n v="411.18" u="1"/>
        <n v="514.29" u="1"/>
        <n v="626.91" u="1"/>
        <n v="821.4" u="1"/>
        <n v="505.84500000000003" u="1"/>
        <n v="152.315" u="1"/>
        <n v="627.02" u="1"/>
        <n v="505.8501" u="1"/>
        <n v="1267.93" u="1"/>
        <n v="202.88499999999999" u="1"/>
        <n v="167.9" u="1"/>
        <n v="168.42" u="1"/>
        <n v="1767.2049999999999" u="1"/>
        <n v="227.54" u="1"/>
        <n v="592.16" u="1"/>
        <n v="1085.6097" u="1"/>
        <n v="1692.58" u="1"/>
        <n v="737.83" u="1"/>
        <n v="722.11199999999997" u="1"/>
        <n v="579.99990000000003" u="1"/>
        <n v="253.54" u="1"/>
        <n v="338.47" u="1"/>
        <n v="539.23500000000001" u="1"/>
        <n v="388.52659999999997" u="1"/>
        <n v="801.29" u="1"/>
        <n v="732.63" u="1"/>
        <n v="507.84" u="1"/>
        <n v="578.36009999999999" u="1"/>
        <n v="592.16010000000006" u="1"/>
        <n v="1235.45" u="1"/>
        <n v="1700.7" u="1"/>
        <n v="576.94000000000005" u="1"/>
        <n v="734.8" u="1"/>
        <n v="265.33" u="1"/>
        <n v="1491.81" u="1"/>
        <n v="2178.16" u="1"/>
        <n v="1826.95" u="1"/>
        <n v="2508.02" u="1"/>
        <n v="2012.28" u="1"/>
        <n v="302.58999999999997" u="1"/>
        <n v="3045.78" u="1"/>
        <n v="2179.66" u="1"/>
        <n v="589.24" u="1"/>
        <n v="286.64999999999998" u="1"/>
        <n v="1717.76" u="1"/>
        <n v="708.49" u="1"/>
        <n v="1649.78" u="1"/>
        <n v="3805.38" u="1"/>
        <n v="2133.8000000000002" u="1"/>
        <n v="2585.09" u="1"/>
        <n v="2545.66" u="1"/>
        <n v="1611.12" u="1"/>
        <n v="1594.13" u="1"/>
        <n v="1203.8800000000001" u="1"/>
        <n v="495.19" u="1"/>
        <n v="1384.35" u="1"/>
        <n v="869.68" u="1"/>
        <n v="547.61" u="1"/>
        <n v="413.51" u="1"/>
        <n v="2517.02" u="1"/>
        <n v="1062.07" u="1"/>
        <n v="2277.9899999999998" u="1"/>
        <n v="2073.2600000000002" u="1"/>
        <n v="573.21" u="1"/>
        <n v="2832.7" u="1"/>
        <n v="944.86" u="1"/>
        <n v="329.91" u="1"/>
        <n v="409.99" u="1"/>
        <n v="2724.6" u="1"/>
        <n v="1949.44" u="1"/>
        <n v="950.18" u="1"/>
        <n v="4904.55" u="1"/>
        <n v="2673.6" u="1"/>
        <n v="719.64" u="1"/>
        <n v="1983.44" u="1"/>
        <n v="2278.4" u="1"/>
        <n v="2212.81" u="1"/>
        <n v="8088.35" u="1"/>
        <n v="829.5" u="1"/>
        <n v="374.96" u="1"/>
        <n v="578.24" u="1"/>
        <n v="2653.6415999999999" u="1"/>
        <n v="2983.03" u="1"/>
        <n v="1033.52" u="1"/>
        <n v="1730.44" u="1"/>
        <n v="275.02999999999997" u="1"/>
        <n v="4866.55" u="1"/>
        <n v="1818.13" u="1"/>
        <n v="1450.96" u="1"/>
        <n v="569.16" u="1"/>
        <n v="378.86" u="1"/>
        <n v="2200.88" u="1"/>
        <n v="282.64" u="1"/>
        <n v="2222.16" u="1"/>
        <n v="1139.8" u="1"/>
        <n v="276.14" u="1"/>
        <n v="2091.58" u="1"/>
        <n v="2103.1999999999998" u="1"/>
        <n v="1076.94" u="1"/>
        <n v="1706.14" u="1"/>
        <n v="1404.21" u="1"/>
        <n v="1341.03" u="1"/>
        <n v="985.8" u="1"/>
        <n v="12862.79" u="1"/>
        <n v="11460.13" u="1"/>
        <n v="293" u="1"/>
        <n v="322.3" u="1"/>
        <n v="359.37" u="1"/>
        <n v="1158.68" u="1"/>
        <n v="523.79999999999995" u="1"/>
        <n v="572" u="1"/>
        <n v="305.10000000000002" u="1"/>
        <n v="1305" u="1"/>
        <n v="194.44" u="1"/>
        <n v="714.8" u="1"/>
        <n v="619.20000000000005" u="1"/>
        <n v="586" u="1"/>
        <n v="224.47" u="1"/>
        <n v="778" u="1"/>
        <n v="274.3" u="1"/>
        <n v="594" u="1"/>
        <n v="302.39999999999998" u="1"/>
        <n v="228.9" u="1"/>
        <n v="1099.79" u="1"/>
        <n v="1225.71" u="1"/>
        <n v="514.89" u="1"/>
        <n v="1128.1600000000001" u="1"/>
        <n v="1039.78" u="1"/>
        <n v="460.9" u="1"/>
        <n v="530.03" u="1"/>
        <n v="1035.1199999999999" u="1"/>
        <n v="2155.6" u="1"/>
        <n v="1430.54" u="1"/>
        <n v="424.6" u="1"/>
        <n v="372.2" u="1"/>
        <n v="607.9" u="1"/>
        <n v="2054.02" u="1"/>
        <n v="1449.68" u="1"/>
        <n v="335.69" u="1"/>
        <n v="226" u="1"/>
        <n v="1242" u="1"/>
        <n v="696" u="1"/>
        <n v="265" u="1"/>
        <n v="374.22" u="1"/>
        <n v="658" u="1"/>
        <n v="236.5" u="1"/>
        <n v="5359" u="1"/>
        <n v="260.10000000000002" u="1"/>
        <n v="276" u="1"/>
        <n v="1000" u="1"/>
        <n v="1004.01" u="1"/>
        <n v="598.5" u="1"/>
        <n v="326" u="1"/>
        <n v="729" u="1"/>
        <n v="294" u="1"/>
        <n v="1356" u="1"/>
        <n v="629.28" u="1"/>
        <n v="729.98" u="1"/>
        <n v="735" u="1"/>
        <n v="687.5" u="1"/>
        <n v="407" u="1"/>
        <n v="270.25" u="1"/>
        <n v="464" u="1"/>
        <n v="1385.01" u="1"/>
        <n v="182" u="1"/>
        <n v="129" u="1"/>
        <n v="1040.25" u="1"/>
        <n v="495.36" u="1"/>
        <n v="225.9" u="1"/>
        <n v="318.39999999999998" u="1"/>
        <n v="406.77" u="1"/>
        <n v="1222.28" u="1"/>
        <n v="1326.98" u="1"/>
        <n v="318.89999999999998" u="1"/>
        <n v="505.28" u="1"/>
        <n v="1084.24" u="1"/>
        <n v="1887.24" u="1"/>
        <n v="6066.85" u="1"/>
        <n v="3490.85" u="1"/>
        <n v="5024.7003000000004" u="1"/>
        <n v="47.8" u="1"/>
        <n v="50.3" u="1"/>
        <n v="786.12" u="1"/>
        <n v="1120.44" u="1"/>
        <n v="1443.9" u="1"/>
        <n v="833.4" u="1"/>
        <n v="4548.0357000000004" u="1"/>
        <n v="190.92500000000001" u="1"/>
        <n v="1047.3296" u="1"/>
        <n v="847.21" u="1"/>
        <n v="6580.63" u="1"/>
        <n v="5358.67" u="1"/>
        <n v="759.23" u="1"/>
        <n v="777.06" u="1"/>
        <n v="676.5" u="1"/>
        <n v="3743.6" u="1"/>
        <n v="2008.37" u="1"/>
        <n v="1128.42" u="1"/>
        <n v="5269.0176000000001" u="1"/>
        <n v="2389.5920000000001" u="1"/>
        <n v="2750.7926000000002" u="1"/>
        <n v="569.51499999999999" u="1"/>
        <n v="593.44420000000002" u="1"/>
        <n v="1095.5999999999999" u="1"/>
        <n v="3574.9" u="1"/>
        <n v="947.1" u="1"/>
        <n v="789.6" u="1"/>
        <n v="2538.9499999999998" u="1"/>
        <n v="5082" u="1"/>
        <n v="3206" u="1"/>
        <n v="2541" u="1"/>
        <n v="1470" u="1"/>
        <n v="381.1" u="1"/>
        <n v="673.3125" u="1"/>
        <n v="3385.5390000000002" u="1"/>
        <n v="782.26" u="1"/>
        <n v="499.9701" u="1"/>
        <n v="975" u="1"/>
        <n v="376.2" u="1"/>
        <n v="2504.7199999999998" u="1"/>
        <n v="459" u="1"/>
        <n v="2122.56" u="1"/>
        <n v="1018.25" u="1"/>
        <n v="959.8" u="1"/>
        <n v="3078.8571999999999" u="1"/>
        <n v="4928.2520000000004" u="1"/>
        <n v="834.08" u="1"/>
        <n v="792.76" u="1"/>
        <n v="719.85" u="1"/>
        <n v="4024.6" u="1"/>
        <n v="9027.2000000000007" u="1"/>
        <n v="2659.68" u="1"/>
        <n v="595" u="1"/>
        <n v="718" u="1"/>
        <n v="421" u="1"/>
        <n v="3251.6640000000002" u="1"/>
        <n v="3814.8" u="1"/>
        <n v="1234.74" u="1"/>
        <n v="772.65989999999999" u="1"/>
        <n v="506.65499999999997" u="1"/>
        <n v="1146.51" u="1"/>
        <n v="1491.58" u="1"/>
        <n v="994.08989999999994" u="1"/>
        <n v="601.04999999999995" u="1"/>
        <n v="339.7" u="1"/>
        <n v="1272.6400000000001" u="1"/>
        <n v="1411.58" u="1"/>
        <n v="1554.8" u="1"/>
        <n v="133.57" u="1"/>
        <n v="395" u="1"/>
        <n v="246.17" u="1"/>
        <n v="4029.27" u="1"/>
        <n v="578.26859999999999" u="1"/>
        <n v="486.42" u="1"/>
        <n v="602.40800000000002" u="1"/>
        <n v="510.113" u="1"/>
        <n v="6034.2003000000004" u="1"/>
        <n v="2347.5639999999999" u="1"/>
        <n v="1311" u="1"/>
        <n v="339.48" u="1"/>
        <n v="447.44" u="1"/>
        <n v="876.98239999999998" u="1"/>
        <n v="1732.5044" u="1"/>
        <n v="300.3" u="1"/>
        <n v="1298" u="1"/>
        <n v="6692.8860000000004" u="1"/>
        <n v="2981.8842" u="1"/>
        <n v="1314.75" u="1"/>
        <n v="879.64800000000002" u="1"/>
        <n v="352.8" u="1"/>
        <n v="385.767" u="1"/>
        <n v="543.84" u="1"/>
        <n v="748.60500000000002" u="1"/>
        <n v="1308.75" u="1"/>
        <n v="869.01" u="1"/>
        <n v="1312.6848" u="1"/>
        <n v="10596.64" u="1"/>
        <n v="5596.8555999999999" u="1"/>
        <n v="252.21" u="1"/>
        <n v="1027.4218000000001" u="1"/>
        <n v="1138.1300000000001" u="1"/>
        <n v="588.67499999999995" u="1"/>
        <n v="542.32500000000005" u="1"/>
        <n v="619.91" u="1"/>
        <n v="1230.2" u="1"/>
        <n v="542.62" u="1"/>
        <n v="304.45" u="1"/>
        <n v="2910.05" u="1"/>
        <n v="884.76" u="1"/>
        <n v="967.11" u="1"/>
        <n v="1827.76" u="1"/>
        <n v="211.4" u="1"/>
        <n v="765.6" u="1"/>
        <n v="4096.8" u="1"/>
        <n v="460.7" u="1"/>
        <n v="788.28" u="1"/>
        <n v="3879.3" u="1"/>
        <n v="834.6" u="1"/>
        <n v="414.73" u="1"/>
        <n v="535" u="1"/>
        <n v="2170" u="1"/>
        <n v="248.25" u="1"/>
        <n v="380.97" u="1"/>
        <n v="17470.98" u="1"/>
        <n v="564.22" u="1"/>
        <n v="1738.5599" u="1"/>
        <n v="2213.2698" u="1"/>
        <n v="332.33" u="1"/>
        <n v="484.36" u="1"/>
        <n v="400.21" u="1"/>
        <n v="581.13599999999997" u="1"/>
        <n v="830.1" u="1"/>
        <n v="288.2" u="1"/>
        <n v="202.2" u="1"/>
        <n v="15013.56" u="1"/>
        <n v="348.22" u="1"/>
        <n v="1022" u="1"/>
        <n v="383.18" u="1"/>
        <n v="1573.04" u="1"/>
        <n v="255.1" u="1"/>
        <n v="299.01" u="1"/>
        <n v="93.5" u="1"/>
        <n v="992" u="1"/>
        <n v="629.16" u="1"/>
        <n v="953.49" u="1"/>
        <n v="547.53" u="1"/>
        <n v="360.8" u="1"/>
        <n v="410.18" u="1"/>
        <n v="969" u="1"/>
        <n v="1066.8599999999999" u="1"/>
        <n v="1096.2" u="1"/>
        <n v="1044.54" u="1"/>
        <n v="636.66" u="1"/>
        <n v="1797.76" u="1"/>
        <n v="728.03" u="1"/>
        <n v="1044" u="1"/>
        <n v="686" u="1"/>
        <n v="935" u="1"/>
        <n v="420.66" u="1"/>
        <n v="7000" u="1"/>
        <n v="170.22" u="1"/>
        <n v="187.23" u="1"/>
        <n v="49.39" u="1"/>
        <n v="62.51" u="1"/>
        <n v="85.5" u="1"/>
        <n v="92.44" u="1"/>
        <n v="87.85" u="1"/>
        <n v="68.989999999999995" u="1"/>
        <n v="54" u="1"/>
        <n v="45.14" u="1"/>
        <n v="111.22" u="1"/>
        <n v="91.21" u="1"/>
        <n v="105.8" u="1"/>
        <n v="115.1" u="1"/>
        <n v="95.2" u="1"/>
        <n v="80.260000000000005" u="1"/>
        <n v="44.4" u="1"/>
        <n v="129.74" u="1"/>
        <n v="103.95" u="1"/>
        <n v="3009.6" u="1"/>
        <n v="3862.4753999999998" u="1"/>
        <n v="4090.2516000000001" u="1"/>
        <n v="420.54" u="1"/>
        <n v="762.42" u="1"/>
        <n v="515.05999999999995" u="1"/>
        <n v="324.55" u="1"/>
        <n v="352.35" u="1"/>
        <n v="712.54" u="1"/>
        <n v="746.46" u="1"/>
        <n v="942.48" u="1"/>
        <n v="575.66999999999996" u="1"/>
        <n v="399.92" u="1"/>
        <n v="3012.9090000000001" u="1"/>
        <n v="689.78399999999999" u="1"/>
        <n v="7762.8050999999996" u="1"/>
        <n v="7839.7889999999998" u="1"/>
        <n v="3595.16" u="1"/>
        <n v="709.78" u="1"/>
        <n v="603.20000000000005" u="1"/>
        <n v="190.96" u="1"/>
        <n v="382" u="1"/>
        <n v="385.62" u="1"/>
        <n v="2587.1999999999998" u="1"/>
        <n v="3920" u="1"/>
        <n v="797.71019999999999" u="1"/>
        <n v="1997.16" u="1"/>
        <n v="7489.35" u="1"/>
        <n v="3667.5120000000002" u="1"/>
        <n v="932.08" u="1"/>
        <n v="401.85" u="1"/>
        <n v="384.75" u="1"/>
        <n v="5507.9901" u="1"/>
        <n v="793.05" u="1"/>
        <n v="6443.8395" u="1"/>
        <n v="3637.5001999999999" u="1"/>
        <n v="184" u="1"/>
        <n v="403.58" u="1"/>
        <n v="287.77999999999997" u="1"/>
        <n v="454.99" u="1"/>
        <n v="288.25" u="1"/>
        <n v="214.09" u="1"/>
        <n v="446.76659999999998" u="1"/>
        <n v="597.36990000000003" u="1"/>
        <n v="666.76" u="1"/>
        <n v="476.6" u="1"/>
        <n v="204.25" u="1"/>
        <n v="250.72499999999999" u="1"/>
        <n v="927.9665" u="1"/>
        <n v="1372.8701000000001" u="1"/>
        <n v="544.98749999999995" u="1"/>
        <n v="342" u="1"/>
        <n v="92.95" u="1"/>
        <n v="90.87" u="1"/>
        <n v="274.52999999999997" u="1"/>
        <n v="162.57" u="1"/>
        <n v="3762.3" u="1"/>
        <n v="638.63" u="1"/>
        <n v="613.64" u="1"/>
        <n v="405.58" u="1"/>
        <n v="1980.72" u="1"/>
        <n v="584.52" u="1"/>
        <n v="429.26" u="1"/>
        <n v="1437.94" u="1"/>
        <n v="1499.6" u="1"/>
        <n v="395.17" u="1"/>
        <n v="358.05" u="1"/>
        <n v="684.75" u="1"/>
        <n v="247.42" u="1"/>
        <n v="3928.0385999999999" u="1"/>
        <n v="624.72" u="1"/>
        <n v="2875.6" u="1"/>
        <n v="645.98" u="1"/>
        <n v="500.2" u="1"/>
        <n v="174.32" u="1"/>
        <n v="677.4" u="1"/>
        <n v="238.91" u="1"/>
        <n v="521.99" u="1"/>
        <n v="727.72" u="1"/>
        <n v="1648.6" u="1"/>
        <n v="572.36" u="1"/>
        <n v="954.04" u="1"/>
        <n v="1419.56" u="1"/>
        <n v="925.52" u="1"/>
        <n v="948" u="1"/>
        <n v="1785.49" u="1"/>
        <n v="753.48" u="1"/>
        <n v="560.53" u="1"/>
        <n v="1077.8" u="1"/>
        <n v="670.99" u="1"/>
        <n v="317.75" u="1"/>
        <n v="266.76" u="1"/>
        <n v="608.67999999999995" u="1"/>
        <n v="587.70000000000005" u="1"/>
        <n v="659.62" u="1"/>
        <n v="600.72" u="1"/>
        <n v="644" u="1"/>
        <n v="617.89" u="1"/>
        <n v="579.9" u="1"/>
        <n v="780.9" u="1"/>
        <n v="1163.8399999999999" u="1"/>
        <n v="1136.04" u="1"/>
        <n v="323.75" u="1"/>
        <n v="3600" u="1"/>
        <n v="707.86" u="1"/>
        <n v="2219.38" u="1"/>
        <n v="2749.95" u="1"/>
        <n v="3689.58" u="1"/>
        <n v="23085.7" u="1"/>
        <n v="2499.9" u="1"/>
        <n v="840.19" u="1"/>
        <n v="6799.7" u="1"/>
        <n v="7791.3119999999999" u="1"/>
        <n v="970" u="1"/>
        <n v="271.33999999999997" u="1"/>
        <n v="224.88" u="1"/>
        <n v="1130.08" u="1"/>
        <n v="15685.369000000001" u="1"/>
        <n v="1314" u="1"/>
        <n v="2531.4299999999998" u="1"/>
        <n v="1700.21" u="1"/>
        <n v="3638.59" u="1"/>
        <n v="378.18" u="1"/>
        <n v="6383.52" u="1"/>
        <n v="6625.56" u="1"/>
        <n v="6258.93" u="1"/>
        <n v="868.31" u="1"/>
        <n v="244" u="1"/>
        <n v="5391.39" u="1"/>
        <n v="2669.48" u="1"/>
        <n v="267.60000000000002" u="1"/>
        <n v="1254.2" u="1"/>
        <n v="312.12" u="1"/>
        <n v="413.1" u="1"/>
        <n v="1728" u="1"/>
        <n v="3802.04" u="1"/>
        <n v="1076.51" u="1"/>
        <n v="1275.78" u="1"/>
        <n v="5323.78" u="1"/>
        <n v="3841.47" u="1"/>
        <n v="414" u="1"/>
        <n v="5475.15" u="1"/>
        <n v="2369.6" u="1"/>
        <n v="8295.2489999999998" u="1"/>
        <n v="1938.3184000000001" u="1"/>
        <n v="242.1" u="1"/>
        <n v="511.1" u="1"/>
        <n v="240.56" u="1"/>
        <n v="354" u="1"/>
        <n v="657" u="1"/>
        <n v="4749.76" u="1"/>
        <n v="1782.65" u="1"/>
        <n v="1301.32" u="1"/>
        <n v="11040" u="1"/>
        <n v="4586.5200000000004" u="1"/>
        <n v="501.29309999999998" u="1"/>
        <n v="3260.8310000000001" u="1"/>
        <n v="1590" u="1"/>
        <n v="17586.986400000002" u="1"/>
        <n v="7917.9449999999997" u="1"/>
        <n v="205.61" u="1"/>
        <n v="18916.02" u="1"/>
        <n v="4444.7" u="1"/>
        <n v="45.76" u="1"/>
        <n v="42.77" u="1"/>
        <n v="677.26" u="1"/>
        <n v="442.8" u="1"/>
        <n v="250.25" u="1"/>
        <n v="796.95" u="1"/>
        <n v="233" u="1"/>
        <n v="287.5" u="1"/>
        <n v="2310" u="1"/>
        <n v="224.89" u="1"/>
        <n v="1367" u="1"/>
        <n v="1145.0999999999999" u="1"/>
        <n v="5294" u="1"/>
        <n v="3832.7" u="1"/>
        <n v="7848.32" u="1"/>
        <n v="964.07" u="1"/>
        <n v="9432.91" u="1"/>
        <n v="3964.86" u="1"/>
        <n v="3665.9" u="1"/>
        <n v="1765.07" u="1"/>
        <n v="2084.326" u="1"/>
        <n v="1498.07" u="1"/>
        <n v="2433.15" u="1"/>
        <n v="355.71" u="1"/>
        <n v="951.66" u="1"/>
        <n v="1732.5" u="1"/>
        <n v="5582.5" u="1"/>
        <n v="5462.81" u="1"/>
        <n v="3680.05" u="1"/>
        <n v="6778.5" u="1"/>
        <n v="319" u="1"/>
        <n v="346.75" u="1"/>
        <n v="427" u="1"/>
        <n v="1236.99" u="1"/>
        <n v="1095" u="1"/>
        <n v="5874.17" u="1"/>
        <n v="3054.99" u="1"/>
        <n v="385.93" u="1"/>
        <n v="509.36" u="1"/>
        <n v="398.92" u="1"/>
        <n v="430.23" u="1"/>
        <n v="2681.14" u="1"/>
        <n v="1045.71" u="1"/>
        <n v="2258.5500000000002" u="1"/>
        <n v="447.39" u="1"/>
        <n v="1206.76" u="1"/>
        <n v="378.55" u="1"/>
        <n v="1260.08" u="1"/>
        <n v="870.3" u="1"/>
        <n v="1708.05" u="1"/>
        <n v="968.07" u="1"/>
        <n v="968.09" u="1"/>
        <n v="1134.7" u="1"/>
        <n v="889.8" u="1"/>
        <n v="1031.79" u="1"/>
        <n v="1107.6099999999999" u="1"/>
        <n v="939.28" u="1"/>
        <n v="660.02" u="1"/>
        <n v="1268.44" u="1"/>
        <n v="231.215" u="1"/>
        <n v="40161.96" u="1"/>
        <n v="368.17" u="1"/>
        <n v="1107.24" u="1"/>
        <n v="2706.87" u="1"/>
        <n v="2698.06" u="1"/>
        <n v="30249.16" u="1"/>
        <n v="1284.5999999999999" u="1"/>
        <n v="2530.5" u="1"/>
        <n v="543.12" u="1"/>
        <n v="13058.38" u="1"/>
        <n v="2304" u="1"/>
        <n v="494.94499999999999" u="1"/>
        <n v="239.95" u="1"/>
        <n v="839.96" u="1"/>
        <n v="1268.96" u="1"/>
        <n v="1167.2639999999999" u="1"/>
        <n v="586.07000000000005" u="1"/>
        <n v="400.33" u="1"/>
        <n v="819.976" u="1"/>
        <n v="385.53" u="1"/>
        <n v="691.48" u="1"/>
        <n v="1024.6199999999999" u="1"/>
        <n v="3082.44" u="1"/>
        <n v="1161.48" u="1"/>
        <n v="175.29" u="1"/>
        <n v="229.02500000000001" u="1"/>
        <n v="102.9" u="1"/>
        <n v="96.44" u="1"/>
        <n v="62.98" u="1"/>
        <n v="63.08" u="1"/>
        <n v="2135.5700000000002" u="1"/>
        <n v="2495.9899999999998" u="1"/>
        <n v="449.74" u="1"/>
        <n v="449.71" u="1"/>
        <n v="2157.0700000000002" u="1"/>
        <n v="449.89" u="1"/>
        <n v="449.67" u="1"/>
        <n v="449.44" u="1"/>
        <n v="420.16" u="1"/>
        <n v="632" u="1"/>
        <n v="1061.01" u="1"/>
        <n v="314.10000000000002" u="1"/>
        <n v="744.45" u="1"/>
        <n v="480.46" u="1"/>
        <n v="626.28" u="1"/>
        <n v="1507.38" u="1"/>
        <n v="998.36" u="1"/>
        <n v="931.55" u="1"/>
        <n v="3570" u="1"/>
        <n v="209.6" u="1"/>
        <n v="612.09" u="1"/>
        <n v="609.10400000000004" u="1"/>
        <n v="893.81650000000002" u="1"/>
        <n v="205.08500000000001" u="1"/>
        <n v="622.20000000000005" u="1"/>
        <n v="868.048" u="1"/>
        <n v="552.08249999999998" u="1"/>
        <n v="358.3" u="1"/>
        <n v="3051.51" u="1"/>
        <n v="133.84" u="1"/>
        <n v="117.03" u="1"/>
        <n v="205.64" u="1"/>
        <n v="105.06" u="1"/>
        <n v="128.41999999999999" u="1"/>
        <n v="295.47000000000003" u="1"/>
        <n v="4105.9893000000002" u="1"/>
        <n v="366.67" u="1"/>
        <n v="617.67999999999995" u="1"/>
        <n v="663.55" u="1"/>
        <n v="574.1925" u="1"/>
        <n v="189.11" u="1"/>
        <n v="214.63" u="1"/>
        <n v="865.47199999999998" u="1"/>
        <n v="290.57" u="1"/>
        <n v="3238.82" u="1"/>
        <n v="2223.23" u="1"/>
        <n v="703.02" u="1"/>
        <n v="1147.3399999999999" u="1"/>
        <n v="1232.45" u="1"/>
        <n v="527.04999999999995" u="1"/>
        <n v="670.38" u="1"/>
        <n v="883.39" u="1"/>
        <n v="3670.28" u="1"/>
        <n v="1110.3800000000001" u="1"/>
        <n v="722.97" u="1"/>
        <n v="480.45" u="1"/>
        <n v="920.76" u="1"/>
        <n v="353.88" u="1"/>
        <n v="77.900000000000006" u="1"/>
        <n v="112.41" u="1"/>
        <n v="278.93" u="1"/>
        <n v="312.24" u="1"/>
        <n v="906.31" u="1"/>
        <n v="770.56" u="1"/>
        <n v="754.18" u="1"/>
        <n v="879.99" u="1"/>
        <n v="1279.46" u="1"/>
        <n v="1136.44" u="1"/>
        <n v="674.35" u="1"/>
        <n v="829.54" u="1"/>
        <n v="529.24" u="1"/>
        <n v="2419.7399999999998" u="1"/>
        <n v="613.52" u="1"/>
        <n v="191.8" u="1"/>
        <n v="116.89" u="1"/>
        <n v="637.35" u="1"/>
        <n v="784.2" u="1"/>
        <n v="704.89" u="1"/>
        <n v="527.91999999999996" u="1"/>
        <n v="498.16" u="1"/>
        <n v="1067.32" u="1"/>
        <n v="183" u="1"/>
        <n v="520.9" u="1"/>
        <n v="2016" u="1"/>
        <n v="362.9" u="1"/>
        <n v="200.4" u="1"/>
        <n v="503.48" u="1"/>
        <n v="1477.92" u="1"/>
        <n v="2895.75" u="1"/>
        <n v="580.69000000000005" u="1"/>
        <n v="2534.52" u="1"/>
        <n v="1485.92" u="1"/>
        <n v="1169.56" u="1"/>
        <n v="2969.9009999999998" u="1"/>
        <n v="2530.4189999999999" u="1"/>
        <n v="4639.1014999999998" u="1"/>
        <n v="603.95000000000005" u="1"/>
        <n v="956.7" u="1"/>
        <n v="898.58" u="1"/>
        <n v="1924.5105000000001" u="1"/>
        <n v="3622.1696000000002" u="1"/>
        <n v="2399.04" u="1"/>
        <n v="2028.7103" u="1"/>
        <n v="1688.2293999999999" u="1"/>
        <n v="762.85" u="1"/>
        <n v="700.36" u="1"/>
        <n v="223.66" u="1"/>
        <n v="545.32000000000005" u="1"/>
        <n v="986.39099999999996" u="1"/>
        <n v="1047.1099999999999" u="1"/>
        <n v="490.68990000000002" u="1"/>
        <n v="1671.9504999999999" u="1"/>
        <n v="2213.9724000000001" u="1"/>
        <n v="10763.04" u="1"/>
        <n v="677.8" u="1"/>
        <n v="13899" u="1"/>
        <n v="515.36" u="1"/>
        <n v="1384.9197999999999" u="1"/>
        <n v="533.64" u="1"/>
        <n v="462.19" u="1"/>
        <n v="1025.0999999999999" u="1"/>
        <n v="592.85" u="1"/>
        <n v="973" u="1"/>
        <n v="4389.78" u="1"/>
        <n v="8644" u="1"/>
        <n v="2171.1039999999998" u="1"/>
        <n v="621.52" u="1"/>
        <n v="1709.3" u="1"/>
        <n v="1046.8240000000001" u="1"/>
        <n v="186.05" u="1"/>
        <n v="412.85" u="1"/>
        <n v="637.2201" u="1"/>
        <n v="594.57000000000005" u="1"/>
        <n v="755.40989999999999" u="1"/>
        <n v="6007.52" u="1"/>
        <n v="1126.06" u="1"/>
        <n v="1203.675" u="1"/>
        <n v="895.65" u="1"/>
        <n v="695.42250000000001" u="1"/>
        <n v="2225.2302" u="1"/>
        <n v="524.67999999999995" u="1"/>
        <n v="635.40989999999999" u="1"/>
        <n v="596.30010000000004" u="1"/>
        <n v="748.74400000000003" u="1"/>
        <n v="456.49" u="1"/>
        <n v="1077.3398999999999" u="1"/>
        <n v="542.61" u="1"/>
        <n v="517.54999999999995" u="1"/>
        <n v="503.29500000000002" u="1"/>
        <n v="247.48" u="1"/>
        <n v="412.78" u="1"/>
        <n v="257.08" u="1"/>
        <n v="1284.0597" u="1"/>
        <n v="581.44000000000005" u="1"/>
        <n v="206.39" u="1"/>
        <n v="1324.47" u="1"/>
        <n v="904.96" u="1"/>
        <n v="972.27970000000005" u="1"/>
        <n v="1162.5803000000001" u="1"/>
        <n v="708.21600000000001" u="1"/>
        <n v="513.26400000000001" u="1"/>
        <n v="565.65" u="1"/>
        <n v="1476.3" u="1"/>
        <n v="1178.2750000000001" u="1"/>
        <n v="1527.66" u="1"/>
        <n v="310.3" u="1"/>
        <n v="402" u="1"/>
        <n v="594.92160000000001" u="1"/>
        <n v="675.27" u="1"/>
        <n v="666.99" u="1"/>
        <n v="752.80499999999995" u="1"/>
        <n v="358.69" u="1"/>
        <n v="3737.4" u="1"/>
        <n v="534.51" u="1"/>
        <n v="364.5" u="1"/>
        <n v="3365.8912" u="1"/>
        <n v="2785.28" u="1"/>
        <n v="2479.0111000000002" u="1"/>
        <n v="228.245" u="1"/>
        <n v="2818.24" u="1"/>
        <n v="4807.7903999999999" u="1"/>
        <n v="715.04" u="1"/>
        <n v="206.98500000000001" u="1"/>
        <n v="171.11" u="1"/>
        <n v="865.02" u="1"/>
        <n v="883.92" u="1"/>
        <n v="2776.7208000000001" u="1"/>
        <n v="1038.1386" u="1"/>
        <n v="828.06" u="1"/>
        <n v="62.72" u="1"/>
        <n v="448.21" u="1"/>
        <n v="186.36" u="1"/>
        <n v="620.54" u="1"/>
        <n v="710" u="1"/>
        <n v="502.47" u="1"/>
        <n v="209.02" u="1"/>
        <n v="472.04" u="1"/>
        <n v="3000" u="1"/>
        <n v="51.09" u="1"/>
        <n v="175.89" u="1"/>
        <n v="708.83" u="1"/>
        <n v="1472.64" u="1"/>
        <n v="2984.43" u="1"/>
        <n v="1512" u="1"/>
        <n v="256.67" u="1"/>
        <n v="219.35" u="1"/>
        <n v="347.6" u="1"/>
        <n v="374.3734" u="1"/>
        <n v="467.30250000000001" u="1"/>
        <n v="524.13" u="1"/>
        <n v="549.39" u="1"/>
        <n v="397.88" u="1"/>
        <n v="755.58" u="1"/>
        <n v="796" u="1"/>
        <n v="494.5" u="1"/>
        <n v="150.44999999999999" u="1"/>
        <n v="219.6" u="1"/>
        <n v="4110" u="1"/>
        <n v="706.86" u="1"/>
        <n v="406.88" u="1"/>
        <n v="599.46" u="1"/>
        <n v="389.11340000000001" u="1"/>
        <n v="1005.22" u="1"/>
        <n v="602.88" u="1"/>
        <n v="473.33339999999998" u="1"/>
        <n v="622.94399999999996" u="1"/>
        <n v="215.14" u="1"/>
        <n v="536.28989999999999" u="1"/>
        <n v="337.27" u="1"/>
        <n v="775.66" u="1"/>
        <n v="226.72" u="1"/>
        <n v="512.76990000000001" u="1"/>
        <n v="624.74" u="1"/>
        <n v="439.64" u="1"/>
        <n v="1325.61" u="1"/>
        <n v="558.3999" u="1"/>
        <n v="1488.2550000000001" u="1"/>
        <n v="335.52659999999997" u="1"/>
        <n v="1130.7" u="1"/>
        <n v="482.94400000000002" u="1"/>
        <n v="452.76" u="1"/>
        <n v="736.11199999999997" u="1"/>
        <n v="815.27009999999996" u="1"/>
        <n v="781.83" u="1"/>
        <n v="977.80799999999999" u="1"/>
        <n v="380.6866" u="1"/>
        <n v="921.60990000000004" u="1"/>
        <n v="363.17" u="1"/>
        <n v="552.75" u="1"/>
        <n v="327.11" u="1"/>
        <n v="356.59" u="1"/>
        <n v="285.64" u="1"/>
        <n v="482.8125" u="1"/>
        <n v="248.83" u="1"/>
        <n v="264.36" u="1"/>
        <n v="333.06659999999999" u="1"/>
        <n v="219.39500000000001" u="1"/>
        <n v="12079.34" u="1"/>
        <n v="227.64" u="1"/>
        <n v="683.14" u="1"/>
        <n v="266.74" u="1"/>
        <n v="449.73" u="1"/>
        <n v="380.67340000000002" u="1"/>
        <n v="942.9" u="1"/>
        <n v="272.62" u="1"/>
        <n v="404.6" u="1"/>
        <n v="251.59" u="1"/>
        <n v="2358.46" u="1"/>
        <n v="2729.8240000000001" u="1"/>
        <n v="1997.6597999999999" u="1"/>
        <n v="724.72799999999995" u="1"/>
        <n v="1112.6101000000001" u="1"/>
        <n v="282.29000000000002" u="1"/>
        <n v="896.22" u="1"/>
        <n v="344.57" u="1"/>
        <n v="344.41" u="1"/>
        <n v="120.79" u="1"/>
        <n v="400.9599" u="1"/>
        <n v="900.16" u="1"/>
        <n v="765.59" u="1"/>
        <n v="282.52" u="1"/>
        <n v="428.18" u="1"/>
        <n v="208.24" u="1"/>
        <n v="717.48" u="1"/>
        <n v="285.63" u="1"/>
        <n v="416.48" u="1"/>
        <n v="225.04" u="1"/>
        <n v="913" u="1"/>
        <n v="1369.5" u="1"/>
        <n v="824.76" u="1"/>
        <n v="441.93" u="1"/>
        <n v="636.4" u="1"/>
        <n v="2600.0100000000002" u="1"/>
        <n v="1182.58" u="1"/>
        <n v="790.84" u="1"/>
        <n v="7639.46" u="1"/>
        <n v="6853.44" u="1"/>
        <n v="8372.24" u="1"/>
        <n v="1430.85" u="1"/>
        <n v="2284.7199999999998" u="1"/>
        <n v="350.38" u="1"/>
        <n v="256.04000000000002" u="1"/>
        <n v="326.72000000000003" u="1"/>
        <n v="1250.04" u="1"/>
        <n v="7688.17" u="1"/>
        <n v="832.8" u="1"/>
        <n v="2387.8000000000002" u="1"/>
        <n v="1311.42" u="1"/>
        <n v="859" u="1"/>
        <n v="2323.6799999999998" u="1"/>
        <n v="756.78" u="1"/>
        <n v="581.55999999999995" u="1"/>
        <n v="214.1" u="1"/>
        <n v="136.62" u="1"/>
        <n v="229.66" u="1"/>
        <n v="2394" u="1"/>
        <n v="838.82" u="1"/>
        <n v="2412.0221999999999" u="1"/>
        <n v="1220.0001" u="1"/>
        <n v="664.4" u="1"/>
        <n v="330.63" u="1"/>
        <n v="1929.06" u="1"/>
        <n v="357.41" u="1"/>
        <n v="626" u="1"/>
        <n v="526.21" u="1"/>
        <n v="1589.52" u="1"/>
        <n v="846.44" u="1"/>
        <n v="634.87" u="1"/>
        <n v="694.23" u="1"/>
        <n v="281.25" u="1"/>
        <n v="217.72" u="1"/>
        <n v="658.2" u="1"/>
        <n v="1081.44" u="1"/>
        <n v="557.77" u="1"/>
        <n v="629.07000000000005" u="1"/>
        <n v="3195" u="1"/>
        <n v="321.66000000000003" u="1"/>
        <n v="70" u="1"/>
        <n v="2130" u="1"/>
        <n v="1141.3399999999999" u="1"/>
        <n v="678.19" u="1"/>
        <n v="656.98" u="1"/>
        <n v="660.47" u="1"/>
        <n v="1204" u="1"/>
        <n v="70.88" u="1"/>
        <n v="1250" u="1"/>
        <n v="4985.5" u="1"/>
        <n v="307.99" u="1"/>
        <n v="1602.8298" u="1"/>
        <n v="730.65" u="1"/>
        <n v="788.9" u="1"/>
        <n v="258.82" u="1"/>
        <n v="353.7" u="1"/>
        <n v="707.4" u="1"/>
        <n v="353.08" u="1"/>
        <n v="532.5" u="1"/>
        <n v="330.15" u="1"/>
        <n v="1058.75" u="1"/>
        <n v="3012" u="1"/>
        <n v="156.5" u="1"/>
        <n v="260.69" u="1"/>
        <n v="321.2" u="1"/>
        <n v="573.75" u="1"/>
        <n v="3369" u="1"/>
        <n v="295.5" u="1"/>
        <n v="203.53" u="1"/>
        <n v="189.98" u="1"/>
        <n v="81.75" u="1"/>
        <n v="130.97999999999999" u="1"/>
        <n v="172.71" u="1"/>
        <n v="9287.5" u="1"/>
        <n v="243.98" u="1"/>
        <n v="541.92989999999998" u="1"/>
        <n v="494.22" u="1"/>
        <n v="303.94659999999999" u="1"/>
        <n v="713.16800000000001" u="1"/>
        <n v="625.92989999999998" u="1"/>
        <n v="652.64800000000002" u="1"/>
        <n v="822" u="1"/>
        <n v="317.10000000000002" u="1"/>
        <n v="566" u="1"/>
        <n v="346.5" u="1"/>
        <n v="589.6" u="1"/>
        <n v="600.6" u="1"/>
        <n v="280.5" u="1"/>
        <n v="722.7" u="1"/>
        <n v="1251.95" u="1"/>
        <n v="1968" u="1"/>
        <n v="311.06" u="1"/>
        <n v="325.76" u="1"/>
        <n v="1218" u="1"/>
        <n v="642.6" u="1"/>
        <n v="475.76" u="1"/>
        <n v="1870.95" u="1"/>
        <n v="1425.34" u="1"/>
        <n v="781.42" u="1"/>
        <n v="707.58" u="1"/>
        <n v="501.22" u="1"/>
        <n v="994.43" u="1"/>
        <n v="450.16" u="1"/>
        <n v="450.14" u="1"/>
        <n v="224.12" u="1"/>
        <n v="2188.2600000000002" u="1"/>
        <n v="463.44" u="1"/>
        <n v="857" u="1"/>
        <n v="1712.9748" u="1"/>
        <n v="2452.36" u="1"/>
        <n v="2839.6016" u="1"/>
        <n v="450.27" u="1"/>
        <n v="449.85" u="1"/>
        <n v="2053.44" u="1"/>
        <n v="5788.07" u="1"/>
        <n v="262" u="1"/>
        <n v="930.9" u="1"/>
        <n v="312.01" u="1"/>
        <n v="89.9" u="1"/>
        <n v="422.45" u="1"/>
        <n v="246.9" u="1"/>
        <n v="374.4" u="1"/>
        <n v="425" u="1"/>
        <n v="202.74" u="1"/>
        <n v="397.62" u="1"/>
        <n v="438.416" u="1"/>
        <n v="1350.2686000000001" u="1"/>
        <n v="1217.25" u="1"/>
        <n v="1839.5" u="1"/>
        <n v="1206" u="1"/>
        <n v="1419" u="1"/>
        <n v="1624" u="1"/>
        <n v="1663.8" u="1"/>
        <n v="1584.15" u="1"/>
        <n v="3969" u="1"/>
        <n v="2919" u="1"/>
        <n v="5076.5" u="1"/>
        <n v="24.7" u="1"/>
        <n v="336.4" u="1"/>
        <n v="1671.74" u="1"/>
        <n v="1290.48" u="1"/>
        <n v="1752.31" u="1"/>
        <n v="4766.25" u="1"/>
        <n v="1798.03" u="1"/>
        <n v="1318.83" u="1"/>
        <n v="2125" u="1"/>
        <n v="4687.8" u="1"/>
        <n v="2699.74" u="1"/>
        <n v="1725.07" u="1"/>
        <n v="4198.83" u="1"/>
        <n v="2143.71" u="1"/>
        <n v="4671.2299999999996" u="1"/>
        <n v="955.61" u="1"/>
        <n v="2613.66" u="1"/>
        <n v="3777.63" u="1"/>
        <n v="2286.71" u="1"/>
        <n v="1248.21" u="1"/>
        <n v="370.69" u="1"/>
        <n v="1544.34" u="1"/>
        <n v="1544.35" u="1"/>
        <n v="1981.87" u="1"/>
        <n v="907.03" u="1"/>
        <n v="308.79000000000002" u="1"/>
        <n v="300.89999999999998" u="1"/>
        <n v="2751.2" u="1"/>
        <n v="2195.56" u="1"/>
        <n v="1111.8282999999999" u="1"/>
        <n v="1495.33" u="1"/>
        <n v="3287.01" u="1"/>
        <n v="695.36" u="1"/>
        <n v="762.12" u="1"/>
        <n v="1080.56" u="1"/>
        <n v="286.44" u="1"/>
        <n v="2026.92" u="1"/>
        <n v="475.08" u="1"/>
        <n v="1608.08" u="1"/>
        <n v="1513.84" u="1"/>
        <n v="2791.48" u="1"/>
        <n v="2096.2199999999998" u="1"/>
        <n v="441" u="1"/>
        <n v="1180.49" u="1"/>
        <n v="1435.21" u="1"/>
        <n v="1890.42" u="1"/>
        <n v="2236.9899999999998" u="1"/>
        <n v="2893.44" u="1"/>
        <n v="2291.0500000000002" u="1"/>
        <n v="1927.9" u="1"/>
        <n v="1487.74" u="1"/>
        <n v="664.89" u="1"/>
        <n v="896.44" u="1"/>
        <n v="3572.03" u="1"/>
        <n v="3222.03" u="1"/>
        <n v="892.5" u="1"/>
        <n v="2271.5" u="1"/>
        <n v="634.86" u="1"/>
        <n v="776.28210000000001" u="1"/>
        <n v="6433.76" u="1"/>
        <n v="345.29" u="1"/>
        <n v="2968.8960000000002" u="1"/>
        <n v="981.38879999999995" u="1"/>
        <n v="577" u="1"/>
        <n v="951.72" u="1"/>
        <n v="301.68" u="1"/>
        <n v="498.15359999999998" u="1"/>
        <n v="283.93" u="1"/>
        <n v="994.60479999999995" u="1"/>
        <n v="739.63679999999999" u="1"/>
        <n v="397.16" u="1"/>
        <n v="882.36959999999999" u="1"/>
        <n v="1825.55" u="1"/>
        <n v="2740.68" u="1"/>
        <n v="925.05" u="1"/>
        <n v="430.5" u="1"/>
        <n v="580.14" u="1"/>
        <n v="3267" u="1"/>
        <n v="2614.7631999999999" u="1"/>
        <n v="2990.26" u="1"/>
        <n v="301.29000000000002" u="1"/>
        <n v="443.34" u="1"/>
        <n v="2530.4160000000002" u="1"/>
        <n v="3662.8816000000002" u="1"/>
        <n v="2720" u="1"/>
        <n v="1235" u="1"/>
        <n v="2380" u="1"/>
        <n v="5100" u="1"/>
        <n v="3068.9007999999999" u="1"/>
        <n v="7511.88" u="1"/>
        <n v="1088.5999999999999" u="1"/>
        <n v="219.32" u="1"/>
        <n v="552.88" u="1"/>
        <n v="360.3" u="1"/>
        <n v="142.55000000000001" u="1"/>
        <n v="748.11519999999996" u="1"/>
        <n v="561.08640000000003" u="1"/>
        <n v="637.56799999999998" u="1"/>
        <n v="200.17" u="1"/>
        <n v="481.2" u="1"/>
        <n v="443.01" u="1"/>
        <n v="1020.42" u="1"/>
        <n v="620.52" u="1"/>
        <n v="1156.8900000000001" u="1"/>
        <n v="408.11" u="1"/>
        <n v="2790.7487999999998" u="1"/>
        <n v="4186.1232" u="1"/>
        <n v="1283.3612000000001" u="1"/>
        <n v="681.14" u="1"/>
        <n v="298.99" u="1"/>
        <n v="442.99" u="1"/>
        <n v="269.99" u="1"/>
        <n v="125" u="1"/>
        <n v="2240" u="1"/>
        <n v="51.34" u="1"/>
        <n v="63.4" u="1"/>
        <n v="327.98" u="1"/>
        <n v="51.95" u="1"/>
        <n v="163.94" u="1"/>
        <n v="271.73" u="1"/>
        <n v="117.05" u="1"/>
        <n v="71.25" u="1"/>
        <n v="102.62" u="1"/>
        <n v="129.02000000000001" u="1"/>
        <n v="679.6" u="1"/>
        <n v="99.77" u="1"/>
        <n v="137.97999999999999" u="1"/>
        <n v="166.53" u="1"/>
        <n v="114.92" u="1"/>
        <n v="155.11000000000001" u="1"/>
        <n v="89.24" u="1"/>
        <n v="113.69" u="1"/>
        <n v="228.75" u="1"/>
        <n v="91.99" u="1"/>
        <n v="104.24" u="1"/>
        <n v="80.14" u="1"/>
        <n v="46.8" u="1"/>
        <n v="104.69" u="1"/>
        <n v="119.99" u="1"/>
        <n v="564.71249999999998" u="1"/>
        <n v="873.19680000000005" u="1"/>
        <n v="337.54" u="1"/>
        <n v="455.91750000000002" u="1"/>
        <n v="465.39" u="1"/>
        <n v="301.83999999999997" u="1"/>
        <n v="828.3" u="1"/>
        <n v="906.88800000000003" u="1"/>
        <n v="613.29989999999998" u="1"/>
        <n v="536.06010000000003" u="1"/>
        <n v="262.42" u="1"/>
        <n v="242.66" u="1"/>
        <n v="2153.6999999999998" u="1"/>
        <n v="267.02999999999997" u="1"/>
        <n v="584.29999999999995" u="1"/>
        <n v="450.39" u="1"/>
        <n v="871.28" u="1"/>
        <n v="204.61500000000001" u="1"/>
        <n v="1132.71" u="1"/>
        <n v="722.64" u="1"/>
        <n v="689.52" u="1"/>
        <n v="523.87" u="1"/>
        <n v="1596.81" u="1"/>
        <n v="695.42010000000005" u="1"/>
        <n v="188.82" u="1"/>
        <n v="183.37" u="1"/>
        <n v="4620.768" u="1"/>
        <n v="3010" u="1"/>
        <n v="350.55" u="1"/>
        <n v="212.26" u="1"/>
        <n v="2103.8236999999999" u="1"/>
        <n v="431.9" u="1"/>
        <n v="601.16250000000002" u="1"/>
        <n v="606.64499999999998" u="1"/>
        <n v="335.29340000000002" u="1"/>
        <n v="716.4" u="1"/>
        <n v="268.33" u="1"/>
        <n v="599.38" u="1"/>
        <n v="489.72750000000002" u="1"/>
        <n v="681.17" u="1"/>
        <n v="1848.78" u="1"/>
        <n v="1073.1500000000001" u="1"/>
        <n v="267.98" u="1"/>
        <n v="668.61" u="1"/>
        <n v="256.89" u="1"/>
        <n v="407.58" u="1"/>
        <n v="456.5" u="1"/>
        <n v="858.52" u="1"/>
        <n v="1336.08" u="1"/>
        <n v="1028.3499999999999" u="1"/>
        <n v="1181.8499999999999" u="1"/>
        <n v="1068" u="1"/>
        <n v="1793.4" u="1"/>
        <n v="145.04499999999999" u="1"/>
        <n v="526.16010000000006" u="1"/>
        <n v="393.14" u="1"/>
        <n v="847.92" u="1"/>
        <n v="507.6" u="1"/>
        <n v="987.14" u="1"/>
        <n v="908.15" u="1"/>
        <n v="508.08" u="1"/>
        <n v="857.02" u="1"/>
        <n v="1416.48" u="1"/>
        <n v="568.5" u="1"/>
        <n v="1309.72" u="1"/>
        <n v="535.28" u="1"/>
        <n v="2681.94" u="1"/>
        <n v="572.96" u="1"/>
        <n v="976.72" u="1"/>
        <n v="1484.9" u="1"/>
        <n v="1139.1600000000001" u="1"/>
        <n v="1243.3599999999999" u="1"/>
        <n v="1430.75" u="1"/>
        <n v="918.76689999999996" u="1"/>
        <n v="1536.36" u="1"/>
        <n v="1975.16" u="1"/>
        <n v="760.88" u="1"/>
        <n v="314" u="1"/>
        <n v="687.78" u="1"/>
        <n v="2012.46" u="1"/>
        <n v="512" u="1"/>
        <n v="215.53" u="1"/>
        <n v="2350.7730000000001" u="1"/>
        <n v="393.85919999999999" u="1"/>
        <n v="5086.3233" u="1"/>
        <n v="1106.4004" u="1"/>
        <n v="2493.5174999999999" u="1"/>
        <n v="3053.84" u="1"/>
        <n v="3654.72" u="1"/>
        <n v="560.11" u="1"/>
        <n v="188.51" u="1"/>
        <n v="658.54" u="1"/>
        <n v="607.61599999999999" u="1"/>
        <n v="1116.3" u="1"/>
        <n v="531.21" u="1"/>
        <n v="359.64" u="1"/>
        <n v="405.89920000000001" u="1"/>
        <n v="2829.2" u="1"/>
        <n v="379.3" u="1"/>
        <n v="139.99" u="1"/>
        <n v="129.99" u="1"/>
        <n v="503.2944" u="1"/>
        <n v="414.44479999999999" u="1"/>
        <n v="428.31040000000002" u="1"/>
        <n v="547.01009999999997" u="1"/>
        <n v="351" u="1"/>
        <n v="746" u="1"/>
        <n v="314.56" u="1"/>
        <n v="306.7" u="1"/>
        <n v="1871.3" u="1"/>
        <n v="1583.82" u="1"/>
        <n v="1681.51" u="1"/>
        <n v="763.08" u="1"/>
        <n v="626.38" u="1"/>
        <n v="41327.03" u="1"/>
        <n v="53109.21" u="1"/>
        <n v="1483.57" u="1"/>
        <n v="3107.59" u="1"/>
        <n v="530.32000000000005" u="1"/>
        <n v="1464.44" u="1"/>
        <n v="2354.38" u="1"/>
        <n v="4963.6899999999996" u="1"/>
        <n v="1806.1" u="1"/>
        <n v="1291.92" u="1"/>
        <n v="3934.12" u="1"/>
        <n v="2117.29" u="1"/>
        <n v="1006.92" u="1"/>
        <n v="1015.28" u="1"/>
        <n v="901.48" u="1"/>
        <n v="447.48" u="1"/>
        <n v="5044.53" u="1"/>
        <n v="17574.849999999999" u="1"/>
        <n v="2705.79" u="1"/>
        <n v="1040.81" u="1"/>
        <n v="5474.6189999999997" u="1"/>
        <n v="2135.154" u="1"/>
        <n v="20652.093000000001" u="1"/>
        <n v="270.60000000000002" u="1"/>
        <n v="736.54" u="1"/>
        <n v="809.82" u="1"/>
        <n v="158.22" u="1"/>
        <n v="261.99" u="1"/>
        <n v="2320.7199999999998" u="1"/>
        <n v="957.02" u="1"/>
        <n v="268.8" u="1"/>
        <n v="2627.28" u="1"/>
        <n v="3528" u="1"/>
        <n v="1139.28" u="1"/>
        <n v="1441.65" u="1"/>
        <n v="2755.86" u="1"/>
        <n v="3444.8249999999998" u="1"/>
        <n v="333.72" u="1"/>
        <n v="1195.83" u="1"/>
        <n v="1960" u="1"/>
        <n v="1802.08" u="1"/>
        <n v="6274.2240000000002" u="1"/>
        <n v="280.78399999999999" u="1"/>
        <n v="197.2432" u="1"/>
        <n v="1408.47" u="1"/>
        <n v="537.88" u="1"/>
        <n v="287.27999999999997" u="1"/>
        <n v="356.5" u="1"/>
        <n v="278.42" u="1"/>
        <n v="985.5" u="1"/>
        <n v="3510" u="1"/>
        <n v="1080.23" u="1"/>
        <n v="3253.5" u="1"/>
        <n v="1524.42" u="1"/>
        <n v="543.65" u="1"/>
        <n v="454.03" u="1"/>
        <n v="450.22" u="1"/>
        <n v="302.02999999999997" u="1"/>
        <n v="2007.02" u="1"/>
        <n v="1239.75" u="1"/>
        <n v="664.72" u="1"/>
        <n v="457.44" u="1"/>
        <n v="290.14999999999998" u="1"/>
        <n v="35819.910000000003" u="1"/>
        <n v="8368" u="1"/>
        <n v="1435.74" u="1"/>
        <n v="1774.47" u="1"/>
        <n v="577.48" u="1"/>
        <n v="16805.38" u="1"/>
        <n v="709.70010000000002" u="1"/>
        <n v="431.76" u="1"/>
        <n v="746.63" u="1"/>
        <n v="194.47" u="1"/>
        <n v="1249.808" u="1"/>
        <n v="886.68" u="1"/>
        <n v="3179.41" u="1"/>
        <n v="4456.2" u="1"/>
        <n v="221.05" u="1"/>
        <n v="2867.8047999999999" u="1"/>
        <n v="3703.056" u="1"/>
        <n v="1054.8607999999999" u="1"/>
        <n v="906.86" u="1"/>
        <n v="3887.38" u="1"/>
        <n v="381.62" u="1"/>
        <n v="249.07679999999999" u="1"/>
        <n v="175.99" u="1"/>
        <n v="170.35" u="1"/>
        <n v="55.2" u="1"/>
        <n v="247.2" u="1"/>
        <n v="1384.4901" u="1"/>
        <n v="6953.52" u="1"/>
        <n v="437.9" u="1"/>
        <n v="4452.25" u="1"/>
        <n v="8441.43" u="1"/>
        <n v="7282.68" u="1"/>
        <n v="6989.49" u="1"/>
        <n v="4477.74" u="1"/>
        <n v="711.2" u="1"/>
        <n v="10121.219999999999" u="1"/>
        <n v="3099.9935999999998" u="1"/>
        <n v="2051.6831999999999" u="1"/>
        <n v="861.87360000000001" u="1"/>
        <n v="590.78880000000004" u="1"/>
        <n v="403.71519999999998" u="1"/>
        <n v="182.0112" u="1"/>
        <n v="790.88" u="1"/>
        <n v="752" u="1"/>
        <n v="935.14400000000001" u="1"/>
        <n v="739.2" u="1"/>
        <n v="1529.1" u="1"/>
        <n v="1004.11" u="1"/>
        <n v="2814" u="1"/>
        <n v="9350" u="1"/>
        <n v="6600" u="1"/>
        <n v="4260" u="1"/>
        <n v="960.82" u="1"/>
        <n v="986.92" u="1"/>
        <n v="2740" u="1"/>
        <n v="1233" u="1"/>
        <n v="1324" u="1"/>
        <n v="1368" u="1"/>
        <n v="1352.91" u="1"/>
        <n v="523.88" u="1"/>
        <n v="217.36" u="1"/>
        <n v="797.76239999999996" u="1"/>
        <n v="270.76" u="1"/>
        <n v="2275.58" u="1"/>
        <n v="1457.1" u="1"/>
        <n v="827.4" u="1"/>
        <n v="890.29920000000004" u="1"/>
        <n v="741.24" u="1"/>
        <n v="190.9264" u="1"/>
        <n v="289.20639999999997" u="1"/>
        <n v="755.28319999999997" u="1"/>
        <n v="442.2208" u="1"/>
        <n v="575.93759999999997" u="1"/>
        <n v="780.55039999999997" u="1"/>
        <n v="580.50720000000001" u="1"/>
        <n v="577.74080000000004" u="1"/>
        <n v="455.91840000000002" u="1"/>
        <n v="49.56" u="1"/>
        <n v="143.09" u="1"/>
        <n v="154.97999999999999" u="1"/>
        <n v="144.41" u="1"/>
        <n v="136.93" u="1"/>
        <n v="122.42" u="1"/>
        <n v="122.04" u="1"/>
        <n v="426.96" u="1"/>
        <n v="727.00319999999999" u="1"/>
        <n v="778.44" u="1"/>
        <n v="284.89999999999998" u="1"/>
        <n v="1664.7" u="1"/>
        <n v="418.26400000000001" u="1"/>
        <n v="569.62080000000003" u="1"/>
        <n v="346.11" u="1"/>
        <n v="513.33000000000004" u="1"/>
        <n v="122.7" u="1"/>
        <n v="835.3" u="1"/>
        <n v="1770" u="1"/>
        <n v="647.49" u="1"/>
        <n v="468.14" u="1"/>
        <n v="222.87" u="1"/>
        <n v="8864.0400000000009" u="1"/>
        <n v="424.94" u="1"/>
        <n v="658.15" u="1"/>
        <n v="234.03" u="1"/>
        <n v="496.44" u="1"/>
        <n v="343.56" u="1"/>
        <n v="282.24" u="1"/>
        <n v="627.76" u="1"/>
        <n v="588.82000000000005" u="1"/>
        <n v="600.9" u="1"/>
        <n v="665.38" u="1"/>
        <n v="1475.83" u="1"/>
        <n v="1786.69" u="1"/>
        <n v="1311.68" u="1"/>
        <n v="708.16" u="1"/>
        <n v="1020.7359" u="1"/>
        <n v="663.9" u="1"/>
        <n v="1090.76" u="1"/>
        <n v="1339.03" u="1"/>
        <n v="1399.78" u="1"/>
        <n v="490.69439999999997" u="1"/>
        <n v="84.442400000000006" u="1"/>
        <n v="462.11" u="1"/>
        <n v="888.42" u="1"/>
        <n v="319.31" u="1"/>
        <n v="1310.4000000000001" u="1"/>
        <n v="44.85" u="1"/>
        <n v="52.3" u="1"/>
        <n v="1109.3399999999999" u="1"/>
        <n v="387.91" u="1"/>
        <n v="381.63" u="1"/>
        <n v="1331.01" u="1"/>
        <n v="743.26" u="1"/>
        <n v="779.78" u="1"/>
        <n v="1044.2" u="1"/>
        <n v="276.36" u="1"/>
        <n v="196.92959999999999" u="1"/>
        <n v="372.57" u="1"/>
        <n v="1106.0672" u="1"/>
        <n v="1915.03" u="1"/>
        <n v="1722.8300999999999" u="1"/>
        <n v="277.56" u="1"/>
        <n v="1067.3152" u="1"/>
        <n v="226.36320000000001" u="1"/>
        <n v="287.2912" u="1"/>
        <n v="170.96799999999999" u="1"/>
        <n v="533.6576" u="1"/>
        <n v="1092.0672" u="1"/>
        <n v="2047.4" u="1"/>
        <n v="436.96800000000002" u="1"/>
        <n v="904.34400000000005" u="1"/>
        <n v="1881" u="1"/>
        <n v="279.70499999999998" u="1"/>
        <n v="1825.5440000000001" u="1"/>
        <n v="953.4" u="1"/>
        <n v="607.15200000000004" u="1"/>
        <n v="733.85760000000005" u="1"/>
        <n v="607.16" u="1"/>
        <n v="2554.88" u="1"/>
        <n v="3096.28" u="1"/>
        <n v="654.30999999999995" u="1"/>
        <n v="3563.8847999999998" u="1"/>
        <n v="476.33600000000001" u="1"/>
        <n v="2124" u="1"/>
        <n v="157.08000000000001" u="1"/>
        <n v="683.73" u="1"/>
        <n v="1178.31" u="1"/>
        <n v="253.73" u="1"/>
        <n v="156.46" u="1"/>
        <n v="156.53" u="1"/>
        <n v="161.74" u="1"/>
        <n v="191.03" u="1"/>
        <n v="163.34" u="1"/>
        <n v="320.60000000000002" u="1"/>
        <n v="285.3" u="1"/>
        <n v="793.75" u="1"/>
        <n v="406.74" u="1"/>
        <n v="222.75" u="1"/>
        <n v="15253.2608" u="1"/>
        <n v="491.46390000000002" u="1"/>
        <n v="403.34" u="1"/>
        <n v="654.54" u="1"/>
        <n v="318.95" u="1"/>
        <n v="431.09" u="1"/>
        <n v="791.58" u="1"/>
        <n v="252.49" u="1"/>
        <n v="732.59199999999998" u="1"/>
        <n v="209.86" u="1"/>
        <n v="257.22000000000003" u="1"/>
        <n v="338.27" u="1"/>
        <n v="146.51840000000001" u="1"/>
        <n v="1069.6400000000001" u="1"/>
        <n v="654.25919999999996" u="1"/>
        <n v="3289.4704000000002" u="1"/>
        <n v="594.04999999999995" u="1"/>
        <n v="537.89" u="1"/>
        <n v="684.56" u="1"/>
        <n v="630.49" u="1"/>
        <n v="351.58" u="1"/>
        <n v="567.47" u="1"/>
        <n v="1767.6848" u="1"/>
        <n v="163.56479999999999" u="1"/>
        <n v="400.33280000000002" u="1"/>
        <n v="721.45920000000001" u="1"/>
        <n v="666.6576" u="1"/>
        <n v="964" u="1"/>
        <n v="760.54" u="1"/>
        <n v="774.03" u="1"/>
        <n v="1034.3399999999999" u="1"/>
        <n v="911.85" u="1"/>
        <n v="1963.95" u="1"/>
        <n v="1411.64" u="1"/>
        <n v="943.2" u="1"/>
        <n v="628.79999999999995" u="1"/>
        <n v="1866.75" u="1"/>
        <n v="1493.4" u="1"/>
        <n v="2557.11" u="1"/>
        <n v="841.02" u="1"/>
        <n v="1370.6" u="1"/>
        <n v="601.62" u="1"/>
        <n v="907.28" u="1"/>
        <n v="486.77440000000001" u="1"/>
        <n v="320.79039999999998" u="1"/>
        <n v="777.84" u="1"/>
        <n v="574.74" u="1"/>
        <n v="287.37" u="1"/>
        <n v="770" u="1"/>
        <n v="1045.0999999999999" u="1"/>
        <n v="546.03359999999998" u="1"/>
        <n v="525.7056" u="1"/>
        <n v="783.92160000000001" u="1"/>
        <n v="592.56200000000001" u="1"/>
        <n v="209" u="1"/>
        <n v="518.55999999999995" u="1"/>
        <n v="533.6" u="1"/>
        <n v="197.89" u="1"/>
        <n v="247.5" u="1"/>
        <n v="265.5" u="1"/>
        <n v="795" u="1"/>
        <n v="208.89" u="1"/>
        <n v="753.84960000000001" u="1"/>
        <n v="8417.5" u="1"/>
        <n v="1344" u="1"/>
        <n v="350.2688" u="1"/>
        <n v="802.03200000000004" u="1"/>
        <n v="682.01279999999997" u="1"/>
      </sharedItems>
    </cacheField>
    <cacheField name="Taxa" numFmtId="0">
      <sharedItems containsString="0" containsBlank="1" containsNumber="1" minValue="0" maxValue="494819"/>
    </cacheField>
    <cacheField name="Outras Taxas" numFmtId="0">
      <sharedItems containsString="0" containsBlank="1" containsNumber="1" minValue="0" maxValue="5816.84"/>
    </cacheField>
    <cacheField name="Taxa DU" numFmtId="0">
      <sharedItems containsString="0" containsBlank="1" containsNumber="1" containsInteger="1" minValue="0" maxValue="0"/>
    </cacheField>
    <cacheField name="Taxa BR" numFmtId="0">
      <sharedItems containsString="0" containsBlank="1" containsNumber="1" minValue="0" maxValue="159.93"/>
    </cacheField>
    <cacheField name="Taxa Extra" numFmtId="0">
      <sharedItems containsString="0" containsBlank="1" containsNumber="1" minValue="0" maxValue="1648.3"/>
    </cacheField>
    <cacheField name="Fee" numFmtId="0">
      <sharedItems containsString="0" containsBlank="1" containsNumber="1" minValue="0" maxValue="977.41"/>
    </cacheField>
    <cacheField name="Observação" numFmtId="0">
      <sharedItems containsBlank="1"/>
    </cacheField>
    <cacheField name="Mensagem Erro" numFmtId="0">
      <sharedItems containsBlank="1"/>
    </cacheField>
    <cacheField name="OBTS" numFmtId="0">
      <sharedItems containsBlank="1"/>
    </cacheField>
    <cacheField name="CAMPO" numFmtId="0">
      <sharedItems containsBlank="1"/>
    </cacheField>
    <cacheField name="ORIGEM DO ERRO" numFmtId="0">
      <sharedItems containsBlank="1"/>
    </cacheField>
    <cacheField name="TIPO DE ERRO" numFmtId="0">
      <sharedItems containsBlank="1"/>
    </cacheField>
    <cacheField name="CATEGORIA DE ERRO" numFmtId="0">
      <sharedItems containsBlank="1"/>
    </cacheField>
    <cacheField name="EMPRESA" numFmtId="0">
      <sharedItems containsBlank="1"/>
    </cacheField>
    <cacheField name="Meses (Data Emissão)" numFmtId="0" databaseField="0">
      <fieldGroup base="12">
        <rangePr groupBy="months" startDate="2025-12-18T10:56:00" endDate="2026-07-10T17:59:00"/>
        <groupItems count="14">
          <s v="&lt;18/12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0/07/2026"/>
        </groupItems>
      </fieldGroup>
    </cacheField>
    <cacheField name="Trimestres (Data Emissão)" numFmtId="0" databaseField="0">
      <fieldGroup base="12">
        <rangePr groupBy="quarters" startDate="2025-12-18T10:56:00" endDate="2026-07-10T17:59:00"/>
        <groupItems count="6">
          <s v="&lt;18/12/2025"/>
          <s v="Trim1"/>
          <s v="Trim2"/>
          <s v="Trim3"/>
          <s v="Trim4"/>
          <s v="&gt;10/07/2026"/>
        </groupItems>
      </fieldGroup>
    </cacheField>
    <cacheField name="Anos (Data Emissão)" numFmtId="0" databaseField="0">
      <fieldGroup base="12">
        <rangePr groupBy="years" startDate="2025-12-18T10:56:00" endDate="2026-07-10T17:59:00"/>
        <groupItems count="4">
          <s v="&lt;18/12/2025"/>
          <s v="2025"/>
          <s v="2026"/>
          <s v="&gt;10/07/2026"/>
        </groupItems>
      </fieldGroup>
    </cacheField>
    <cacheField name="Meses (Data Inclusão)" numFmtId="0" databaseField="0">
      <fieldGroup base="3">
        <rangePr groupBy="months" startDate="2026-04-01T23:22:48" endDate="2026-07-06T00:39:13"/>
        <groupItems count="14">
          <s v="&lt;01/04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6/07/2026"/>
        </groupItems>
      </fieldGroup>
    </cacheField>
    <cacheField name="Trimestres (Data Inclusão)" numFmtId="0" databaseField="0">
      <fieldGroup base="3">
        <rangePr groupBy="quarters" startDate="2026-04-01T23:22:48" endDate="2026-07-06T00:39:13"/>
        <groupItems count="6">
          <s v="&lt;01/04/2026"/>
          <s v="Trim1"/>
          <s v="Trim2"/>
          <s v="Trim3"/>
          <s v="Trim4"/>
          <s v="&gt;06/07/2026"/>
        </groupItems>
      </fieldGroup>
    </cacheField>
    <cacheField name="Anos (Data Inclusão)" numFmtId="0" databaseField="0">
      <fieldGroup base="3">
        <rangePr groupBy="years" startDate="2026-04-01T23:22:48" endDate="2026-07-06T00:39:13"/>
        <groupItems count="3">
          <s v="&lt;01/04/2026"/>
          <s v="2026"/>
          <s v="&gt;06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or Freitas dos Santos" refreshedDate="46209.320431018517" createdVersion="8" refreshedVersion="8" minRefreshableVersion="3" recordCount="583" xr:uid="{00000000-000A-0000-FFFF-FFFF8D000000}">
  <cacheSource type="worksheet">
    <worksheetSource ref="A1:AQ1048576" sheet="Processado Erro - BASE"/>
  </cacheSource>
  <cacheFields count="45">
    <cacheField name="Handle PNR" numFmtId="0">
      <sharedItems containsString="0" containsBlank="1" containsNumber="1" containsInteger="1" minValue="24390618" maxValue="24872461"/>
    </cacheField>
    <cacheField name="Handle ACC" numFmtId="0">
      <sharedItems containsString="0" containsBlank="1" containsNumber="1" containsInteger="1" minValue="25188918" maxValue="25713152"/>
    </cacheField>
    <cacheField name="Sequencia" numFmtId="0">
      <sharedItems containsBlank="1"/>
    </cacheField>
    <cacheField name="Data Inclusão" numFmtId="0">
      <sharedItems containsNonDate="0" containsDate="1" containsString="0" containsBlank="1" minDate="2026-04-01T23:22:48" maxDate="2026-07-06T00:39:13" count="515">
        <d v="2026-04-01T23:22:48"/>
        <d v="2026-04-02T11:04:06"/>
        <d v="2026-04-02T17:40:29"/>
        <d v="2026-04-02T17:40:31"/>
        <d v="2026-04-02T11:14:36"/>
        <d v="2026-04-06T11:52:03"/>
        <d v="2026-04-13T22:40:57"/>
        <d v="2026-04-15T11:41:13"/>
        <d v="2026-04-06T18:41:47"/>
        <d v="2026-04-09T17:20:30"/>
        <d v="2026-04-24T08:42:07"/>
        <d v="2026-04-30T13:53:19"/>
        <d v="2026-04-24T09:22:17"/>
        <d v="2026-05-08T11:33:53"/>
        <d v="2026-04-30T15:52:17"/>
        <d v="2026-04-28T10:13:02"/>
        <d v="2026-05-12T09:42:10"/>
        <d v="2026-05-08T06:50:51"/>
        <d v="2026-04-30T20:33:06"/>
        <d v="2026-05-08T10:47:00"/>
        <d v="2026-05-04T15:33:25"/>
        <d v="2026-04-24T12:10:53"/>
        <d v="2026-06-05T20:08:11"/>
        <d v="2026-06-05T20:08:35"/>
        <d v="2026-06-05T20:09:29"/>
        <d v="2026-06-04T01:31:32"/>
        <d v="2026-05-13T00:18:17"/>
        <d v="2026-05-13T00:18:23"/>
        <d v="2026-05-29T13:44:35"/>
        <d v="2026-06-05T14:09:37"/>
        <d v="2026-06-05T14:09:42"/>
        <d v="2026-06-06T10:21:55"/>
        <d v="2026-05-14T13:10:44"/>
        <d v="2026-05-15T13:46:26"/>
        <d v="2026-06-02T18:31:37"/>
        <d v="2026-05-20T18:13:34"/>
        <d v="2026-05-18T14:13:41"/>
        <d v="2026-05-13T16:04:30"/>
        <d v="2026-05-27T11:01:38"/>
        <d v="2026-06-06T20:42:40"/>
        <d v="2026-06-09T10:22:51"/>
        <d v="2026-05-24T13:49:16"/>
        <d v="2026-06-09T12:37:13"/>
        <d v="2026-06-08T11:59:34"/>
        <d v="2026-05-26T22:21:46"/>
        <d v="2026-05-28T18:21:40"/>
        <d v="2026-06-02T11:10:40"/>
        <d v="2026-05-20T15:00:35"/>
        <d v="2026-05-28T18:21:50"/>
        <d v="2026-06-19T10:23:24"/>
        <d v="2026-06-22T13:38:13"/>
        <d v="2026-06-17T18:07:03"/>
        <d v="2026-06-12T09:40:49"/>
        <d v="2026-06-19T14:32:53"/>
        <d v="2026-06-17T09:03:22"/>
        <d v="2026-06-18T06:17:49"/>
        <d v="2026-06-23T10:43:30"/>
        <d v="2026-06-17T10:58:59"/>
        <d v="2026-06-17T10:59:04"/>
        <d v="2026-06-17T19:21:17"/>
        <d v="2026-06-17T19:21:21"/>
        <d v="2026-06-17T19:21:24"/>
        <d v="2026-06-22T14:46:21"/>
        <d v="2026-06-19T06:32:18"/>
        <d v="2026-06-09T17:11:21"/>
        <d v="2026-06-22T20:16:29"/>
        <d v="2026-06-20T14:20:51"/>
        <d v="2026-06-18T18:47:35"/>
        <d v="2026-06-19T00:58:42"/>
        <d v="2026-06-18T15:18:21"/>
        <d v="2026-06-22T12:32:38"/>
        <d v="2026-06-19T12:47:07"/>
        <d v="2026-06-22T14:11:10"/>
        <d v="2026-06-12T11:22:45"/>
        <d v="2026-06-16T15:16:41"/>
        <d v="2026-06-15T09:39:05"/>
        <d v="2026-06-12T10:52:52"/>
        <d v="2026-06-09T22:03:11"/>
        <d v="2026-06-16T22:05:17"/>
        <d v="2026-06-09T23:16:42"/>
        <d v="2026-06-20T10:18:22"/>
        <d v="2026-06-18T18:35:33"/>
        <d v="2026-06-17T21:43:00"/>
        <d v="2026-06-09T23:16:41"/>
        <d v="2026-06-09T18:08:30"/>
        <d v="2026-06-19T12:47:04"/>
        <d v="2026-06-22T19:57:03"/>
        <d v="2026-06-16T18:13:48"/>
        <d v="2026-06-18T16:03:04"/>
        <d v="2026-06-23T12:16:36"/>
        <d v="2026-06-17T12:28:17"/>
        <d v="2026-06-11T16:22:49"/>
        <d v="2026-06-19T11:02:55"/>
        <d v="2026-06-19T11:12:58"/>
        <d v="2026-06-12T22:59:02"/>
        <d v="2026-06-19T10:53:02"/>
        <d v="2026-06-19T19:02:22"/>
        <d v="2026-06-18T15:35:41"/>
        <d v="2026-06-19T19:16:10"/>
        <d v="2026-06-21T22:21:10"/>
        <d v="2026-06-18T11:42:54"/>
        <d v="2026-06-23T11:42:41"/>
        <d v="2026-06-18T09:23:17"/>
        <d v="2026-06-23T20:55:52"/>
        <d v="2026-06-23T21:03:49"/>
        <d v="2026-06-23T14:35:14"/>
        <d v="2026-06-27T15:21:13"/>
        <d v="2026-06-23T12:34:56"/>
        <d v="2026-06-23T15:57:09"/>
        <d v="2026-06-23T20:55:46"/>
        <d v="2026-06-23T19:17:14"/>
        <d v="2026-06-24T19:28:02"/>
        <d v="2026-06-24T11:26:31"/>
        <d v="2026-06-25T20:42:05"/>
        <d v="2026-06-25T14:37:50"/>
        <d v="2026-06-24T14:16:44"/>
        <d v="2026-06-26T11:30:25"/>
        <d v="2026-06-25T22:06:06"/>
        <d v="2026-06-29T09:37:53"/>
        <d v="2026-06-28T08:42:33"/>
        <d v="2026-06-23T14:29:32"/>
        <d v="2026-06-23T20:53:49"/>
        <d v="2026-06-23T20:54:49"/>
        <d v="2026-06-25T22:05:40"/>
        <d v="2026-06-26T09:10:44"/>
        <d v="2026-06-25T15:01:31"/>
        <d v="2026-06-24T11:06:41"/>
        <d v="2026-06-24T02:10:43"/>
        <d v="2026-06-24T02:10:49"/>
        <d v="2026-06-23T14:16:58"/>
        <d v="2026-06-25T14:57:13"/>
        <d v="2026-06-25T14:57:18"/>
        <d v="2026-06-26T15:20:39"/>
        <d v="2026-06-26T21:27:55"/>
        <d v="2026-06-26T21:33:10"/>
        <d v="2026-06-27T03:08:59"/>
        <d v="2026-06-27T03:09:10"/>
        <d v="2026-06-25T21:08:03"/>
        <d v="2026-06-26T08:54:25"/>
        <d v="2026-06-26T08:54:28"/>
        <d v="2026-06-26T08:54:31"/>
        <d v="2026-06-26T08:54:35"/>
        <d v="2026-06-26T08:54:39"/>
        <d v="2026-06-25T14:03:10"/>
        <d v="2026-06-25T14:03:16"/>
        <d v="2026-06-26T16:01:56"/>
        <d v="2026-06-26T16:01:57"/>
        <d v="2026-06-23T20:57:29"/>
        <d v="2026-06-25T15:13:03"/>
        <d v="2026-06-26T15:22:46"/>
        <d v="2026-06-26T15:22:48"/>
        <d v="2026-06-26T17:23:04"/>
        <d v="2026-06-29T08:39:25"/>
        <d v="2026-06-29T08:39:26"/>
        <d v="2026-06-29T08:39:27"/>
        <d v="2026-06-29T08:41:33"/>
        <d v="2026-06-29T08:41:34"/>
        <d v="2026-06-26T14:03:47"/>
        <d v="2026-06-26T18:04:28"/>
        <d v="2026-06-25T11:59:34"/>
        <d v="2026-06-25T12:00:13"/>
        <d v="2026-06-25T18:50:49"/>
        <d v="2026-06-24T17:48:04"/>
        <d v="2026-06-24T17:48:07"/>
        <d v="2026-06-24T16:08:44"/>
        <d v="2026-06-24T16:08:55"/>
        <d v="2026-06-25T15:28:11"/>
        <d v="2026-06-23T20:27:59"/>
        <d v="2026-06-26T21:19:46"/>
        <d v="2026-06-28T15:38:22"/>
        <d v="2026-06-25T18:25:36"/>
        <d v="2026-06-25T10:13:01"/>
        <d v="2026-06-26T15:23:57"/>
        <d v="2026-06-25T09:15:16"/>
        <d v="2026-06-25T16:03:37"/>
        <d v="2026-06-24T12:25:44"/>
        <d v="2026-06-24T19:27:09"/>
        <d v="2026-06-24T19:27:04"/>
        <d v="2026-06-26T15:07:53"/>
        <d v="2026-06-26T15:07:56"/>
        <d v="2026-06-23T12:19:23"/>
        <d v="2026-06-23T12:24:09"/>
        <d v="2026-06-24T21:02:10"/>
        <d v="2026-06-29T09:37:15"/>
        <d v="2026-06-25T14:54:26"/>
        <d v="2026-06-25T10:15:00"/>
        <d v="2026-06-25T15:25:56"/>
        <d v="2026-06-25T20:28:12"/>
        <d v="2026-06-26T10:43:25"/>
        <d v="2026-06-23T12:36:17"/>
        <d v="2026-06-25T14:52:03"/>
        <d v="2026-06-23T14:15:52"/>
        <d v="2026-06-26T16:53:15"/>
        <d v="2026-06-24T21:05:39"/>
        <d v="2026-06-27T16:50:03"/>
        <d v="2026-06-24T14:27:23"/>
        <d v="2026-06-24T12:31:42"/>
        <d v="2026-06-26T17:53:41"/>
        <d v="2026-06-24T17:03:42"/>
        <d v="2026-06-26T15:24:04"/>
        <d v="2026-06-26T15:24:05"/>
        <d v="2026-06-26T15:23:55"/>
        <d v="2026-06-26T15:23:56"/>
        <d v="2026-06-26T16:39:17"/>
        <d v="2026-06-23T13:41:14"/>
        <d v="2026-06-23T18:40:57"/>
        <d v="2026-06-23T12:19:31"/>
        <d v="2026-06-24T14:39:47"/>
        <d v="2026-06-23T16:33:43"/>
        <d v="2026-06-24T17:13:05"/>
        <d v="2026-06-25T15:23:19"/>
        <d v="2026-06-27T18:38:58"/>
        <d v="2026-07-01T10:35:29"/>
        <d v="2026-06-30T10:03:14"/>
        <d v="2026-07-03T09:12:45"/>
        <d v="2026-07-02T18:11:31"/>
        <d v="2026-07-03T12:37:26"/>
        <d v="2026-07-03T12:37:55"/>
        <d v="2026-07-03T12:38:36"/>
        <d v="2026-07-02T23:19:07"/>
        <d v="2026-07-01T16:10:31"/>
        <d v="2026-07-03T11:09:58"/>
        <d v="2026-06-30T20:56:52"/>
        <d v="2026-07-01T13:11:57"/>
        <d v="2026-07-03T11:02:24"/>
        <d v="2026-07-03T11:13:34"/>
        <d v="2026-06-29T14:38:09"/>
        <d v="2026-07-03T09:12:56"/>
        <d v="2026-07-03T09:12:57"/>
        <d v="2026-07-03T09:13:03"/>
        <d v="2026-07-03T09:13:04"/>
        <d v="2026-07-03T09:13:05"/>
        <d v="2026-07-03T08:53:06"/>
        <d v="2026-06-29T12:22:07"/>
        <d v="2026-07-03T11:32:43"/>
        <d v="2026-07-05T11:53:52"/>
        <d v="2026-07-02T20:51:55"/>
        <d v="2026-07-03T13:41:09"/>
        <d v="2026-07-02T19:03:43"/>
        <d v="2026-07-02T18:05:06"/>
        <d v="2026-07-02T18:05:07"/>
        <d v="2026-07-01T14:02:29"/>
        <d v="2026-07-01T19:03:10"/>
        <d v="2026-06-30T12:01:28"/>
        <d v="2026-07-03T14:04:00"/>
        <d v="2026-07-03T14:04:24"/>
        <d v="2026-07-01T15:32:46"/>
        <d v="2026-07-01T13:47:39"/>
        <d v="2026-07-02T21:29:11"/>
        <d v="2026-07-02T21:29:15"/>
        <d v="2026-06-29T16:11:29"/>
        <d v="2026-07-02T23:11:17"/>
        <d v="2026-07-02T23:11:23"/>
        <d v="2026-07-03T11:21:30"/>
        <d v="2026-07-03T12:01:31"/>
        <d v="2026-07-03T12:02:24"/>
        <d v="2026-07-03T12:05:03"/>
        <d v="2026-07-03T12:05:24"/>
        <d v="2026-07-03T09:04:32"/>
        <d v="2026-07-02T10:05:25"/>
        <d v="2026-06-29T11:01:49"/>
        <d v="2026-07-01T10:01:27"/>
        <d v="2026-06-30T20:02:27"/>
        <d v="2026-06-29T16:24:36"/>
        <d v="2026-07-01T22:56:48"/>
        <d v="2026-07-01T22:57:00"/>
        <d v="2026-07-02T17:34:41"/>
        <d v="2026-07-01T22:55:55"/>
        <d v="2026-06-30T22:33:00"/>
        <d v="2026-07-03T10:12:47"/>
        <d v="2026-07-01T22:50:01"/>
        <d v="2026-07-03T14:25:17"/>
        <d v="2026-07-03T12:23:03"/>
        <d v="2026-07-03T12:23:15"/>
        <d v="2026-06-29T16:40:41"/>
        <d v="2026-07-03T14:22:54"/>
        <d v="2026-07-02T12:23:02"/>
        <d v="2026-07-03T12:23:11"/>
        <d v="2026-06-29T18:52:27"/>
        <d v="2026-07-03T10:00:54"/>
        <d v="2026-07-03T10:00:55"/>
        <d v="2026-07-02T09:48:36"/>
        <d v="2026-07-02T17:47:57"/>
        <d v="2026-07-01T10:29:20"/>
        <d v="2026-06-30T04:07:07"/>
        <d v="2026-07-03T11:16:43"/>
        <d v="2026-06-29T22:14:46"/>
        <d v="2026-07-01T16:56:16"/>
        <d v="2026-07-02T17:24:05"/>
        <d v="2026-06-30T22:50:36"/>
        <d v="2026-06-29T16:42:22"/>
        <d v="2026-06-29T10:03:45"/>
        <d v="2026-07-03T12:40:14"/>
        <d v="2026-06-30T16:56:41"/>
        <d v="2026-06-30T18:02:48"/>
        <d v="2026-07-02T18:02:55"/>
        <d v="2026-07-03T14:33:06"/>
        <d v="2026-07-03T13:38:46"/>
        <d v="2026-07-03T13:39:04"/>
        <d v="2026-06-30T16:39:03"/>
        <d v="2026-07-02T23:11:55"/>
        <d v="2026-07-02T17:19:27"/>
        <d v="2026-07-01T15:33:12"/>
        <d v="2026-06-30T19:14:14"/>
        <d v="2026-06-30T10:02:33"/>
        <d v="2026-07-02T17:38:48"/>
        <d v="2026-07-02T23:25:34"/>
        <d v="2026-07-01T16:50:27"/>
        <d v="2026-07-03T11:22:44"/>
        <d v="2026-06-30T22:52:18"/>
        <d v="2026-07-01T16:10:29"/>
        <d v="2026-06-30T17:20:35"/>
        <d v="2026-07-01T10:50:34"/>
        <d v="2026-07-02T16:15:52"/>
        <d v="2026-07-02T17:07:46"/>
        <d v="2026-06-29T16:37:46"/>
        <d v="2026-06-29T16:41:42"/>
        <d v="2026-06-30T15:01:47"/>
        <d v="2026-06-30T15:01:48"/>
        <d v="2026-07-01T15:12:01"/>
        <d v="2026-07-01T15:12:02"/>
        <d v="2026-07-01T14:27:50"/>
        <d v="2026-07-03T14:25:13"/>
        <d v="2026-07-03T19:03:35"/>
        <d v="2026-07-03T19:03:36"/>
        <d v="2026-07-03T11:09:43"/>
        <d v="2026-07-02T12:57:45"/>
        <d v="2026-07-01T10:50:37"/>
        <d v="2026-07-01T17:31:19"/>
        <d v="2026-07-01T17:31:20"/>
        <d v="2026-06-30T17:11:46"/>
        <d v="2026-06-30T17:13:02"/>
        <d v="2026-07-01T23:10:12"/>
        <d v="2026-07-03T12:22:20"/>
        <d v="2026-07-03T14:24:16"/>
        <d v="2026-07-01T10:50:26"/>
        <d v="2026-07-03T14:24:45"/>
        <d v="2026-07-03T14:25:07"/>
        <d v="2026-07-03T11:02:40"/>
        <d v="2026-07-02T23:27:50"/>
        <d v="2026-07-02T18:00:36"/>
        <d v="2026-07-02T23:25:33"/>
        <d v="2026-07-02T20:54:00"/>
        <d v="2026-07-03T14:24:51"/>
        <d v="2026-07-03T12:30:00"/>
        <d v="2026-06-30T19:14:23"/>
        <d v="2026-07-03T11:58:04"/>
        <d v="2026-07-03T11:58:50"/>
        <d v="2026-06-30T20:56:13"/>
        <d v="2026-07-01T10:43:12"/>
        <d v="2026-07-03T14:30:44"/>
        <d v="2026-07-03T14:23:20"/>
        <d v="2026-07-03T11:41:07"/>
        <d v="2026-07-02T12:31:22"/>
        <d v="2026-07-03T13:40:47"/>
        <d v="2026-07-03T13:40:59"/>
        <d v="2026-07-03T11:58:09"/>
        <d v="2026-07-03T14:25:56"/>
        <d v="2026-07-03T12:10:05"/>
        <d v="2026-07-03T12:23:07"/>
        <d v="2026-07-03T12:22:30"/>
        <d v="2026-07-03T12:22:42"/>
        <d v="2026-07-03T12:22:58"/>
        <d v="2026-06-29T22:13:44"/>
        <d v="2026-07-03T12:09:52"/>
        <d v="2026-07-03T14:25:22"/>
        <d v="2026-07-01T23:10:13"/>
        <d v="2026-07-02T19:21:58"/>
        <d v="2026-07-03T14:19:25"/>
        <d v="2026-07-02T20:53:30"/>
        <d v="2026-07-02T20:53:34"/>
        <d v="2026-07-01T12:22:56"/>
        <d v="2026-06-29T18:12:48"/>
        <d v="2026-07-01T15:33:15"/>
        <d v="2026-06-29T09:48:51"/>
        <d v="2026-07-02T13:12:54"/>
        <d v="2026-07-02T10:52:44"/>
        <d v="2026-07-03T11:58:48"/>
        <d v="2026-07-02T10:53:33"/>
        <d v="2026-07-02T10:53:34"/>
        <d v="2026-06-30T16:32:59"/>
        <d v="2026-07-01T16:49:32"/>
        <d v="2026-07-03T10:17:57"/>
        <d v="2026-06-29T14:33:49"/>
        <d v="2026-07-02T20:54:13"/>
        <d v="2026-06-30T18:33:09"/>
        <d v="2026-06-30T17:15:19"/>
        <d v="2026-07-01T15:03:10"/>
        <d v="2026-06-29T17:22:43"/>
        <d v="2026-07-02T17:03:10"/>
        <d v="2026-06-29T16:17:35"/>
        <d v="2026-07-01T11:31:52"/>
        <d v="2026-07-01T13:42:49"/>
        <d v="2026-06-30T11:04:11"/>
        <d v="2026-07-01T12:08:25"/>
        <d v="2026-07-01T12:08:31"/>
        <d v="2026-07-03T14:43:17"/>
        <d v="2026-07-02T18:43:08"/>
        <d v="2026-06-30T20:56:59"/>
        <d v="2026-06-30T10:18:10"/>
        <d v="2026-06-30T10:18:19"/>
        <d v="2026-06-30T11:43:02"/>
        <d v="2026-07-02T15:43:07"/>
        <d v="2026-07-03T16:43:07"/>
        <d v="2026-07-03T16:34:30"/>
        <d v="2026-07-03T16:43:05"/>
        <d v="2026-07-03T15:03:31"/>
        <d v="2026-07-03T18:57:50"/>
        <d v="2026-07-03T18:58:07"/>
        <d v="2026-07-03T18:58:35"/>
        <d v="2026-07-06T00:39:13"/>
        <d v="2026-07-03T16:27:19"/>
        <d v="2026-07-03T17:56:20"/>
        <d v="2026-07-03T15:56:51"/>
        <d v="2026-07-03T18:03:20"/>
        <d v="2026-07-03T16:44:13"/>
        <d v="2026-07-03T17:35:06"/>
        <d v="2026-07-03T17:35:09"/>
        <d v="2026-07-03T17:35:11"/>
        <d v="2026-07-03T17:35:14"/>
        <d v="2026-07-03T17:42:59"/>
        <d v="2026-07-03T17:43:00"/>
        <d v="2026-07-03T18:48:12"/>
        <d v="2026-07-03T17:35:49"/>
        <d v="2026-07-03T17:36:05"/>
        <d v="2026-07-03T17:36:11"/>
        <d v="2026-07-04T11:32:57"/>
        <d v="2026-07-03T15:01:04"/>
        <d v="2026-07-03T18:05:04"/>
        <d v="2026-07-04T11:02:39"/>
        <d v="2026-07-04T10:04:47"/>
        <d v="2026-07-03T17:58:33"/>
        <d v="2026-07-03T15:47:16"/>
        <d v="2026-07-03T23:35:02"/>
        <d v="2026-07-03T17:53:25"/>
        <d v="2026-07-03T16:03:53"/>
        <d v="2026-07-03T17:19:40"/>
        <d v="2026-07-03T17:36:26"/>
        <d v="2026-07-03T17:36:48"/>
        <d v="2026-07-03T18:13:12"/>
        <d v="2026-07-03T18:13:14"/>
        <d v="2026-07-03T18:13:40"/>
        <d v="2026-07-03T18:13:51"/>
        <d v="2026-07-03T17:52:53"/>
        <d v="2026-07-03T15:46:27"/>
        <d v="2026-07-03T15:46:46"/>
        <d v="2026-07-03T18:02:19"/>
        <d v="2026-07-03T17:58:18"/>
        <d v="2026-07-03T16:34:57"/>
        <d v="2026-07-03T16:33:14"/>
        <d v="2026-07-03T17:56:11"/>
        <d v="2026-07-03T17:56:14"/>
        <d v="2026-07-03T17:23:56"/>
        <d v="2026-07-03T17:24:11"/>
        <d v="2026-07-04T17:37:43"/>
        <d v="2026-07-03T17:23:59"/>
        <d v="2026-07-03T17:24:08"/>
        <d v="2026-07-03T17:42:12"/>
        <d v="2026-07-03T17:40:59"/>
        <d v="2026-07-03T17:41:02"/>
        <d v="2026-07-03T17:41:05"/>
        <d v="2026-07-03T17:41:17"/>
        <d v="2026-07-03T17:41:38"/>
        <d v="2026-07-03T17:42:09"/>
        <d v="2026-07-03T17:42:29"/>
        <d v="2026-07-05T18:02:17"/>
        <d v="2026-07-03T18:15:39"/>
        <d v="2026-07-03T18:15:29"/>
        <d v="2026-07-03T14:53:48"/>
        <d v="2026-07-03T14:55:02"/>
        <d v="2026-07-03T19:00:54"/>
        <d v="2026-07-03T19:01:00"/>
        <d v="2026-07-03T19:01:20"/>
        <d v="2026-07-03T19:01:36"/>
        <d v="2026-07-04T00:32:03"/>
        <d v="2026-07-03T17:57:49"/>
        <d v="2026-07-03T17:58:05"/>
        <d v="2026-07-03T17:57:58"/>
        <d v="2026-07-03T17:58:02"/>
        <d v="2026-07-03T16:44:23"/>
        <d v="2026-07-03T16:44:18"/>
        <d v="2026-07-03T16:44:21"/>
        <d v="2026-07-03T17:09:46"/>
        <d v="2026-07-04T18:11:13"/>
        <d v="2026-07-04T10:49:09"/>
        <d v="2026-07-03T18:17:45"/>
        <d v="2026-07-04T19:12:09"/>
        <d v="2026-07-04T20:16:19"/>
        <d v="2026-07-05T12:31:21"/>
        <d v="2026-07-05T11:01:07"/>
        <d v="2026-07-03T15:26:15"/>
        <d v="2026-07-03T23:21:12"/>
        <d v="2026-07-04T13:26:10"/>
        <d v="2026-07-04T17:04:13"/>
        <d v="2026-07-05T21:05:14"/>
        <d v="2026-07-04T20:12:15"/>
        <d v="2026-07-03T17:05:48"/>
        <d v="2026-07-03T17:05:55"/>
        <d v="2026-07-03T18:12:27"/>
        <d v="2026-07-03T18:12:39"/>
        <d v="2026-07-03T15:07:03"/>
        <d v="2026-07-03T16:34:34"/>
        <d v="2026-07-03T19:00:44"/>
        <d v="2026-07-03T18:48:05"/>
        <d v="2026-07-03T15:06:59"/>
        <d v="2026-07-03T15:33:07"/>
        <d v="2026-07-03T18:11:12"/>
        <d v="2026-07-03T16:26:44"/>
        <d v="2026-07-03T15:13:07"/>
        <d v="2026-07-03T15:53:00"/>
        <d v="2026-07-03T18:23:04"/>
        <d v="2026-07-03T16:27:55"/>
        <d v="2026-07-03T18:48:08"/>
        <d v="2026-07-03T16:34:17"/>
        <m/>
      </sharedItems>
      <fieldGroup par="44"/>
    </cacheField>
    <cacheField name="Data Alteração" numFmtId="0">
      <sharedItems containsNonDate="0" containsDate="1" containsString="0" containsBlank="1" minDate="2026-04-30T21:13:52" maxDate="2026-07-06T06:50:25"/>
    </cacheField>
    <cacheField name="Aging Alteração" numFmtId="0">
      <sharedItems containsBlank="1" count="8">
        <s v="31 dias ou +"/>
        <s v="03 a 05 dias"/>
        <s v="0 a 02 dias"/>
        <s v="24 a 31 dias"/>
        <s v="09 a 15 dias"/>
        <s v="16 a 23 dias"/>
        <s v="06 a 08 dias"/>
        <m/>
      </sharedItems>
    </cacheField>
    <cacheField name="Aging Inclusão" numFmtId="0">
      <sharedItems containsBlank="1" count="8">
        <s v="31 dias ou +"/>
        <s v="24 a 31 dias"/>
        <s v="16 a 23 dias"/>
        <s v="09 a 15 dias"/>
        <s v="06 a 08 dias"/>
        <s v="03 a 05 dias"/>
        <s v="0 a 02 dias"/>
        <m/>
      </sharedItems>
    </cacheField>
    <cacheField name="Localizadora" numFmtId="0">
      <sharedItems containsBlank="1" containsMixedTypes="1" containsNumber="1" containsInteger="1" minValue="16566" maxValue="202606190891"/>
    </cacheField>
    <cacheField name="OBT" numFmtId="0">
      <sharedItems containsBlank="1"/>
    </cacheField>
    <cacheField name="Pax" numFmtId="0">
      <sharedItems containsBlank="1"/>
    </cacheField>
    <cacheField name="Agente Emissão" numFmtId="0">
      <sharedItems containsBlank="1"/>
    </cacheField>
    <cacheField name="Agente Criação" numFmtId="0">
      <sharedItems containsBlank="1"/>
    </cacheField>
    <cacheField name="Data Emissão" numFmtId="0">
      <sharedItems containsNonDate="0" containsDate="1" containsString="0" containsBlank="1" minDate="2025-12-18T10:56:00" maxDate="2026-07-10T17:59:00"/>
    </cacheField>
    <cacheField name="Requisição" numFmtId="0">
      <sharedItems containsBlank="1" containsMixedTypes="1" containsNumber="1" containsInteger="1" minValue="77" maxValue="19608144"/>
    </cacheField>
    <cacheField name="Local Retirada" numFmtId="0">
      <sharedItems containsBlank="1"/>
    </cacheField>
    <cacheField name="Status Requisicao" numFmtId="0">
      <sharedItems containsBlank="1"/>
    </cacheField>
    <cacheField name="Forma Pagamento" numFmtId="0">
      <sharedItems containsBlank="1"/>
    </cacheField>
    <cacheField name="Forma Recebimento" numFmtId="0">
      <sharedItems containsBlank="1"/>
    </cacheField>
    <cacheField name="Serviço" numFmtId="0">
      <sharedItems containsBlank="1" count="5">
        <s v="Aéreo"/>
        <s v="Hotel"/>
        <s v="Carro"/>
        <s v="Serviço"/>
        <m/>
      </sharedItems>
    </cacheField>
    <cacheField name="Cancelado" numFmtId="0">
      <sharedItems containsBlank="1"/>
    </cacheField>
    <cacheField name="Grupo Empresarial" numFmtId="0">
      <sharedItems containsBlank="1" count="193">
        <s v="Grupo Neon"/>
        <s v="Grupo Honeywell"/>
        <s v="Grupo Track e Field"/>
        <s v="Grupo Innomotics"/>
        <s v="Grupo Sep"/>
        <s v="Grupo Ocean Pact"/>
        <s v="Grupo Fm Global"/>
        <s v="Grupo Weir Group"/>
        <s v="Grupo Nielseniq"/>
        <s v="Grupo Claro Sa"/>
        <s v="Grupo Ache"/>
        <s v="Grupo Jti"/>
        <s v="Grupo Kpmg"/>
        <s v="Grupo Rhenus"/>
        <s v="Grupo Orizon"/>
        <s v="Grupo Bosch"/>
        <s v="Grupo Livanova"/>
        <s v="Grupo Iron Mountain"/>
        <s v="Grupo Aspen Pharma"/>
        <s v="Grupo Energisa"/>
        <s v="Grupo Lazer Kontik"/>
        <s v="Grupo Axa"/>
        <s v="-"/>
        <s v="Grupo Benner"/>
        <s v="Grupo Basf"/>
        <s v="Grupo Arcadis"/>
        <s v="Grupo British American Tobacco"/>
        <s v="Grupo Casas Bahia"/>
        <s v="Grupo Htb"/>
        <s v="Kontik"/>
        <s v="Grupo Parexel"/>
        <s v="Grupo Nzte"/>
        <s v="Grupo Deloitte"/>
        <s v="Grupo Banco Genial Investimentos"/>
        <s v="Grupo Biomerieux"/>
        <s v="Grupo Ultra"/>
        <s v="Grupo Braskem"/>
        <s v="Grupo Amway"/>
        <s v="Grupo Ihs"/>
        <s v="Grupo Intercement"/>
        <s v="Grupo Ultragaz"/>
        <s v="Grupo Kontrip"/>
        <s v="Grupo Odontoprev"/>
        <s v="Grupo Lojas Renner"/>
        <s v="Grupo Uol"/>
        <s v="Grupo Constellation"/>
        <s v="Grupo Biolab"/>
        <s v="Grupo Motiva"/>
        <s v="Grupo Yamaha"/>
        <s v="Grupo Diageo"/>
        <s v="Independente"/>
        <s v="Grupo Baker Mckenzie"/>
        <s v="Grupo Meguro"/>
        <s v="Grupo Chanel"/>
        <s v="Grupo Atento"/>
        <s v="Grupo Airbus/helibras"/>
        <s v="Grupo Kontik Businees Travel"/>
        <s v="Grupo Santista"/>
        <s v="Grupo Hypera"/>
        <s v="Grupo Zf"/>
        <s v="Grupo Petroreconcavo"/>
        <s v="Grupo Elanco"/>
        <s v="Grupo Stanley Black e Decker"/>
        <s v="Grupo Shell"/>
        <s v="Grupo Enaex"/>
        <s v="Grupo Hpe"/>
        <s v="Grupo Epson"/>
        <s v="Grupo Bernoulli Educacao"/>
        <s v="Grupo Syngenta"/>
        <s v="Grupo Tecban"/>
        <s v="Grupo PWC"/>
        <s v="GRUPO ADM ARCHER DANIELS MIDLAND"/>
        <s v="Grupo Ingredion"/>
        <s v="Grupo Worldvision"/>
        <s v="Grupo Rede Gazeta"/>
        <s v="Grupo Vertex"/>
        <s v="Grupo Taesa"/>
        <s v="Grupo Ferreira Costa"/>
        <s v="Grupo Sompo Seguros"/>
        <s v="Grupo Santo Antonio Energia"/>
        <s v="Grupo Atlas Copco"/>
        <s v="Grupo Lyondell Basell"/>
        <s v="Grupo Cmoc"/>
        <s v="Grupo Marisa"/>
        <s v="Grupo Pepsico"/>
        <s v="Grupo Zupper"/>
        <s v="Grupo Enesa"/>
        <m/>
        <s v="Grupo Firmenich" u="1"/>
        <s v="Grupo Avaya" u="1"/>
        <s v="Grupo Avenida" u="1"/>
        <s v="Grupo Spotify" u="1"/>
        <s v="Grupo Fraport" u="1"/>
        <s v="Grupo Isdin" u="1"/>
        <s v="Grupo Nyasa Empreendimentos" u="1"/>
        <s v="Grupo Unica" u="1"/>
        <s v="Grupo Jealsa" u="1"/>
        <s v="Grupo Wallenius" u="1"/>
        <s v="Grupo Ses" u="1"/>
        <s v="Grupo South 32" u="1"/>
        <s v="Grupo Syntegon" u="1"/>
        <s v="Grupo Mars" u="1"/>
        <s v="Grupo Tupperware" u="1"/>
        <s v="Grupo Estre" u="1"/>
        <s v="Grupo Martins" u="1"/>
        <s v="Grupo Acelen" u="1"/>
        <s v="Grupo Raizen" u="1"/>
        <s v="Grupo Mattos Filho" u="1"/>
        <s v="Grupo Invepar" u="1"/>
        <s v="Grupo Sony Pictures" u="1"/>
        <s v="Grupo Pessoa Fisica" u="1"/>
        <s v="Grupo Fs Bioenergia" u="1"/>
        <s v="Grupo Pharmacopeia" u="1"/>
        <s v="Grupo Sibelco" u="1"/>
        <s v="Grupo Mercurio York" u="1"/>
        <s v="Grupo Icon" u="1"/>
        <s v="Grupo Falcon Active" u="1"/>
        <s v="Grupo Patria" u="1"/>
        <s v="Grupo Crocs" u="1"/>
        <s v="Grupo Aeroleo" u="1"/>
        <s v="Grupo Consulado Britanico" u="1"/>
        <s v="Grupo Tec Toy" u="1"/>
        <s v="Grupo Light" u="1"/>
        <s v="Grupo Amadeus" u="1"/>
        <s v="Grupo Cbo" u="1"/>
        <s v="Grupo Pepsico do Brasil" u="1"/>
        <s v="Grupo Bernoulli" u="1"/>
        <s v="Grupo The Constellation" u="1"/>
        <s v="GRUPO ADM" u="1"/>
        <s v="Grupo Sacs" u="1"/>
        <s v="Grupo Winity" u="1"/>
        <s v="Grupo Mover" u="1"/>
        <s v="Grupo Bosch Consierge" u="1"/>
        <s v="Grupo Mensa" u="1"/>
        <s v="Grupo Cold Control" u="1"/>
        <s v="Grupo Banco Bbm" u="1"/>
        <s v="Grupo Cyncly" u="1"/>
        <s v="Grupo Dalazen &amp; Pessoa Sociedade de Advogados" u="1"/>
        <s v="ADM ARCHER DANIELS MIDLAND" u="1"/>
        <s v="Nobre" u="1"/>
        <s v="Grupo Occ" u="1"/>
        <s v="Grupo Renner" u="1"/>
        <s v="Grupo Merb" u="1"/>
        <s v="Grupo Adidas" u="1"/>
        <s v="Deville Hoteis" u="1"/>
        <s v="Grupo Verizon" u="1"/>
        <s v="Grupo Atos" u="1"/>
        <s v="South 32" u="1"/>
        <s v="Grupo Samsung" u="1"/>
        <s v="Grupo Valentino" u="1"/>
        <s v="Grupo Gtm" u="1"/>
        <s v="Grupo Sumedical" u="1"/>
        <s v="Grupo System Service" u="1"/>
        <s v="Grupo Rio Galeao" u="1"/>
        <s v="Grupo Softbox" u="1"/>
        <s v="Grupo Inframerica" u="1"/>
        <s v="Grupo Bradesco" u="1"/>
        <s v="Grupo Glory" u="1"/>
        <s v="Grupo Arxada" u="1"/>
        <s v="Grupo Itausa" u="1"/>
        <s v="Grupo Consolidacao" u="1"/>
        <s v="Grupo Ourolux" u="1"/>
        <s v="Grupo Abegas" u="1"/>
        <s v="Seco Ambiental Licitacoes" u="1"/>
        <s v="Grupo Inovents" u="1"/>
        <s v="Grupo Furnas Eletrobras" u="1"/>
        <s v="Grupo Kelloggs Co" u="1"/>
        <s v="Grupo Lumileds" u="1"/>
        <s v="Grupo Tecnomyl" u="1"/>
        <s v="Grupo Stark Bank" u="1"/>
        <s v="Grupo Metrorio" u="1"/>
        <s v="Grupo Occ Par" u="1"/>
        <s v="Grupo Rm Cursos Medicos" u="1"/>
        <s v="Grupo Toou" u="1"/>
        <s v="Grupo Ccr" u="1"/>
        <s v="Grupo G4 Educacao" u="1"/>
        <s v="Grupo Agoro Carbon" u="1"/>
        <s v="Grupo Efi" u="1"/>
        <s v="Grupo Acav" u="1"/>
        <s v="Sse do Brasil" u="1"/>
        <s v="Grupo Opportunity" u="1"/>
        <s v="Grupo Intecom" u="1"/>
        <s v="Grupo Arezzo Varejo" u="1"/>
        <s v="Pousadas" u="1"/>
        <s v="Grupo Ultragaz (inativo)" u="1"/>
        <s v="Grupo Especiarya Industria" u="1"/>
        <s v="Agoro Carbon" u="1"/>
        <s v="Grupo Cielo" u="1"/>
        <s v="Grupo Dnit Services" u="1"/>
        <s v="Grupo Kws" u="1"/>
        <s v="Grupo Allianca" u="1"/>
        <s v="Grupo Gic" u="1"/>
        <s v="Grupo Wood Mackenzie" u="1"/>
      </sharedItems>
    </cacheField>
    <cacheField name="Cliente" numFmtId="0">
      <sharedItems containsBlank="1"/>
    </cacheField>
    <cacheField name="Cliente Fee POS" numFmtId="0">
      <sharedItems containsBlank="1"/>
    </cacheField>
    <cacheField name="Fornecedor" numFmtId="0">
      <sharedItems containsBlank="1"/>
    </cacheField>
    <cacheField name="Bilhete" numFmtId="0">
      <sharedItems containsBlank="1" containsMixedTypes="1" containsNumber="1" containsInteger="1" minValue="0" maxValue="9751493047"/>
    </cacheField>
    <cacheField name="Canal de Vendas" numFmtId="0">
      <sharedItems containsBlank="1" count="118">
        <s v="KON-OPE-RIO-PVI-BTC RJ"/>
        <s v="FCM-OPE-SAO-PVI-BTC-CONCUR-HONEYWELL"/>
        <s v="KON-OPE-SAO-PVI-BTC-ARGO"/>
        <s v="FCM-OPE-SAO-PVI-BTC"/>
        <s v="FCM-OPE-SAO-PVI-BTC-CYTRIC-S&amp;P"/>
        <s v="KON-OPE-RIO-POS-OCEANPACT"/>
        <s v="FCM-OPE-SAO-PVI-BTC-FM GLOBAL"/>
        <s v="FCM-OPE-SAO-PVI-BTC-CONCUR"/>
        <s v="FCM-OPE-SAO-PVI-BTC-CONCUR-NIELSENIQ"/>
        <s v="-"/>
        <s v="KON-OPE-SAO-POS-CLARO"/>
        <s v="KON-OPE-SAO-PVI-ACHE"/>
        <s v="FCM-OPE-POA-PVI-BTC CONCUR"/>
        <s v="KON-OPE-SAO-PVI-KPMG"/>
        <s v="FCM-OPE-POA-BTC FCM"/>
        <s v="KON-OPE-SAO-PVI-BTC-ARGO-CIELO"/>
        <s v="FCM-OPE-SAO-PVI-BOSCH"/>
        <s v="FCM-OPE-SAO-PVI-BTC-CONCUR-IRON "/>
        <s v="EMERGENCIAL"/>
        <s v="KON-OPE-RIO-PVI-BTC-ASPEN PHARMA"/>
        <s v="KON-OPE-SAO-PVI-ENERGISA"/>
        <s v="FCM-OPE-SAO-PVI-BTC-CONCUR-AXA"/>
        <s v="FCM-OPE-SAO-PVI-BASF"/>
        <s v="FCM-OPE-SAO-PVI-ARCADIS"/>
        <s v="FCM-OPE-SAO-PVI-BAT"/>
        <s v="KON-OPE-RIO-PVI-CASAS BAHIA"/>
        <s v="KON-OPE-SAO-SUP-KONTIK ONE"/>
        <s v="KON-OPE-SAO-PVI-BTC-ARGO-HTB"/>
        <s v="KON-OPE-SAO-SUP-CENTRAL DE EMISSAO"/>
        <s v="FCM-OPE-SAO-PVI-BTC FCM"/>
        <s v="KON-OPE-SAO-PVI-BTC-ARGO-DELOITTE"/>
        <s v="KON-OPE-RIO-PVI-BTC-BIOMERIEUX"/>
        <s v="KON-OPE-SAO-PVI-BRASKEM"/>
        <s v="FCM-OPE-SAO-PVI-BTC-CYTRIC-AMWAY"/>
        <s v="KON-OPE-SAO-PVI-MOVER"/>
        <s v="KONTRIP"/>
        <s v="KON-OPE-RIO-PVI-RENNER"/>
        <s v="KON-OPE-RIO-PVI-UOL"/>
        <s v="KON-OPE-RIO-PVI-CONSTELLATION"/>
        <s v="KON-OPE-SAO-PVI-BIOLAB"/>
        <s v="KON-OPE-SAO-PVI-CCR"/>
        <s v="KON-OPE-SAO-PVI-YAMAHA"/>
        <s v="KON-OPE-SAO-PVI-BTC-ARGO-ODONTOPREV"/>
        <s v="FCM-OPE-SAO-PVI-DIAGEO"/>
        <s v="EMF DIRETORIA"/>
        <s v="FCM-OPE-SAO-PVI-BTC-CONCUR-CHANEL"/>
        <s v="FCM-OPE-POA-PVI-ATENTO"/>
        <s v="KON-OPE-SAO-SUP-KONTIK DESPESAS"/>
        <s v="KON-OPE-RIO-PVI-BTC"/>
        <s v="KON-OPE-RIO-PVI-BTC-PETRORECONCAVO"/>
        <s v="FCM-OPE-SAO-PVI-SHELL"/>
        <s v="KON-OPE-RIO-PVI-ENAEX"/>
        <s v="KON-OPE-SAO-PVI-BERNOULLI"/>
        <s v="FCM-OPE-POA-PVI-SYNGENTA"/>
        <s v="KON-OPE-SAO-PVI-BTC ARGO"/>
        <s v="KON-OPE-SAO-PVI-PWC"/>
        <s v="FCM-OPE-SAO-PVI-ADM"/>
        <s v="FCM-OPE-SAO-PVI-INGREDION"/>
        <s v="FCM-OPE-SAO-PVI-BTC-CONCUR-"/>
        <s v="KON-OPE-SAO-PVI-HYPERA"/>
        <s v="KON-OPE-RIO-POS-TAESA"/>
        <s v="KON-OPE-RIO-PVI-FERREIRA COSTA"/>
        <s v="KON-OPE-RIO-PVI-BTC-CMOC"/>
        <s v="ZUPPER"/>
        <m/>
        <s v="FCM-OPE-SAO-PVI-BTC-FIRMENICH" u="1"/>
        <s v="FCM-OPE-SAO-PVI-BTC-CONCUR-AVAYA" u="1"/>
        <s v="KON-OPE-POA-PVI-PEPSICO" u="1"/>
        <s v="KONCEPT TRAVEL" u="1"/>
        <s v="INOVENTS" u="1"/>
        <s v="TOOU" u="1"/>
        <s v="POSTO FCM" u="1"/>
        <s v="HOT LINE - SAO PAULO" u="1"/>
        <s v="FCM-OPE-SAO-PVI-BTC-LYONDELL BASELL" u="1"/>
        <s v="KON-OPE-RIO-PVI-ACELEN" u="1"/>
        <s v="KON-OPE-SAO-PVI-MATTOS FILHO" u="1"/>
        <s v="FCM-OPE-SAO-PVI-BTC CONCUR" u="1"/>
        <s v="KON-OPE-SAO-PVI-FS" u="1"/>
        <s v="FCM-OPE-SAO-PVI-BTC-CONCUR-SIBELCO" u="1"/>
        <s v="K-CLUB" u="1"/>
        <s v="FCM-OPE-SAO-PVI-BTC-PRA/RPS" u="1"/>
        <s v="KON-OPE-RIO-PVI-BTC-FALCON ACTIVE" u="1"/>
        <s v="KON-OPE-RIO-PVI-PATRIA" u="1"/>
        <s v="KON-OPE-SAO-PVI-BTC-LEMON" u="1"/>
        <s v="KON-OPE-SAO-PVI-ULTRA" u="1"/>
        <s v="FCM-OPE-SAO-PVI-MARS" u="1"/>
        <s v="HOT LINE - RIO DE JANEIRO" u="1"/>
        <s v="KON-OPE-RIO-PVI-BTC-LIGHT" u="1"/>
        <s v="INO-EVE-SAO-PVI-UOL" u="1"/>
        <s v="POSTO KONCEPT" u="1"/>
        <s v="KON-OPE-RIO-PVI-BTC-CBO" u="1"/>
        <s v="KON-OPE-SAO-PVI-BTC SP" u="1"/>
        <s v="FCM-OPE-POA-BTC CONCUR" u="1"/>
        <s v="KON-OPE-SAO-PVI-BTC" u="1"/>
        <s v="KON-OPE-RIO-PVI-BTC-BANCO BBM" u="1"/>
        <s v="FCM-OPE-SAO-PVI-JTI" u="1"/>
        <s v="FCM-OPE-SAO-PVI-ATOS" u="1"/>
        <s v="KON-OPE-SAO-PVI-SAMSUNG" u="1"/>
        <s v="POSTO CBO" u="1"/>
        <s v="FCM-OPE-SAO-PVI-BTC-SYNTEGON" u="1"/>
        <s v="POSTO EVENTOS BRADESCO SEGUROS" u="1"/>
        <s v="FCM-OPE-SAO-PVI-ADIDAS" u="1"/>
        <s v="FCM-OPE-SAO-PVI-BTC-LONZA" u="1"/>
        <s v="KON-OPE-SAO-PVI-BTC-KONTIK DESPESAS " u="1"/>
        <s v="KON-OPE-RIO-POS-FURNAS ELETROBRAS" u="1"/>
        <s v="KON-OPE-SAO-PVI-ITAU" u="1"/>
        <s v="KON-OPE-SAO-PVI-BTC-ESTRE" u="1"/>
        <s v="FCM-OPE-SAO-PVI-KELLOGGS" u="1"/>
        <s v="POSTO TRANSPETRO" u="1"/>
        <s v="KON-OPE-RIO-PVI-BTC-TECNOMYL" u="1"/>
        <s v="FCM-OPE-SAO-PVI-BOSCH CONCIERGE" u="1"/>
        <s v="POSTO PETROBRAS" u="1"/>
        <s v="JINBOO" u="1"/>
        <s v="FAKE-SUPOR-BENNER" u="1"/>
        <s v="KON-OPE-RIO-PVI-SSE" u="1"/>
        <s v="KON-OPE-SAO-PVI-AREZZO" u="1"/>
        <s v="KON-OPE-RIO-PVI-BTC-CONCEBRA" u="1"/>
        <s v="POSTO BRADESCO" u="1"/>
      </sharedItems>
    </cacheField>
    <cacheField name="Codigo Evento" numFmtId="0">
      <sharedItems containsBlank="1"/>
    </cacheField>
    <cacheField name="Tarifa" numFmtId="0">
      <sharedItems containsString="0" containsBlank="1" containsNumber="1" minValue="0" maxValue="4348464.38" count="8000">
        <n v="1053.2"/>
        <n v="1356.94"/>
        <n v="1555.2619999999999"/>
        <n v="1861.69"/>
        <n v="2182.0100000000002"/>
        <n v="3101.4"/>
        <n v="9702"/>
        <n v="2926.6439999999998"/>
        <n v="0"/>
        <n v="246.16"/>
        <n v="186.13"/>
        <n v="1177.04"/>
        <n v="3468.0985000000001"/>
        <n v="5234.0254999999997"/>
        <n v="782"/>
        <n v="2004.17"/>
        <n v="399"/>
        <n v="647.1"/>
        <n v="1974"/>
        <n v="2248.0500000000002"/>
        <n v="760"/>
        <n v="1590.1987999999999"/>
        <n v="1059"/>
        <n v="373.5"/>
        <n v="186.75"/>
        <n v="8001.63"/>
        <n v="4416.5600000000004"/>
        <n v="3779.18"/>
        <n v="5155.8"/>
        <n v="3064.2"/>
        <n v="609.55999999999995"/>
        <n v="1132.04"/>
        <n v="1061.1608000000001"/>
        <n v="3011.52"/>
        <n v="2233.1799999999998"/>
        <n v="2812.02"/>
        <n v="154.19999999999999"/>
        <n v="2028.5822000000001"/>
        <n v="8935.36"/>
        <n v="332.27"/>
        <n v="580"/>
        <n v="1528.32"/>
        <n v="5168"/>
        <n v="194.26"/>
        <n v="387.82"/>
        <n v="878.7"/>
        <n v="16109.77"/>
        <n v="8370.17"/>
        <n v="1131.81"/>
        <n v="338"/>
        <n v="1589.8526999999999"/>
        <n v="10406.4432"/>
        <n v="233.5"/>
        <n v="1266.0498"/>
        <n v="3472.76"/>
        <n v="1327.1220000000001"/>
        <n v="1800"/>
        <n v="680"/>
        <n v="986"/>
        <n v="813"/>
        <n v="480"/>
        <n v="240"/>
        <n v="548"/>
        <n v="230"/>
        <n v="506.84"/>
        <n v="1351.71"/>
        <n v="1263.72"/>
        <n v="1163.19"/>
        <n v="996.15"/>
        <n v="656.88"/>
        <n v="85.83"/>
        <n v="1257.9000000000001"/>
        <n v="1360.95"/>
        <n v="21548.73"/>
        <n v="175"/>
        <n v="11547.02"/>
        <n v="650"/>
        <n v="1055"/>
        <n v="554"/>
        <n v="1619.32"/>
        <n v="2274.8000000000002"/>
        <n v="998.95"/>
        <n v="6235.8"/>
        <n v="918"/>
        <n v="1959.768"/>
        <n v="1320"/>
        <n v="2595.8717999999999"/>
        <n v="1500"/>
        <n v="1188"/>
        <n v="9637"/>
        <n v="436"/>
        <n v="920"/>
        <n v="220"/>
        <n v="618"/>
        <n v="6968.9664000000002"/>
        <n v="3321.4133999999999"/>
        <n v="2600"/>
        <n v="2723.22"/>
        <n v="6322.5"/>
        <n v="3685.3"/>
        <n v="1196"/>
        <n v="182.01"/>
        <n v="249.07499999999999"/>
        <n v="282.67500000000001"/>
        <n v="9490.68"/>
        <n v="668.72"/>
        <n v="5241.78"/>
        <n v="6422.6"/>
        <n v="3935.92"/>
        <n v="1316"/>
        <n v="672"/>
        <n v="1071.96"/>
        <n v="21479.3436"/>
        <n v="337.68"/>
        <n v="780"/>
        <n v="887.94"/>
        <n v="884"/>
        <n v="1148.9100000000001"/>
        <n v="1710"/>
        <n v="537.48"/>
        <n v="274.88"/>
        <n v="210"/>
        <n v="440.99"/>
        <n v="122.25"/>
        <n v="700"/>
        <n v="120"/>
        <n v="310"/>
        <n v="489"/>
        <n v="7320"/>
        <n v="750"/>
        <n v="78.989999999999995"/>
        <n v="300"/>
        <n v="150"/>
        <n v="570"/>
        <n v="720"/>
        <n v="1230"/>
        <n v="1490"/>
        <n v="304"/>
        <n v="760.49"/>
        <n v="354.2"/>
        <n v="250"/>
        <n v="1269.99"/>
        <n v="478"/>
        <n v="439"/>
        <n v="1567.7"/>
        <n v="501.8"/>
        <n v="160"/>
        <n v="360"/>
        <n v="270"/>
        <n v="867"/>
        <n v="186.66"/>
        <n v="190.12"/>
        <n v="2385.33"/>
        <n v="4832.1064999999999"/>
        <n v="3140.8"/>
        <n v="1245.23"/>
        <n v="2766.4"/>
        <n v="2509.59"/>
        <n v="1927.31"/>
        <n v="1372.24"/>
        <n v="472.15"/>
        <n v="2864.52"/>
        <n v="760.85429999999997"/>
        <n v="483.29"/>
        <n v="2779.5"/>
        <n v="15660.65"/>
        <n v="2681.59"/>
        <n v="2348"/>
        <n v="409"/>
        <n v="6705"/>
        <n v="394"/>
        <n v="529"/>
        <n v="424"/>
        <n v="958.65"/>
        <n v="304.5"/>
        <n v="660"/>
        <n v="1245.5"/>
        <n v="1382.8"/>
        <n v="468.9"/>
        <n v="2351.4299999999998"/>
        <n v="23942.959999999999"/>
        <n v="472.65"/>
        <n v="756"/>
        <n v="1232"/>
        <n v="165"/>
        <n v="262.5"/>
        <n v="1215.99"/>
        <n v="797.5"/>
        <n v="797.9"/>
        <n v="1083.8699999999999"/>
        <n v="797.09"/>
        <n v="494.55"/>
        <n v="3563.3393999999998"/>
        <n v="170.97"/>
        <n v="747.23009999999999"/>
        <n v="1747.77"/>
        <n v="590.11"/>
        <n v="2997.52"/>
        <n v="844"/>
        <n v="421.84"/>
        <n v="456"/>
        <n v="252"/>
        <n v="1504"/>
        <n v="853"/>
        <n v="974.2"/>
        <n v="138.88"/>
        <n v="224"/>
        <n v="355"/>
        <n v="1036.18"/>
        <n v="518.09"/>
        <n v="469.98"/>
        <n v="283"/>
        <n v="1100"/>
        <n v="270.69"/>
        <n v="1144"/>
        <n v="1950"/>
        <n v="455.45"/>
        <n v="75.81"/>
        <n v="1345.32"/>
        <n v="21044.935799999999"/>
        <n v="702.90599999999995"/>
        <n v="890.1"/>
        <n v="202.63"/>
        <n v="100"/>
        <n v="845.46"/>
        <n v="857.34"/>
        <n v="387.36"/>
        <n v="504.6"/>
        <n v="639.66"/>
        <n v="329.52"/>
        <n v="838.23"/>
        <n v="207.68"/>
        <n v="747.28"/>
        <n v="283.16000000000003"/>
        <n v="9299.5"/>
        <n v="231.45"/>
        <n v="562.6"/>
        <n v="786.51"/>
        <n v="177.57"/>
        <n v="560"/>
        <n v="764.16"/>
        <n v="670.72659999999996"/>
        <n v="187"/>
        <n v="180"/>
        <n v="611"/>
        <n v="4186"/>
        <n v="299"/>
        <n v="425.26"/>
        <n v="260"/>
        <n v="196"/>
        <n v="53.9"/>
        <n v="571.86990000000003"/>
        <n v="327.58999999999997"/>
        <n v="611.37"/>
        <n v="673.34400000000005"/>
        <n v="674.37"/>
        <n v="301.70999999999998"/>
        <n v="540.96"/>
        <n v="546.21"/>
        <n v="320"/>
        <n v="671.85"/>
        <n v="400"/>
        <n v="1547.96"/>
        <n v="7857"/>
        <n v="2789.7150000000001"/>
        <n v="990"/>
        <n v="1221.8"/>
        <n v="2960.13"/>
        <n v="1154.81"/>
        <n v="897.9"/>
        <n v="511.27"/>
        <n v="1950.16"/>
        <n v="911.14"/>
        <n v="381.9"/>
        <n v="1447.74"/>
        <n v="3830.55"/>
        <n v="632.16999999999996"/>
        <n v="944.3"/>
        <n v="1010.88"/>
        <n v="1351.8"/>
        <n v="3189.56"/>
        <n v="4424.92"/>
        <n v="2540.5300000000002"/>
        <n v="1029.5"/>
        <n v="1714.18"/>
        <n v="1402.51"/>
        <n v="273.44"/>
        <n v="1000.43"/>
        <n v="2211.44"/>
        <n v="856.44"/>
        <n v="658.08"/>
        <n v="1261.8900000000001"/>
        <n v="1371.72"/>
        <n v="28196.94"/>
        <n v="691.02"/>
        <n v="4089.51"/>
        <n v="1019.91"/>
        <n v="2254.44"/>
        <n v="457.46"/>
        <n v="787.73"/>
        <n v="592.23"/>
        <n v="329.76"/>
        <n v="3148.0147999999999"/>
        <n v="148.88"/>
        <n v="3434"/>
        <n v="648.04999999999995"/>
        <n v="536.57000000000005"/>
        <n v="1277.7626"/>
        <n v="192.96"/>
        <n v="166.36"/>
        <n v="3088.22"/>
        <n v="3973.82"/>
        <n v="10944.81"/>
        <n v="1112.3399999999999"/>
        <n v="18084.169999999998"/>
        <n v="17434.419999999998"/>
        <n v="768"/>
        <n v="888"/>
        <n v="2625"/>
        <n v="6400.8"/>
        <n v="371.49"/>
        <n v="1102"/>
        <n v="401.2"/>
        <n v="321.89999999999998"/>
        <n v="459.9"/>
        <n v="1008.9"/>
        <n v="2722.67"/>
        <n v="295.89999999999998"/>
        <n v="1467.4996000000001"/>
        <n v="1499.48"/>
        <n v="2519.5749999999998"/>
        <n v="517.5"/>
        <n v="450"/>
        <n v="8452.125"/>
        <n v="418"/>
        <n v="214.2"/>
        <n v="330"/>
        <n v="367"/>
        <n v="6435"/>
        <n v="2634.2359999999999"/>
        <n v="1212"/>
        <n v="3366.3209999999999"/>
        <n v="440"/>
        <n v="78.95"/>
        <n v="110.14"/>
        <n v="924"/>
        <n v="231"/>
        <n v="445"/>
        <n v="529.89"/>
        <n v="2152.7199999999998"/>
        <n v="1110"/>
        <n v="845.07"/>
        <n v="226.36"/>
        <n v="787.72"/>
        <n v="533.66"/>
        <n v="350.96"/>
        <n v="5850"/>
        <n v="1238.44"/>
        <n v="795.44"/>
        <n v="390"/>
        <n v="12494"/>
        <n v="3165.86"/>
        <n v="2479.92"/>
        <n v="2860.26"/>
        <n v="291.5"/>
        <n v="2695.56"/>
        <n v="1252.6098"/>
        <n v="485.09500000000003"/>
        <n v="234.16"/>
        <n v="560.54"/>
        <n v="401.44"/>
        <n v="297.01"/>
        <n v="255.45"/>
        <n v="552"/>
        <n v="981.74"/>
        <n v="371.00659999999999"/>
        <n v="1050"/>
        <n v="388"/>
        <n v="739.69"/>
        <n v="215.17500000000001"/>
        <n v="442.35340000000002"/>
        <n v="520.58249999999998"/>
        <n v="411.82659999999998"/>
        <n v="295.05340000000001"/>
        <n v="1062"/>
        <n v="7031"/>
        <n v="1285"/>
        <n v="56.5"/>
        <n v="1234.4601"/>
        <n v="255"/>
        <n v="315"/>
        <n v="747.68"/>
        <n v="361.4"/>
        <n v="442.38"/>
        <n v="768.5"/>
        <n v="1122.1600000000001"/>
        <n v="1310.6199999999999"/>
        <n v="202.85"/>
        <n v="6289.01"/>
        <n v="1499.0001"/>
        <n v="705.71199999999999"/>
        <n v="626.49"/>
        <n v="696.05600000000004"/>
        <n v="461.98"/>
        <n v="180.51499999999999"/>
        <n v="335.09"/>
        <n v="382.52"/>
        <n v="656.5"/>
        <n v="852.88"/>
        <n v="329.48"/>
        <n v="781.52"/>
        <n v="1148.25"/>
        <n v="611.26"/>
        <n v="648.55999999999995"/>
        <n v="1336.2"/>
        <n v="442.58010000000002"/>
        <n v="673.43"/>
        <n v="711.43"/>
        <n v="3376.43"/>
        <n v="1155"/>
        <n v="1563.99"/>
        <n v="715.76"/>
        <n v="1247.24"/>
        <n v="233.11"/>
        <n v="1174.8800000000001"/>
        <n v="365.09"/>
        <n v="502.02"/>
        <n v="1375.08"/>
        <n v="332.25"/>
        <n v="2237.2600000000002"/>
        <n v="1410.55"/>
        <n v="354.86"/>
        <n v="1341.24"/>
        <n v="2560.08"/>
        <n v="799.23"/>
        <n v="3190.87"/>
        <n v="1804.92"/>
        <n v="676.15"/>
        <n v="3186.93"/>
        <n v="18635.03"/>
        <n v="3506.28"/>
        <n v="6608.04"/>
        <n v="1350"/>
        <n v="216.9"/>
        <n v="200"/>
        <n v="3777.3883999999998"/>
        <n v="11673.396000000001"/>
        <m/>
        <n v="2972.62" u="1"/>
        <n v="1570.83" u="1"/>
        <n v="2552.36" u="1"/>
        <n v="1088.44" u="1"/>
        <n v="9803.08" u="1"/>
        <n v="41053.14" u="1"/>
        <n v="6334.44" u="1"/>
        <n v="14531.43" u="1"/>
        <n v="11283.6" u="1"/>
        <n v="264" u="1"/>
        <n v="3800.3022000000001" u="1"/>
        <n v="524.27" u="1"/>
        <n v="319.2" u="1"/>
        <n v="651" u="1"/>
        <n v="801" u="1"/>
        <n v="253" u="1"/>
        <n v="500" u="1"/>
        <n v="4976.75" u="1"/>
        <n v="1551.3" u="1"/>
        <n v="1473.8" u="1"/>
        <n v="259" u="1"/>
        <n v="3659.56" u="1"/>
        <n v="209.99" u="1"/>
        <n v="936" u="1"/>
        <n v="380" u="1"/>
        <n v="1121.1199999999999" u="1"/>
        <n v="2691" u="1"/>
        <n v="368" u="1"/>
        <n v="2674.88" u="1"/>
        <n v="1895.9616000000001" u="1"/>
        <n v="585" u="1"/>
        <n v="1378.5920000000001" u="1"/>
        <n v="177.6" u="1"/>
        <n v="333.54" u="1"/>
        <n v="1129.2" u="1"/>
        <n v="898.5" u="1"/>
        <n v="740" u="1"/>
        <n v="1220" u="1"/>
        <n v="3176.22" u="1"/>
        <n v="550" u="1"/>
        <n v="2605.89" u="1"/>
        <n v="315.18" u="1"/>
        <n v="219.39" u="1"/>
        <n v="596" u="1"/>
        <n v="515.04" u="1"/>
        <n v="420" u="1"/>
        <n v="578" u="1"/>
        <n v="396" u="1"/>
        <n v="328.9" u="1"/>
        <n v="28276.560000000001" u="1"/>
        <n v="219.88" u="1"/>
        <n v="503.74" u="1"/>
        <n v="1703.67" u="1"/>
        <n v="684" u="1"/>
        <n v="475.68" u="1"/>
        <n v="576.44000000000005" u="1"/>
        <n v="2055.8000000000002" u="1"/>
        <n v="1485" u="1"/>
        <n v="2639.01" u="1"/>
        <n v="264.57" u="1"/>
        <n v="149" u="1"/>
        <n v="614" u="1"/>
        <n v="860" u="1"/>
        <n v="341" u="1"/>
        <n v="556.67999999999995" u="1"/>
        <n v="791.92" u="1"/>
        <n v="813.1" u="1"/>
        <n v="543" u="1"/>
        <n v="632.44000000000005" u="1"/>
        <n v="1277.25" u="1"/>
        <n v="373.36" u="1"/>
        <n v="244.65" u="1"/>
        <n v="250.5" u="1"/>
        <n v="538.22" u="1"/>
        <n v="211.24" u="1"/>
        <n v="1005.99" u="1"/>
        <n v="221" u="1"/>
        <n v="480.48" u="1"/>
        <n v="746.7" u="1"/>
        <n v="200.6" u="1"/>
        <n v="551.20000000000005" u="1"/>
        <n v="738" u="1"/>
        <n v="337.07" u="1"/>
        <n v="290" u="1"/>
        <n v="5667.3919999999998" u="1"/>
        <n v="620.28" u="1"/>
        <n v="10974.971600000001" u="1"/>
        <n v="3249.1691999999998" u="1"/>
        <n v="508.02" u="1"/>
        <n v="2100" u="1"/>
        <n v="682" u="1"/>
        <n v="558" u="1"/>
        <n v="1198" u="1"/>
        <n v="586.95000000000005" u="1"/>
        <n v="4579.25" u="1"/>
        <n v="2508.08" u="1"/>
        <n v="1080.8900000000001" u="1"/>
        <n v="3284.96" u="1"/>
        <n v="452" u="1"/>
        <n v="412" u="1"/>
        <n v="877.8" u="1"/>
        <n v="483" u="1"/>
        <n v="1036" u="1"/>
        <n v="162" u="1"/>
        <n v="425.06" u="1"/>
        <n v="564.88" u="1"/>
        <n v="568.63" u="1"/>
        <n v="340.97" u="1"/>
        <n v="1985.52" u="1"/>
        <n v="516.76" u="1"/>
        <n v="448" u="1"/>
        <n v="600" u="1"/>
        <n v="273.29000000000002" u="1"/>
        <n v="503.8" u="1"/>
        <n v="2079.9899999999998" u="1"/>
        <n v="185" u="1"/>
        <n v="311.04000000000002" u="1"/>
        <n v="280" u="1"/>
        <n v="1092.49" u="1"/>
        <n v="496.2953" u="1"/>
        <n v="410" u="1"/>
        <n v="3800.3" u="1"/>
        <n v="3096.53" u="1"/>
        <n v="743.49" u="1"/>
        <n v="735.94" u="1"/>
        <n v="2265" u="1"/>
        <n v="295.89" u="1"/>
        <n v="1229.04" u="1"/>
        <n v="867.69" u="1"/>
        <n v="2183.6" u="1"/>
        <n v="1293" u="1"/>
        <n v="694.84799999999996" u="1"/>
        <n v="249.08" u="1"/>
        <n v="774.72799999999995" u="1"/>
        <n v="152.71" u="1"/>
        <n v="5932.38" u="1"/>
        <n v="1180.26" u="1"/>
        <n v="4384.6000000000004" u="1"/>
        <n v="1295.2249999999999" u="1"/>
        <n v="1195.1300000000001" u="1"/>
        <n v="409.63" u="1"/>
        <n v="1473.48" u="1"/>
        <n v="599" u="1"/>
        <n v="888.66" u="1"/>
        <n v="870.86" u="1"/>
        <n v="328.29" u="1"/>
        <n v="1321.12" u="1"/>
        <n v="295.26" u="1"/>
        <n v="905.59" u="1"/>
        <n v="166.65" u="1"/>
        <n v="330.43" u="1"/>
        <n v="3568.5084000000002" u="1"/>
        <n v="487.5" u="1"/>
        <n v="385" u="1"/>
        <n v="478.35" u="1"/>
        <n v="2073.34" u="1"/>
        <n v="264.67" u="1"/>
        <n v="879.21" u="1"/>
        <n v="587.54" u="1"/>
        <n v="236.6" u="1"/>
        <n v="340.93" u="1"/>
        <n v="245.63" u="1"/>
        <n v="510" u="1"/>
        <n v="516.99" u="1"/>
        <n v="174" u="1"/>
        <n v="946" u="1"/>
        <n v="499.78" u="1"/>
        <n v="275.10000000000002" u="1"/>
        <n v="819.99" u="1"/>
        <n v="52" u="1"/>
        <n v="408.6" u="1"/>
        <n v="480.88" u="1"/>
        <n v="412.47" u="1"/>
        <n v="332" u="1"/>
        <n v="659.41" u="1"/>
        <n v="416.1225" u="1"/>
        <n v="1051.04" u="1"/>
        <n v="435" u="1"/>
        <n v="265.02999999999997" u="1"/>
        <n v="643.10400000000004" u="1"/>
        <n v="522.95010000000002" u="1"/>
        <n v="590.22" u="1"/>
        <n v="379" u="1"/>
        <n v="10130.280000000001" u="1"/>
        <n v="613.6" u="1"/>
        <n v="560.32000000000005" u="1"/>
        <n v="459.28" u="1"/>
        <n v="314.76" u="1"/>
        <n v="190.55" u="1"/>
        <n v="343.35" u="1"/>
        <n v="501.9" u="1"/>
        <n v="356" u="1"/>
        <n v="313.95" u="1"/>
        <n v="294.04000000000002" u="1"/>
        <n v="277.44" u="1"/>
        <n v="463.84" u="1"/>
        <n v="543.92999999999995" u="1"/>
        <n v="2191.83" u="1"/>
        <n v="416.21010000000001" u="1"/>
        <n v="716.13599999999997" u="1"/>
        <n v="387.02" u="1"/>
        <n v="670.59" u="1"/>
        <n v="184.44" u="1"/>
        <n v="394.7" u="1"/>
        <n v="3577.2" u="1"/>
        <n v="334.72" u="1"/>
        <n v="347.74" u="1"/>
        <n v="334.05" u="1"/>
        <n v="1444.12" u="1"/>
        <n v="647.17999999999995" u="1"/>
        <n v="459.01" u="1"/>
        <n v="409.44749999999999" u="1"/>
        <n v="308" u="1"/>
        <n v="713" u="1"/>
        <n v="2204.27" u="1"/>
        <n v="5298.99" u="1"/>
        <n v="793.65" u="1"/>
        <n v="36522.54" u="1"/>
        <n v="285" u="1"/>
        <n v="239" u="1"/>
        <n v="19593.431" u="1"/>
        <n v="646.17999999999995" u="1"/>
        <n v="1944.5778" u="1"/>
        <n v="143" u="1"/>
        <n v="689.06" u="1"/>
        <n v="378.58" u="1"/>
        <n v="466.68" u="1"/>
        <n v="1023.27" u="1"/>
        <n v="1478.19" u="1"/>
        <n v="1530.56" u="1"/>
        <n v="193.36" u="1"/>
        <n v="804" u="1"/>
        <n v="777" u="1"/>
        <n v="382.3066" u="1"/>
        <n v="347.42660000000001" u="1"/>
        <n v="368.44" u="1"/>
        <n v="412.65" u="1"/>
        <n v="1234.78" u="1"/>
        <n v="528.75" u="1"/>
        <n v="217.07" u="1"/>
        <n v="1090.5247999999999" u="1"/>
        <n v="682.61599999999999" u="1"/>
        <n v="410.61" u="1"/>
        <n v="521.13990000000001" u="1"/>
        <n v="303.20659999999998" u="1"/>
        <n v="232.0334" u="1"/>
        <n v="174.02500000000001" u="1"/>
        <n v="251.86" u="1"/>
        <n v="405.63749999999999" u="1"/>
        <n v="539.34" u="1"/>
        <n v="231.1" u="1"/>
        <n v="222.82" u="1"/>
        <n v="372.94" u="1"/>
        <n v="777.13499999999999" u="1"/>
        <n v="259.04500000000002" u="1"/>
        <n v="205.7" u="1"/>
        <n v="819.26" u="1"/>
        <n v="5580" u="1"/>
        <n v="353.07" u="1"/>
        <n v="1213.1300000000001" u="1"/>
        <n v="582.9" u="1"/>
        <n v="363.65" u="1"/>
        <n v="609.52" u="1"/>
        <n v="529.64" u="1"/>
        <n v="338.88" u="1"/>
        <n v="823" u="1"/>
        <n v="431" u="1"/>
        <n v="593" u="1"/>
        <n v="473.44" u="1"/>
        <n v="166" u="1"/>
        <n v="4348464.38" u="1"/>
        <n v="2757" u="1"/>
        <n v="336" u="1"/>
        <n v="2058.48" u="1"/>
        <n v="257" u="1"/>
        <n v="1822.88" u="1"/>
        <n v="252.64" u="1"/>
        <n v="247.52" u="1"/>
        <n v="4583.13" u="1"/>
        <n v="1583.34" u="1"/>
        <n v="2210.39" u="1"/>
        <n v="4309.8" u="1"/>
        <n v="330.48" u="1"/>
        <n v="113.04" u="1"/>
        <n v="107.51" u="1"/>
        <n v="91.77" u="1"/>
        <n v="488.44" u="1"/>
        <n v="543.94000000000005" u="1"/>
        <n v="501.2" u="1"/>
        <n v="2186.1" u="1"/>
        <n v="1122.3900000000001" u="1"/>
        <n v="235.52" u="1"/>
        <n v="1066.2" u="1"/>
        <n v="523.24" u="1"/>
        <n v="2794.1325000000002" u="1"/>
        <n v="1423.39" u="1"/>
        <n v="737.84" u="1"/>
        <n v="3313.02" u="1"/>
        <n v="60.76" u="1"/>
        <n v="3338.9" u="1"/>
        <n v="1965.24" u="1"/>
        <n v="4488.4279999999999" u="1"/>
        <n v="6780" u="1"/>
        <n v="741.6" u="1"/>
        <n v="288.55" u="1"/>
        <n v="836.81" u="1"/>
        <n v="284.2" u="1"/>
        <n v="628.59" u="1"/>
        <n v="279.95999999999998" u="1"/>
        <n v="319.88" u="1"/>
        <n v="1564.36" u="1"/>
        <n v="2297.1950000000002" u="1"/>
        <n v="756.755" u="1"/>
        <n v="4585.8999999999996" u="1"/>
        <n v="944.21" u="1"/>
        <n v="3919.55" u="1"/>
        <n v="2145.54" u="1"/>
        <n v="1250.69" u="1"/>
        <n v="190" u="1"/>
        <n v="887.24" u="1"/>
        <n v="602.37" u="1"/>
        <n v="3834.3" u="1"/>
        <n v="2929.2" u="1"/>
        <n v="4231.8" u="1"/>
        <n v="13219.92" u="1"/>
        <n v="719.36" u="1"/>
        <n v="1293.825" u="1"/>
        <n v="983.76300000000003" u="1"/>
        <n v="378.4" u="1"/>
        <n v="4412.72" u="1"/>
        <n v="340" u="1"/>
        <n v="1323.9" u="1"/>
        <n v="955.35" u="1"/>
        <n v="1061.5999999999999" u="1"/>
        <n v="210.01" u="1"/>
        <n v="171.86" u="1"/>
        <n v="528.12" u="1"/>
        <n v="281.60000000000002" u="1"/>
        <n v="348" u="1"/>
        <n v="10483.459999999999" u="1"/>
        <n v="1031.1600000000001" u="1"/>
        <n v="1288.95" u="1"/>
        <n v="203" u="1"/>
        <n v="555" u="1"/>
        <n v="343.72" u="1"/>
        <n v="175.66" u="1"/>
        <n v="256.7" u="1"/>
        <n v="571.11" u="1"/>
        <n v="416.81" u="1"/>
        <n v="261.11" u="1"/>
        <n v="621" u="1"/>
        <n v="1085" u="1"/>
        <n v="143.47" u="1"/>
        <n v="489.48989999999998" u="1"/>
        <n v="1851.28" u="1"/>
        <n v="610.08000000000004" u="1"/>
        <n v="158.185" u="1"/>
        <n v="373.31" u="1"/>
        <n v="689.95" u="1"/>
        <n v="6345" u="1"/>
        <n v="1259.6500000000001" u="1"/>
        <n v="306.38" u="1"/>
        <n v="756.01" u="1"/>
        <n v="596.52800000000002" u="1"/>
        <n v="629.41600000000005" u="1"/>
        <n v="758.31200000000001" u="1"/>
        <n v="525.27" u="1"/>
        <n v="368.34" u="1"/>
        <n v="160.97999999999999" u="1"/>
        <n v="2591.4602" u="1"/>
        <n v="700.16" u="1"/>
        <n v="110.62" u="1"/>
        <n v="233.9" u="1"/>
        <n v="4597.0511999999999" u="1"/>
        <n v="245.82" u="1"/>
        <n v="447.78989999999999" u="1"/>
        <n v="3149.82" u="1"/>
        <n v="3306.9308999999998" u="1"/>
        <n v="199.755" u="1"/>
        <n v="361.17" u="1"/>
        <n v="722.61" u="1"/>
        <n v="615.04999999999995" u="1"/>
        <n v="194.3" u="1"/>
        <n v="25802.91" u="1"/>
        <n v="375.66" u="1"/>
        <n v="996.31" u="1"/>
        <n v="364.02" u="1"/>
        <n v="266.83" u="1"/>
        <n v="495" u="1"/>
        <n v="228.91" u="1"/>
        <n v="265.27999999999997" u="1"/>
        <n v="1127.1500000000001" u="1"/>
        <n v="174.7" u="1"/>
        <n v="2577.9" u="1"/>
        <n v="2489.0700000000002" u="1"/>
        <n v="1029.3085000000001" u="1"/>
        <n v="833.98350000000005" u="1"/>
        <n v="192.53" u="1"/>
        <n v="284.98" u="1"/>
        <n v="102.55" u="1"/>
        <n v="103.56" u="1"/>
        <n v="316.06" u="1"/>
        <n v="147.52500000000001" u="1"/>
        <n v="299.58999999999997" u="1"/>
        <n v="247.64" u="1"/>
        <n v="294.2" u="1"/>
        <n v="4237.8" u="1"/>
        <n v="406.32" u="1"/>
        <n v="502.94009999999997" u="1"/>
        <n v="447.3066" u="1"/>
        <n v="296.8" u="1"/>
        <n v="153.46" u="1"/>
        <n v="470.94" u="1"/>
        <n v="432.20659999999998" u="1"/>
        <n v="485.20659999999998" u="1"/>
        <n v="162.41999999999999" u="1"/>
        <n v="872.12" u="1"/>
        <n v="217.47" u="1"/>
        <n v="219.25" u="1"/>
        <n v="552.78750000000002" u="1"/>
        <n v="645.93600000000004" u="1"/>
        <n v="248.35" u="1"/>
        <n v="4524.0888000000004" u="1"/>
        <n v="837.02" u="1"/>
        <n v="609.62009999999998" u="1"/>
        <n v="694.85" u="1"/>
        <n v="628.75" u="1"/>
        <n v="229.64" u="1"/>
        <n v="505.58" u="1"/>
        <n v="2281.5419999999999" u="1"/>
        <n v="3564" u="1"/>
        <n v="1243.403" u="1"/>
        <n v="326.57740000000001" u="1"/>
        <n v="472.47750000000002" u="1"/>
        <n v="25072.400000000001" u="1"/>
        <n v="2906.2932000000001" u="1"/>
        <n v="2989.24" u="1"/>
        <n v="220.18" u="1"/>
        <n v="442.4" u="1"/>
        <n v="516.1" u="1"/>
        <n v="207.08" u="1"/>
        <n v="486.32010000000002" u="1"/>
        <n v="387.70499999999998" u="1"/>
        <n v="1647.4875" u="1"/>
        <n v="449.30009999999999" u="1"/>
        <n v="1064.8800000000001" u="1"/>
        <n v="501" u="1"/>
        <n v="10638.83" u="1"/>
        <n v="8064.42" u="1"/>
        <n v="540" u="1"/>
        <n v="765" u="1"/>
        <n v="357" u="1"/>
        <n v="233.81" u="1"/>
        <n v="395.6" u="1"/>
        <n v="275" u="1"/>
        <n v="162.26" u="1"/>
        <n v="204.02" u="1"/>
        <n v="4907.9799999999996" u="1"/>
        <n v="385.54" u="1"/>
        <n v="524" u="1"/>
        <n v="240.43" u="1"/>
        <n v="460" u="1"/>
        <n v="289" u="1"/>
        <n v="229" u="1"/>
        <n v="305" u="1"/>
        <n v="286.26" u="1"/>
        <n v="1192" u="1"/>
        <n v="1177.28" u="1"/>
        <n v="691.6" u="1"/>
        <n v="1645" u="1"/>
        <n v="302" u="1"/>
        <n v="604" u="1"/>
        <n v="235" u="1"/>
        <n v="239.9" u="1"/>
        <n v="584" u="1"/>
        <n v="236.25" u="1"/>
        <n v="257.25" u="1"/>
        <n v="416" u="1"/>
        <n v="310.77999999999997" u="1"/>
        <n v="1074.8699999999999" u="1"/>
        <n v="1300" u="1"/>
        <n v="341.94" u="1"/>
        <n v="2177" u="1"/>
        <n v="768.2" u="1"/>
        <n v="183.62" u="1"/>
        <n v="1552.8" u="1"/>
        <n v="5584.6" u="1"/>
        <n v="3360" u="1"/>
        <n v="189.99" u="1"/>
        <n v="420.84" u="1"/>
        <n v="730" u="1"/>
        <n v="536.42010000000005" u="1"/>
        <n v="994.87" u="1"/>
        <n v="770.1" u="1"/>
        <n v="296.83999999999997" u="1"/>
        <n v="1781.04" u="1"/>
        <n v="795.9" u="1"/>
        <n v="539.03" u="1"/>
        <n v="396.97340000000003" u="1"/>
        <n v="189.315" u="1"/>
        <n v="505.20749999999998" u="1"/>
        <n v="664.83989999999994" u="1"/>
        <n v="1118.75" u="1"/>
        <n v="2879.41" u="1"/>
        <n v="2330.08" u="1"/>
        <n v="3913.29" u="1"/>
        <n v="3517.46" u="1"/>
        <n v="4795.13" u="1"/>
        <n v="3676.1934999999999" u="1"/>
        <n v="2789.53" u="1"/>
        <n v="2281.9499999999998" u="1"/>
        <n v="2185.63" u="1"/>
        <n v="272" u="1"/>
        <n v="244.22" u="1"/>
        <n v="85.484999999999999" u="1"/>
        <n v="586.03" u="1"/>
        <n v="263.68" u="1"/>
        <n v="535.16" u="1"/>
        <n v="266.60000000000002" u="1"/>
        <n v="518.08659999999998" u="1"/>
        <n v="1925.56" u="1"/>
        <n v="648.66999999999996" u="1"/>
        <n v="926.08259999999996" u="1"/>
        <n v="816.24" u="1"/>
        <n v="705.42" u="1"/>
        <n v="606.75" u="1"/>
        <n v="964.77" u="1"/>
        <n v="668.46" u="1"/>
        <n v="1582.62" u="1"/>
        <n v="1160.47" u="1"/>
        <n v="837.74" u="1"/>
        <n v="1917.21" u="1"/>
        <n v="1109.6199999999999" u="1"/>
        <n v="1109.52" u="1"/>
        <n v="1019.84" u="1"/>
        <n v="1773.76" u="1"/>
        <n v="256.88" u="1"/>
        <n v="252.24" u="1"/>
        <n v="349" u="1"/>
        <n v="593.76" u="1"/>
        <n v="470.8" u="1"/>
        <n v="405.98" u="1"/>
        <n v="1438.9280000000001" u="1"/>
        <n v="512.41999999999996" u="1"/>
        <n v="1767.57" u="1"/>
        <n v="241.23" u="1"/>
        <n v="1655.87" u="1"/>
        <n v="589" u="1"/>
        <n v="392.7" u="1"/>
        <n v="140" u="1"/>
        <n v="542" u="1"/>
        <n v="1592.02" u="1"/>
        <n v="917" u="1"/>
        <n v="989" u="1"/>
        <n v="2919.87" u="1"/>
        <n v="7972.02" u="1"/>
        <n v="365.99" u="1"/>
        <n v="344.31" u="1"/>
        <n v="563.87" u="1"/>
        <n v="1271.69" u="1"/>
        <n v="410.12" u="1"/>
        <n v="168.88" u="1"/>
        <n v="486.8" u="1"/>
        <n v="1020.93" u="1"/>
        <n v="846.36" u="1"/>
        <n v="756.68" u="1"/>
        <n v="1006.71" u="1"/>
        <n v="924.23" u="1"/>
        <n v="661.12" u="1"/>
        <n v="741.68" u="1"/>
        <n v="560.04" u="1"/>
        <n v="450.6" u="1"/>
        <n v="337.36" u="1"/>
        <n v="2072.5765000000001" u="1"/>
        <n v="3245.93" u="1"/>
        <n v="2507.1999999999998" u="1"/>
        <n v="820.74" u="1"/>
        <n v="1264.8810000000001" u="1"/>
        <n v="342.3" u="1"/>
        <n v="1548" u="1"/>
        <n v="3362.5299" u="1"/>
        <n v="457.82" u="1"/>
        <n v="214.55" u="1"/>
        <n v="3450.5" u="1"/>
        <n v="6436.5" u="1"/>
        <n v="2036.27" u="1"/>
        <n v="219" u="1"/>
        <n v="1160" u="1"/>
        <n v="5336.85" u="1"/>
        <n v="2593.3991999999998" u="1"/>
        <n v="661.86" u="1"/>
        <n v="12010.31" u="1"/>
        <n v="488" u="1"/>
        <n v="161.36000000000001" u="1"/>
        <n v="269" u="1"/>
        <n v="489.66" u="1"/>
        <n v="343" u="1"/>
        <n v="345.45" u="1"/>
        <n v="846" u="1"/>
        <n v="1692" u="1"/>
        <n v="328" u="1"/>
        <n v="175.35" u="1"/>
        <n v="177.65" u="1"/>
        <n v="6229.5002000000004" u="1"/>
        <n v="281" u="1"/>
        <n v="8208.59" u="1"/>
        <n v="107.39" u="1"/>
        <n v="4514.9399999999996" u="1"/>
        <n v="3763" u="1"/>
        <n v="1280.03" u="1"/>
        <n v="518.66" u="1"/>
        <n v="3557.62" u="1"/>
        <n v="8867.11" u="1"/>
        <n v="9300.7099999999991" u="1"/>
        <n v="1429.32" u="1"/>
        <n v="1250.23" u="1"/>
        <n v="2315.0500000000002" u="1"/>
        <n v="1921.89" u="1"/>
        <n v="2963.82" u="1"/>
        <n v="3080.68" u="1"/>
        <n v="3584.08" u="1"/>
        <n v="710.06" u="1"/>
        <n v="1047.48" u="1"/>
        <n v="650.4" u="1"/>
        <n v="1497.96" u="1"/>
        <n v="3830.88" u="1"/>
        <n v="1104.68" u="1"/>
        <n v="33781.93" u="1"/>
        <n v="814.83" u="1"/>
        <n v="95.94" u="1"/>
        <n v="2480" u="1"/>
        <n v="9507.11" u="1"/>
        <n v="1200.18" u="1"/>
        <n v="2788.25" u="1"/>
        <n v="2558.6799999999998" u="1"/>
        <n v="2835.87" u="1"/>
        <n v="1455.95" u="1"/>
        <n v="1831.15" u="1"/>
        <n v="236.55" u="1"/>
        <n v="2665.14" u="1"/>
        <n v="498.15" u="1"/>
        <n v="2006.88" u="1"/>
        <n v="2960.72" u="1"/>
        <n v="17568.080000000002" u="1"/>
        <n v="12713.68" u="1"/>
        <n v="13149.08" u="1"/>
        <n v="1182.96" u="1"/>
        <n v="2264.08" u="1"/>
        <n v="2873.64" u="1"/>
        <n v="1044.96" u="1"/>
        <n v="510.7" u="1"/>
        <n v="2395.1999999999998" u="1"/>
        <n v="1245.3800000000001" u="1"/>
        <n v="747.23249999999996" u="1"/>
        <n v="1456.1604" u="1"/>
        <n v="766.76" u="1"/>
        <n v="313.86" u="1"/>
        <n v="570.16" u="1"/>
        <n v="312.2" u="1"/>
        <n v="675.72" u="1"/>
        <n v="299.1266" u="1"/>
        <n v="460.92750000000001" u="1"/>
        <n v="366.4" u="1"/>
        <n v="687.952" u="1"/>
        <n v="1612" u="1"/>
        <n v="545.01" u="1"/>
        <n v="459.94" u="1"/>
        <n v="59.99" u="1"/>
        <n v="297" u="1"/>
        <n v="864" u="1"/>
        <n v="2994" u="1"/>
        <n v="256.26499999999999" u="1"/>
        <n v="348.05" u="1"/>
        <n v="205.62" u="1"/>
        <n v="259.93" u="1"/>
        <n v="921.49" u="1"/>
        <n v="574.05989999999997" u="1"/>
        <n v="900" u="1"/>
        <n v="965.92" u="1"/>
        <n v="221.4" u="1"/>
        <n v="450.92" u="1"/>
        <n v="4620" u="1"/>
        <n v="3170.82" u="1"/>
        <n v="2043.28" u="1"/>
        <n v="1462.98" u="1"/>
        <n v="944.25" u="1"/>
        <n v="295.41000000000003" u="1"/>
        <n v="1265.99" u="1"/>
        <n v="962.58" u="1"/>
        <n v="1461.07" u="1"/>
        <n v="598.1" u="1"/>
        <n v="872.68" u="1"/>
        <n v="1733.93" u="1"/>
        <n v="1103.8699999999999" u="1"/>
        <n v="759.91" u="1"/>
        <n v="1029.5999999999999" u="1"/>
        <n v="902.02" u="1"/>
        <n v="1230.53" u="1"/>
        <n v="820.48" u="1"/>
        <n v="463.1" u="1"/>
        <n v="330.04" u="1"/>
        <n v="711.11" u="1"/>
        <n v="908.75" u="1"/>
        <n v="1547.5" u="1"/>
        <n v="603.11" u="1"/>
        <n v="805.44" u="1"/>
        <n v="1590.5" u="1"/>
        <n v="1965" u="1"/>
        <n v="930" u="1"/>
        <n v="352.5" u="1"/>
        <n v="521.13750000000005" u="1"/>
        <n v="188.29" u="1"/>
        <n v="516.61" u="1"/>
        <n v="46.32" u="1"/>
        <n v="668.6" u="1"/>
        <n v="10354" u="1"/>
        <n v="550.05999999999995" u="1"/>
        <n v="500.55" u="1"/>
        <n v="806.82" u="1"/>
        <n v="492.28" u="1"/>
        <n v="563.48" u="1"/>
        <n v="923.7" u="1"/>
        <n v="371.56" u="1"/>
        <n v="930.92" u="1"/>
        <n v="576.76" u="1"/>
        <n v="804.04" u="1"/>
        <n v="342.32" u="1"/>
        <n v="1712.68" u="1"/>
        <n v="1935.78" u="1"/>
        <n v="1383.35" u="1"/>
        <n v="1152.17" u="1"/>
        <n v="1150.45" u="1"/>
        <n v="2453.0700000000002" u="1"/>
        <n v="2252.7060000000001" u="1"/>
        <n v="13602.78" u="1"/>
        <n v="371.25" u="1"/>
        <n v="768.42" u="1"/>
        <n v="997.89" u="1"/>
        <n v="1240.24" u="1"/>
        <n v="3256.46" u="1"/>
        <n v="564.96" u="1"/>
        <n v="1200" u="1"/>
        <n v="576" u="1"/>
        <n v="499.62" u="1"/>
        <n v="1475.64" u="1"/>
        <n v="1020.6" u="1"/>
        <n v="870.88" u="1"/>
        <n v="371" u="1"/>
        <n v="2545.71" u="1"/>
        <n v="1482.7760000000001" u="1"/>
        <n v="606" u="1"/>
        <n v="408.33" u="1"/>
        <n v="408.3" u="1"/>
        <n v="1001.63" u="1"/>
        <n v="2350" u="1"/>
        <n v="386.5" u="1"/>
        <n v="341.93340000000001" u="1"/>
        <n v="332.1" u="1"/>
        <n v="326.35500000000002" u="1"/>
        <n v="239.68" u="1"/>
        <n v="456.44" u="1"/>
        <n v="220.65" u="1"/>
        <n v="14542.36" u="1"/>
        <n v="11929.96" u="1"/>
        <n v="2451.36" u="1"/>
        <n v="4698.4399999999996" u="1"/>
        <n v="1414.8" u="1"/>
        <n v="269.10000000000002" u="1"/>
        <n v="995" u="1"/>
        <n v="162.96" u="1"/>
        <n v="80.47" u="1"/>
        <n v="1360" u="1"/>
        <n v="1140" u="1"/>
        <n v="705.92" u="1"/>
        <n v="326.35000000000002" u="1"/>
        <n v="170" u="1"/>
        <n v="463" u="1"/>
        <n v="447.04" u="1"/>
        <n v="598.25599999999997" u="1"/>
        <n v="634.95000000000005" u="1"/>
        <n v="207.24" u="1"/>
        <n v="386.42" u="1"/>
        <n v="152.82" u="1"/>
        <n v="692.34" u="1"/>
        <n v="376.64" u="1"/>
        <n v="1105.58" u="1"/>
        <n v="546.02" u="1"/>
        <n v="1497.6" u="1"/>
        <n v="820" u="1"/>
        <n v="404.04" u="1"/>
        <n v="800.49" u="1"/>
        <n v="1031.9202" u="1"/>
        <n v="312.98" u="1"/>
        <n v="548.6499" u="1"/>
        <n v="156.45500000000001" u="1"/>
        <n v="16371.04" u="1"/>
        <n v="15218.86" u="1"/>
        <n v="13323.24" u="1"/>
        <n v="16022.72" u="1"/>
        <n v="13932.8" u="1"/>
        <n v="11842.88" u="1"/>
        <n v="757.16800000000001" u="1"/>
        <n v="119813.4" u="1"/>
        <n v="32.93" u="1"/>
        <n v="230.28" u="1"/>
        <n v="905.18" u="1"/>
        <n v="426.09339999999997" u="1"/>
        <n v="765.99" u="1"/>
        <n v="926.01" u="1"/>
        <n v="1890" u="1"/>
        <n v="886.28" u="1"/>
        <n v="374.72" u="1"/>
        <n v="469.48" u="1"/>
        <n v="365" u="1"/>
        <n v="1280" u="1"/>
        <n v="884.8" u="1"/>
        <n v="592.32000000000005" u="1"/>
        <n v="322.35000000000002" u="1"/>
        <n v="413.87" u="1"/>
        <n v="149.38999999999999" u="1"/>
        <n v="606.41" u="1"/>
        <n v="381.2466" u="1"/>
        <n v="506.79" u="1"/>
        <n v="880.32" u="1"/>
        <n v="1293.3074999999999" u="1"/>
        <n v="650.46" u="1"/>
        <n v="454.8075" u="1"/>
        <n v="451.755" u="1"/>
        <n v="442.58249999999998" u="1"/>
        <n v="350.08659999999998" u="1"/>
        <n v="556.58010000000002" u="1"/>
        <n v="966.33600000000001" u="1"/>
        <n v="309.32" u="1"/>
        <n v="1046.92" u="1"/>
        <n v="171.45" u="1"/>
        <n v="965.38350000000003" u="1"/>
        <n v="1067.3" u="1"/>
        <n v="388.1934" u="1"/>
        <n v="1952.38" u="1"/>
        <n v="732.66" u="1"/>
        <n v="476.96" u="1"/>
        <n v="476.94" u="1"/>
        <n v="199" u="1"/>
        <n v="343.73" u="1"/>
        <n v="4230" u="1"/>
        <n v="1379.52" u="1"/>
        <n v="1095.4100000000001" u="1"/>
        <n v="1196.6199999999999" u="1"/>
        <n v="1020.69" u="1"/>
        <n v="403.09" u="1"/>
        <n v="40201.160000000003" u="1"/>
        <n v="1552" u="1"/>
        <n v="211.87" u="1"/>
        <n v="564.46" u="1"/>
        <n v="261.24" u="1"/>
        <n v="3228.75" u="1"/>
        <n v="4680" u="1"/>
        <n v="1989.54" u="1"/>
        <n v="792.43" u="1"/>
        <n v="2357.9" u="1"/>
        <n v="1188.29" u="1"/>
        <n v="398.04" u="1"/>
        <n v="1047.6199999999999" u="1"/>
        <n v="1887" u="1"/>
        <n v="2922.37" u="1"/>
        <n v="1441.27" u="1"/>
        <n v="2090.7800000000002" u="1"/>
        <n v="3108.61" u="1"/>
        <n v="866.21" u="1"/>
        <n v="298.16000000000003" u="1"/>
        <n v="382.82" u="1"/>
        <n v="1184.54" u="1"/>
        <n v="2091.23" u="1"/>
        <n v="5169.18" u="1"/>
        <n v="979.48" u="1"/>
        <n v="2248.69" u="1"/>
        <n v="1271.82" u="1"/>
        <n v="1932.84" u="1"/>
        <n v="2222.61" u="1"/>
        <n v="1249.3499999999999" u="1"/>
        <n v="2100.73" u="1"/>
        <n v="1607.68" u="1"/>
        <n v="1639.74" u="1"/>
        <n v="1136.79" u="1"/>
        <n v="710.73" u="1"/>
        <n v="1957.17" u="1"/>
        <n v="511.17" u="1"/>
        <n v="400.08" u="1"/>
        <n v="902.77" u="1"/>
        <n v="984.08" u="1"/>
        <n v="1678.92" u="1"/>
        <n v="3550.82" u="1"/>
        <n v="855.33" u="1"/>
        <n v="1100.27" u="1"/>
        <n v="588.45000000000005" u="1"/>
        <n v="687.8" u="1"/>
        <n v="1280.6300000000001" u="1"/>
        <n v="1060.76" u="1"/>
        <n v="1732.45" u="1"/>
        <n v="995.27" u="1"/>
        <n v="531.22" u="1"/>
        <n v="1120.73" u="1"/>
        <n v="599.86" u="1"/>
        <n v="694.49" u="1"/>
        <n v="1045.6400000000001" u="1"/>
        <n v="13.92" u="1"/>
        <n v="3263.59" u="1"/>
        <n v="1177.1300000000001" u="1"/>
        <n v="613.72" u="1"/>
        <n v="988.17" u="1"/>
        <n v="1298.27" u="1"/>
        <n v="668.19" u="1"/>
        <n v="1799.35" u="1"/>
        <n v="1013.97" u="1"/>
        <n v="906.04" u="1"/>
        <n v="1227.3399999999999" u="1"/>
        <n v="865.67" u="1"/>
        <n v="2004.86" u="1"/>
        <n v="474.15" u="1"/>
        <n v="2824.8" u="1"/>
        <n v="1869.22" u="1"/>
        <n v="1103.56" u="1"/>
        <n v="753.76" u="1"/>
        <n v="216.54" u="1"/>
        <n v="1895.94" u="1"/>
        <n v="345.41" u="1"/>
        <n v="285.10000000000002" u="1"/>
        <n v="928.41" u="1"/>
        <n v="1123.58" u="1"/>
        <n v="1681.34" u="1"/>
        <n v="1584.79" u="1"/>
        <n v="1551.73" u="1"/>
        <n v="587.13" u="1"/>
        <n v="2729.06" u="1"/>
        <n v="983.12" u="1"/>
        <n v="676.81" u="1"/>
        <n v="926.83" u="1"/>
        <n v="635.16" u="1"/>
        <n v="1200.03" u="1"/>
        <n v="2767.13" u="1"/>
        <n v="2162.2800000000002" u="1"/>
        <n v="2208.16" u="1"/>
        <n v="1492.16" u="1"/>
        <n v="765.23" u="1"/>
        <n v="1265.78" u="1"/>
        <n v="982" u="1"/>
        <n v="1891.93" u="1"/>
        <n v="676.86" u="1"/>
        <n v="954.72" u="1"/>
        <n v="709.42" u="1"/>
        <n v="229.34" u="1"/>
        <n v="471.61" u="1"/>
        <n v="1368.54" u="1"/>
        <n v="924.43" u="1"/>
        <n v="804.1" u="1"/>
        <n v="635.88" u="1"/>
        <n v="1590.64" u="1"/>
        <n v="647.83000000000004" u="1"/>
        <n v="599.36" u="1"/>
        <n v="1138.79" u="1"/>
        <n v="1292.3900000000001" u="1"/>
        <n v="1114.5899999999999" u="1"/>
        <n v="1369.41" u="1"/>
        <n v="440.21" u="1"/>
        <n v="582.88" u="1"/>
        <n v="566.94000000000005" u="1"/>
        <n v="381.34" u="1"/>
        <n v="1918.62" u="1"/>
        <n v="574.94000000000005" u="1"/>
        <n v="1533.98" u="1"/>
        <n v="849.07" u="1"/>
        <n v="568.42999999999995" u="1"/>
        <n v="306.68" u="1"/>
        <n v="1998.16" u="1"/>
        <n v="3145" u="1"/>
        <n v="408.85" u="1"/>
        <n v="2160.17" u="1"/>
        <n v="475.8" u="1"/>
        <n v="3823.43" u="1"/>
        <n v="2334.13" u="1"/>
        <n v="2372.4" u="1"/>
        <n v="763.07" u="1"/>
        <n v="321.58999999999997" u="1"/>
        <n v="1198.79" u="1"/>
        <n v="1568.69" u="1"/>
        <n v="766.9" u="1"/>
        <n v="1836.28" u="1"/>
        <n v="1426.71" u="1"/>
        <n v="892.19" u="1"/>
        <n v="320.49" u="1"/>
        <n v="1547.52" u="1"/>
        <n v="1250.73" u="1"/>
        <n v="2946.46" u="1"/>
        <n v="706.58" u="1"/>
        <n v="2689.98" u="1"/>
        <n v="1187.53" u="1"/>
        <n v="814.3" u="1"/>
        <n v="396.39" u="1"/>
        <n v="776.86" u="1"/>
        <n v="881.8" u="1"/>
        <n v="597.25" u="1"/>
        <n v="6168.26" u="1"/>
        <n v="610.4" u="1"/>
        <n v="2544.35" u="1"/>
        <n v="1676.87" u="1"/>
        <n v="1252.53" u="1"/>
        <n v="984.78" u="1"/>
        <n v="333.64" u="1"/>
        <n v="1252.3499999999999" u="1"/>
        <n v="881.18" u="1"/>
        <n v="1134.4100000000001" u="1"/>
        <n v="410.84" u="1"/>
        <n v="3483.7" u="1"/>
        <n v="2726.55" u="1"/>
        <n v="2410.27" u="1"/>
        <n v="1464.9" u="1"/>
        <n v="517.41" u="1"/>
        <n v="1022.94" u="1"/>
        <n v="464.21" u="1"/>
        <n v="199.84" u="1"/>
        <n v="458.86" u="1"/>
        <n v="2655.92" u="1"/>
        <n v="714.47" u="1"/>
        <n v="372.52" u="1"/>
        <n v="3400.26" u="1"/>
        <n v="14912.44" u="1"/>
        <n v="13236.16" u="1"/>
        <n v="870.8" u="1"/>
        <n v="292.76659999999998" u="1"/>
        <n v="406.92" u="1"/>
        <n v="280.54000000000002" u="1"/>
        <n v="1652.27" u="1"/>
        <n v="1239.22" u="1"/>
        <n v="1528.97" u="1"/>
        <n v="507.04" u="1"/>
        <n v="2479.87" u="1"/>
        <n v="1113.24" u="1"/>
        <n v="209.37" u="1"/>
        <n v="2342.1799999999998" u="1"/>
        <n v="792.29" u="1"/>
        <n v="364.19" u="1"/>
        <n v="1920" u="1"/>
        <n v="1719.9" u="1"/>
        <n v="737.1" u="1"/>
        <n v="25895.87" u="1"/>
        <n v="396.37" u="1"/>
        <n v="2736.96" u="1"/>
        <n v="130.47" u="1"/>
        <n v="33545.1" u="1"/>
        <n v="863.94" u="1"/>
        <n v="997.92" u="1"/>
        <n v="47.07" u="1"/>
        <n v="49.92" u="1"/>
        <n v="48.15" u="1"/>
        <n v="13352.43" u="1"/>
        <n v="11353.25" u="1"/>
        <n v="914.83" u="1"/>
        <n v="1039.3499999999999" u="1"/>
        <n v="656.92" u="1"/>
        <n v="509.88" u="1"/>
        <n v="370.66" u="1"/>
        <n v="341.21" u="1"/>
        <n v="2009.54" u="1"/>
        <n v="2251.1" u="1"/>
        <n v="6491.18" u="1"/>
        <n v="582.58000000000004" u="1"/>
        <n v="1320.43" u="1"/>
        <n v="2992.04" u="1"/>
        <n v="1906.75" u="1"/>
        <n v="1512.17" u="1"/>
        <n v="1798.23" u="1"/>
        <n v="35498.519999999997" u="1"/>
        <n v="5895" u="1"/>
        <n v="8877.36" u="1"/>
        <n v="672.32" u="1"/>
        <n v="513.85" u="1"/>
        <n v="375" u="1"/>
        <n v="963" u="1"/>
        <n v="3268.9135999999999" u="1"/>
        <n v="233.68" u="1"/>
        <n v="5371.74" u="1"/>
        <n v="220.07" u="1"/>
        <n v="613.67999999999995" u="1"/>
        <n v="652.63" u="1"/>
        <n v="856" u="1"/>
        <n v="428" u="1"/>
        <n v="675" u="1"/>
        <n v="1666.68" u="1"/>
        <n v="346" u="1"/>
        <n v="38.799999999999997" u="1"/>
        <n v="34.15" u="1"/>
        <n v="10296" u="1"/>
        <n v="1016.4" u="1"/>
        <n v="35.76" u="1"/>
        <n v="38.19" u="1"/>
        <n v="150.9" u="1"/>
        <n v="191.67" u="1"/>
        <n v="1880.32" u="1"/>
        <n v="14667" u="1"/>
        <n v="13444.86" u="1"/>
        <n v="1145.8499999999999" u="1"/>
        <n v="13109.4" u="1"/>
        <n v="72" u="1"/>
        <n v="52.35" u="1"/>
        <n v="42.67" u="1"/>
        <n v="717.22" u="1"/>
        <n v="2220.63" u="1"/>
        <n v="6208.16" u="1"/>
        <n v="1839.18" u="1"/>
        <n v="389.5" u="1"/>
        <n v="996" u="1"/>
        <n v="1102.92" u="1"/>
        <n v="1863.56" u="1"/>
        <n v="121.9" u="1"/>
        <n v="1095.3499999999999" u="1"/>
        <n v="349.3734" u="1"/>
        <n v="321.68" u="1"/>
        <n v="90" u="1"/>
        <n v="223" u="1"/>
        <n v="345.99" u="1"/>
        <n v="747" u="1"/>
        <n v="1125.3900000000001" u="1"/>
        <n v="200.72" u="1"/>
        <n v="302.45999999999998" u="1"/>
        <n v="792" u="1"/>
        <n v="228.12" u="1"/>
        <n v="387.92" u="1"/>
        <n v="560.46" u="1"/>
        <n v="299.32" u="1"/>
        <n v="288" u="1"/>
        <n v="210.42" u="1"/>
        <n v="179.92" u="1"/>
        <n v="474.39" u="1"/>
        <n v="4000" u="1"/>
        <n v="30500" u="1"/>
        <n v="1780" u="1"/>
        <n v="1380" u="1"/>
        <n v="3100" u="1"/>
        <n v="378" u="1"/>
        <n v="2288" u="1"/>
        <n v="527.51009999999997" u="1"/>
        <n v="631.11" u="1"/>
        <n v="351.2" u="1"/>
        <n v="129.38" u="1"/>
        <n v="345.08" u="1"/>
        <n v="150.75" u="1"/>
        <n v="1802.0299" u="1"/>
        <n v="241.11" u="1"/>
        <n v="324.52" u="1"/>
        <n v="234.08" u="1"/>
        <n v="24387.3" u="1"/>
        <n v="537.76" u="1"/>
        <n v="346.15339999999998" u="1"/>
        <n v="236.3" u="1"/>
        <n v="1494.51" u="1"/>
        <n v="2202.8834999999999" u="1"/>
        <n v="452.28" u="1"/>
        <n v="21072.87" u="1"/>
        <n v="10328.65" u="1"/>
        <n v="498.48" u="1"/>
        <n v="392.08" u="1"/>
        <n v="5150.97" u="1"/>
        <n v="266.32" u="1"/>
        <n v="253.64" u="1"/>
        <n v="266.25" u="1"/>
        <n v="8363.4599999999991" u="1"/>
        <n v="113" u="1"/>
        <n v="322" u="1"/>
        <n v="3258.9875999999999" u="1"/>
        <n v="455.81" u="1"/>
        <n v="2980.26" u="1"/>
        <n v="6183" u="1"/>
        <n v="1570.25" u="1"/>
        <n v="73.17" u="1"/>
        <n v="72.83" u="1"/>
        <n v="903" u="1"/>
        <n v="1550" u="1"/>
        <n v="556.47" u="1"/>
        <n v="576.57000000000005" u="1"/>
        <n v="925.67020000000002" u="1"/>
        <n v="1366.02" u="1"/>
        <n v="354.96" u="1"/>
        <n v="2655.75" u="1"/>
        <n v="194.54" u="1"/>
        <n v="259.04000000000002" u="1"/>
        <n v="329.93" u="1"/>
        <n v="620" u="1"/>
        <n v="592" u="1"/>
        <n v="817.49599999999998" u="1"/>
        <n v="406.54" u="1"/>
        <n v="1082.3648000000001" u="1"/>
        <n v="105.19499999999999" u="1"/>
        <n v="780.46400000000006" u="1"/>
        <n v="90.89" u="1"/>
        <n v="84" u="1"/>
        <n v="217.38" u="1"/>
        <n v="750.39" u="1"/>
        <n v="166.2" u="1"/>
        <n v="242.16" u="1"/>
        <n v="1533.84" u="1"/>
        <n v="313.48" u="1"/>
        <n v="428.79989999999998" u="1"/>
        <n v="240.61" u="1"/>
        <n v="164" u="1"/>
        <n v="260.37" u="1"/>
        <n v="477.99990000000003" u="1"/>
        <n v="7770" u="1"/>
        <n v="152.79499999999999" u="1"/>
        <n v="813.46" u="1"/>
        <n v="1094.29" u="1"/>
        <n v="609.80999999999995" u="1"/>
        <n v="504.81" u="1"/>
        <n v="535.6" u="1"/>
        <n v="40.11" u="1"/>
        <n v="1777.8" u="1"/>
        <n v="506.82" u="1"/>
        <n v="644.55999999999995" u="1"/>
        <n v="324.63" u="1"/>
        <n v="2306.0700000000002" u="1"/>
        <n v="597.37" u="1"/>
        <n v="368.62" u="1"/>
        <n v="775.12" u="1"/>
        <n v="301.64" u="1"/>
        <n v="615.44000000000005" u="1"/>
        <n v="679.68" u="1"/>
        <n v="2870.46" u="1"/>
        <n v="5586.6" u="1"/>
        <n v="22088.34" u="1"/>
        <n v="5322.7" u="1"/>
        <n v="8626.31" u="1"/>
        <n v="823.92" u="1"/>
        <n v="2561.94" u="1"/>
        <n v="426.24" u="1"/>
        <n v="317" u="1"/>
        <n v="1522.269" u="1"/>
        <n v="755.85" u="1"/>
        <n v="3165.3" u="1"/>
        <n v="2499" u="1"/>
        <n v="608" u="1"/>
        <n v="189" u="1"/>
        <n v="7875" u="1"/>
        <n v="726.6" u="1"/>
        <n v="1123.2" u="1"/>
        <n v="1702.4" u="1"/>
        <n v="2128" u="1"/>
        <n v="2132.9699999999998" u="1"/>
        <n v="2918.43" u="1"/>
        <n v="636" u="1"/>
        <n v="1450" u="1"/>
        <n v="2359" u="1"/>
        <n v="314.8" u="1"/>
        <n v="677.25" u="1"/>
        <n v="1860" u="1"/>
        <n v="71" u="1"/>
        <n v="180.9" u="1"/>
        <n v="1810" u="1"/>
        <n v="1004" u="1"/>
        <n v="840" u="1"/>
        <n v="189.29" u="1"/>
        <n v="475" u="1"/>
        <n v="267" u="1"/>
        <n v="268" u="1"/>
        <n v="722.01" u="1"/>
        <n v="956" u="1"/>
        <n v="464.01749999999998" u="1"/>
        <n v="522.48" u="1"/>
        <n v="636.6" u="1"/>
        <n v="435.4" u="1"/>
        <n v="696.64" u="1"/>
        <n v="540.80999999999995" u="1"/>
        <n v="297.72000000000003" u="1"/>
        <n v="573.08000000000004" u="1"/>
        <n v="3528.8" u="1"/>
        <n v="602.29" u="1"/>
        <n v="534.03989999999999" u="1"/>
        <n v="774.66" u="1"/>
        <n v="438.32" u="1"/>
        <n v="1229.3598" u="1"/>
        <n v="434.25" u="1"/>
        <n v="585.04" u="1"/>
        <n v="1472.2" u="1"/>
        <n v="357.67" u="1"/>
        <n v="316.08" u="1"/>
        <n v="2437.44" u="1"/>
        <n v="539.79" u="1"/>
        <n v="1551" u="1"/>
        <n v="547.096" u="1"/>
        <n v="910.06" u="1"/>
        <n v="282.68" u="1"/>
        <n v="503" u="1"/>
        <n v="1668.1418000000001" u="1"/>
        <n v="614.67989999999998" u="1"/>
        <n v="1208.46" u="1"/>
        <n v="347.98500000000001" u="1"/>
        <n v="2786.56" u="1"/>
        <n v="783.72" u="1"/>
        <n v="1078.8" u="1"/>
        <n v="857.92" u="1"/>
        <n v="750.56" u="1"/>
        <n v="654.99" u="1"/>
        <n v="1071" u="1"/>
        <n v="458" u="1"/>
        <n v="370" u="1"/>
        <n v="1319.72" u="1"/>
        <n v="1101.3900000000001" u="1"/>
        <n v="215.5" u="1"/>
        <n v="798.78" u="1"/>
        <n v="712.41" u="1"/>
        <n v="834.71" u="1"/>
        <n v="1100.8699999999999" u="1"/>
        <n v="386.74" u="1"/>
        <n v="401.83" u="1"/>
        <n v="819.17" u="1"/>
        <n v="433.66660000000002" u="1"/>
        <n v="856.3" u="1"/>
        <n v="827.72799999999995" u="1"/>
        <n v="375.6" u="1"/>
        <n v="737.52" u="1"/>
        <n v="779.79" u="1"/>
        <n v="270.12" u="1"/>
        <n v="818.99" u="1"/>
        <n v="456.93" u="1"/>
        <n v="267.36660000000001" u="1"/>
        <n v="303.72000000000003" u="1"/>
        <n v="397" u="1"/>
        <n v="378.08" u="1"/>
        <n v="1494.12" u="1"/>
        <n v="176" u="1"/>
        <n v="524.63" u="1"/>
        <n v="192.3" u="1"/>
        <n v="543.04999999999995" u="1"/>
        <n v="360.09" u="1"/>
        <n v="507.67" u="1"/>
        <n v="357.87" u="1"/>
        <n v="606.13" u="1"/>
        <n v="854.38" u="1"/>
        <n v="704.81" u="1"/>
        <n v="877.95" u="1"/>
        <n v="480.86" u="1"/>
        <n v="523.55999999999995" u="1"/>
        <n v="396.64" u="1"/>
        <n v="651.24" u="1"/>
        <n v="351.8" u="1"/>
        <n v="349.52" u="1"/>
        <n v="293.16000000000003" u="1"/>
        <n v="418.48" u="1"/>
        <n v="1099.6400000000001" u="1"/>
        <n v="428.04" u="1"/>
        <n v="570.64" u="1"/>
        <n v="2949.8" u="1"/>
        <n v="216.7" u="1"/>
        <n v="1402.1" u="1"/>
        <n v="93.68" u="1"/>
        <n v="3070.86" u="1"/>
        <n v="436.36" u="1"/>
        <n v="2518" u="1"/>
        <n v="3502.98" u="1"/>
        <n v="13891.5" u="1"/>
        <n v="9145" u="1"/>
        <n v="3275.6790000000001" u="1"/>
        <n v="5242.6000000000004" u="1"/>
        <n v="783.11" u="1"/>
        <n v="448.38" u="1"/>
        <n v="1361.8" u="1"/>
        <n v="1366.14" u="1"/>
        <n v="1735.27" u="1"/>
        <n v="1109.8" u="1"/>
        <n v="598.4" u="1"/>
        <n v="3720.944" u="1"/>
        <n v="198.79" u="1"/>
        <n v="674.9" u="1"/>
        <n v="33959.85" u="1"/>
        <n v="329.9" u="1"/>
        <n v="790" u="1"/>
        <n v="705" u="1"/>
        <n v="641.65599999999995" u="1"/>
        <n v="2372.63" u="1"/>
        <n v="1005" u="1"/>
        <n v="292.39999999999998" u="1"/>
        <n v="2254" u="1"/>
        <n v="3395.52" u="1"/>
        <n v="612.55889999999999" u="1"/>
        <n v="1688.26" u="1"/>
        <n v="117.98" u="1"/>
        <n v="4596.8" u="1"/>
        <n v="876" u="1"/>
        <n v="315.63" u="1"/>
        <n v="354.18" u="1"/>
        <n v="687.66" u="1"/>
        <n v="896.34990000000005" u="1"/>
        <n v="946.46" u="1"/>
        <n v="2462.2199999999998" u="1"/>
        <n v="196.93" u="1"/>
        <n v="1243.48" u="1"/>
        <n v="824.77" u="1"/>
        <n v="1915.76" u="1"/>
        <n v="2760" u="1"/>
        <n v="25765.74" u="1"/>
        <n v="2048.5949999999998" u="1"/>
        <n v="195.59" u="1"/>
        <n v="614.51" u="1"/>
        <n v="266.22000000000003" u="1"/>
        <n v="363.36" u="1"/>
        <n v="214.96" u="1"/>
        <n v="2059.64" u="1"/>
        <n v="226.28" u="1"/>
        <n v="515.01750000000004" u="1"/>
        <n v="978.50250000000005" u="1"/>
        <n v="72.42" u="1"/>
        <n v="581.86" u="1"/>
        <n v="79.12" u="1"/>
        <n v="792.32" u="1"/>
        <n v="766.12" u="1"/>
        <n v="2826.26" u="1"/>
        <n v="95.01" u="1"/>
        <n v="1143.3699999999999" u="1"/>
        <n v="303.44" u="1"/>
        <n v="487.92" u="1"/>
        <n v="2327.9412000000002" u="1"/>
        <n v="1868.42" u="1"/>
        <n v="1014.09" u="1"/>
        <n v="1248.25" u="1"/>
        <n v="537.32000000000005" u="1"/>
        <n v="454.32" u="1"/>
        <n v="569.84" u="1"/>
        <n v="3941.64" u="1"/>
        <n v="323.64" u="1"/>
        <n v="2100.38" u="1"/>
        <n v="2128.9499999999998" u="1"/>
        <n v="307.81" u="1"/>
        <n v="369.76" u="1"/>
        <n v="6530.6850000000004" u="1"/>
        <n v="662.97" u="1"/>
        <n v="722.24" u="1"/>
        <n v="335.45" u="1"/>
        <n v="1811" u="1"/>
        <n v="423.24" u="1"/>
        <n v="631.9" u="1"/>
        <n v="0.01" u="1"/>
        <n v="333.76" u="1"/>
        <n v="1020.29" u="1"/>
        <n v="89812.11" u="1"/>
        <n v="504.21" u="1"/>
        <n v="112" u="1"/>
        <n v="565" u="1"/>
        <n v="594.30499999999995" u="1"/>
        <n v="1490.49" u="1"/>
        <n v="1649.03" u="1"/>
        <n v="2776.38" u="1"/>
        <n v="644.32000000000005" u="1"/>
        <n v="816.3" u="1"/>
        <n v="606.6" u="1"/>
        <n v="620.97" u="1"/>
        <n v="674.51" u="1"/>
        <n v="1095.8900000000001" u="1"/>
        <n v="3045" u="1"/>
        <n v="912" u="1"/>
        <n v="4882.5" u="1"/>
        <n v="2324.23" u="1"/>
        <n v="2916.9" u="1"/>
        <n v="395.51" u="1"/>
        <n v="2046.99" u="1"/>
        <n v="3289" u="1"/>
        <n v="388.31" u="1"/>
        <n v="238" u="1"/>
        <n v="304.88" u="1"/>
        <n v="399.9" u="1"/>
        <n v="1909.8" u="1"/>
        <n v="220.57" u="1"/>
        <n v="1084.8" u="1"/>
        <n v="207" u="1"/>
        <n v="645.90300000000002" u="1"/>
        <n v="2344.8000000000002" u="1"/>
        <n v="1571.84" u="1"/>
        <n v="393.68" u="1"/>
        <n v="1281.05" u="1"/>
        <n v="2691.54" u="1"/>
        <n v="138" u="1"/>
        <n v="781.57" u="1"/>
        <n v="1434.34" u="1"/>
        <n v="1520.4" u="1"/>
        <n v="1482.26" u="1"/>
        <n v="648.64" u="1"/>
        <n v="611.91999999999996" u="1"/>
        <n v="2087.14" u="1"/>
        <n v="5224.58" u="1"/>
        <n v="1343.6" u="1"/>
        <n v="531.86" u="1"/>
        <n v="1913.74" u="1"/>
        <n v="1911.32" u="1"/>
        <n v="10090.27" u="1"/>
        <n v="417.16" u="1"/>
        <n v="5603.61" u="1"/>
        <n v="3016.44" u="1"/>
        <n v="1124.46" u="1"/>
        <n v="392.82" u="1"/>
        <n v="4117.76" u="1"/>
        <n v="888.64" u="1"/>
        <n v="676.2" u="1"/>
        <n v="218" u="1"/>
        <n v="286" u="1"/>
        <n v="3304.97" u="1"/>
        <n v="311.39999999999998" u="1"/>
        <n v="153.38" u="1"/>
        <n v="412.98" u="1"/>
        <n v="123.88" u="1"/>
        <n v="235.98" u="1"/>
        <n v="188.67" u="1"/>
        <n v="9992.232" u="1"/>
        <n v="5531.4" u="1"/>
        <n v="1377" u="1"/>
        <n v="1544" u="1"/>
        <n v="318" u="1"/>
        <n v="502" u="1"/>
        <n v="641" u="1"/>
        <n v="1107" u="1"/>
        <n v="2698.45" u="1"/>
        <n v="470" u="1"/>
        <n v="496.97" u="1"/>
        <n v="534" u="1"/>
        <n v="498.15339999999998" u="1"/>
        <n v="4482.25" u="1"/>
        <n v="1175.49" u="1"/>
        <n v="281.99" u="1"/>
        <n v="310.82" u="1"/>
        <n v="360.47" u="1"/>
        <n v="427.73" u="1"/>
        <n v="326.39" u="1"/>
        <n v="1171.49" u="1"/>
        <n v="1050.76" u="1"/>
        <n v="3378.6" u="1"/>
        <n v="510.83" u="1"/>
        <n v="302.64" u="1"/>
        <n v="472.3" u="1"/>
        <n v="585.49" u="1"/>
        <n v="1463.28" u="1"/>
        <n v="603.91" u="1"/>
        <n v="860.46" u="1"/>
        <n v="272.24" u="1"/>
        <n v="129.84" u="1"/>
        <n v="956.87" u="1"/>
        <n v="627" u="1"/>
        <n v="287.39999999999998" u="1"/>
        <n v="277.55" u="1"/>
        <n v="723.23" u="1"/>
        <n v="303.61" u="1"/>
        <n v="540.45000000000005" u="1"/>
        <n v="406.8" u="1"/>
        <n v="370.08" u="1"/>
        <n v="892.33" u="1"/>
        <n v="1355.02" u="1"/>
        <n v="507.81" u="1"/>
        <n v="903.52" u="1"/>
        <n v="352.38" u="1"/>
        <n v="358.73" u="1"/>
        <n v="3775.42" u="1"/>
        <n v="926.33" u="1"/>
        <n v="1839.64" u="1"/>
        <n v="422.2" u="1"/>
        <n v="5" u="1"/>
        <n v="542.5" u="1"/>
        <n v="578.28" u="1"/>
        <n v="433.12" u="1"/>
        <n v="181.56" u="1"/>
        <n v="499.16" u="1"/>
        <n v="454.4" u="1"/>
        <n v="501.52" u="1"/>
        <n v="385.24" u="1"/>
        <n v="285.68" u="1"/>
        <n v="388.28" u="1"/>
        <n v="430.08" u="1"/>
        <n v="180.8" u="1"/>
        <n v="387.52" u="1"/>
        <n v="446.04" u="1"/>
        <n v="879.92" u="1"/>
        <n v="188.4" u="1"/>
        <n v="505.24" u="1"/>
        <n v="1110.2" u="1"/>
        <n v="410.32" u="1"/>
        <n v="455" u="1"/>
        <n v="2260" u="1"/>
        <n v="708" u="1"/>
        <n v="5610" u="1"/>
        <n v="2539.98" u="1"/>
        <n v="498.96" u="1"/>
        <n v="613" u="1"/>
        <n v="2361.8000000000002" u="1"/>
        <n v="1666.42" u="1"/>
        <n v="1897.02" u="1"/>
        <n v="1748.8" u="1"/>
        <n v="1105.0899999999999" u="1"/>
        <n v="3205.26" u="1"/>
        <n v="333" u="1"/>
        <n v="954" u="1"/>
        <n v="1729.83" u="1"/>
        <n v="1739.145" u="1"/>
        <n v="7131.8" u="1"/>
        <n v="404" u="1"/>
        <n v="26400" u="1"/>
        <n v="474" u="1"/>
        <n v="239.06" u="1"/>
        <n v="3322.09" u="1"/>
        <n v="2362.79" u="1"/>
        <n v="2516.2800000000002" u="1"/>
        <n v="3072.09" u="1"/>
        <n v="180.77" u="1"/>
        <n v="563" u="1"/>
        <n v="1584" u="1"/>
        <n v="4597.2" u="1"/>
        <n v="6262.5" u="1"/>
        <n v="2356.1999999999998" u="1"/>
        <n v="2880.12" u="1"/>
        <n v="1750" u="1"/>
        <n v="1176" u="1"/>
        <n v="277.2" u="1"/>
        <n v="249" u="1"/>
        <n v="1079.3599999999999" u="1"/>
        <n v="619.5" u="1"/>
        <n v="511.74" u="1"/>
        <n v="1440" u="1"/>
        <n v="448.5" u="1"/>
        <n v="909.3" u="1"/>
        <n v="1377.54" u="1"/>
        <n v="677.59" u="1"/>
        <n v="601.32000000000005" u="1"/>
        <n v="1244.3699999999999" u="1"/>
        <n v="208.77" u="1"/>
        <n v="945.82" u="1"/>
        <n v="2263.48" u="1"/>
        <n v="2774.75" u="1"/>
        <n v="1329.46" u="1"/>
        <n v="1846.2" u="1"/>
        <n v="682.5" u="1"/>
        <n v="724.96" u="1"/>
        <n v="719.72" u="1"/>
        <n v="410.24" u="1"/>
        <n v="430" u="1"/>
        <n v="1544.54" u="1"/>
        <n v="586.29999999999995" u="1"/>
        <n v="1499.31" u="1"/>
        <n v="972.81" u="1"/>
        <n v="11252.304" u="1"/>
        <n v="438" u="1"/>
        <n v="3791.76" u="1"/>
        <n v="202.98" u="1"/>
        <n v="1278" u="1"/>
        <n v="640" u="1"/>
        <n v="571.03" u="1"/>
        <n v="1944" u="1"/>
        <n v="1120" u="1"/>
        <n v="5832.2860000000001" u="1"/>
        <n v="3370.5" u="1"/>
        <n v="976.5" u="1"/>
        <n v="1089" u="1"/>
        <n v="133.41999999999999" u="1"/>
        <n v="4096.95" u="1"/>
        <n v="952" u="1"/>
        <n v="356.25" u="1"/>
        <n v="820.72" u="1"/>
        <n v="773.52" u="1"/>
        <n v="1306.2" u="1"/>
        <n v="3657.36" u="1"/>
        <n v="2699.48" u="1"/>
        <n v="2089.92" u="1"/>
        <n v="1741.6" u="1"/>
        <n v="5311.88" u="1"/>
        <n v="174.16" u="1"/>
        <n v="1480.36" u="1"/>
        <n v="307.8" u="1"/>
        <n v="205.81" u="1"/>
        <n v="5940.76" u="1"/>
        <n v="6966.54" u="1"/>
        <n v="667.18399999999997" u="1"/>
        <n v="2729.07" u="1"/>
        <n v="1604.65" u="1"/>
        <n v="2726.74" u="1"/>
        <n v="1603.49" u="1"/>
        <n v="1639.0898999999999" u="1"/>
        <n v="1153.82" u="1"/>
        <n v="848.29" u="1"/>
        <n v="1476.7599" u="1"/>
        <n v="313.20999999999998" u="1"/>
        <n v="1093" u="1"/>
        <n v="559" u="1"/>
        <n v="279" u="1"/>
        <n v="130.30000000000001" u="1"/>
        <n v="384" u="1"/>
        <n v="624" u="1"/>
        <n v="633" u="1"/>
        <n v="443" u="1"/>
        <n v="991.95" u="1"/>
        <n v="457.6" u="1"/>
        <n v="217" u="1"/>
        <n v="477.99" u="1"/>
        <n v="932.01" u="1"/>
        <n v="963.99" u="1"/>
        <n v="555.00660000000005" u="1"/>
        <n v="1585.5840000000001" u="1"/>
        <n v="320.39999999999998" u="1"/>
        <n v="1080.6192000000001" u="1"/>
        <n v="347.08" u="1"/>
        <n v="267.72000000000003" u="1"/>
        <n v="10360.392" u="1"/>
        <n v="9731.3310000000001" u="1"/>
        <n v="110" u="1"/>
        <n v="417.94" u="1"/>
        <n v="484" u="1"/>
        <n v="890.52" u="1"/>
        <n v="688.53" u="1"/>
        <n v="2002" u="1"/>
        <n v="350.7" u="1"/>
        <n v="329.81" u="1"/>
        <n v="354.17" u="1"/>
        <n v="580.45600000000002" u="1"/>
        <n v="85.37" u="1"/>
        <n v="2157.08" u="1"/>
        <n v="1704.5" u="1"/>
        <n v="1016" u="1"/>
        <n v="3966" u="1"/>
        <n v="843.96" u="1"/>
        <n v="805.26" u="1"/>
        <n v="335.33" u="1"/>
        <n v="816" u="1"/>
        <n v="1326.99" u="1"/>
        <n v="29" u="1"/>
        <n v="1249.8900000000001" u="1"/>
        <n v="249.76" u="1"/>
        <n v="427.46" u="1"/>
        <n v="441.16" u="1"/>
        <n v="401.92" u="1"/>
        <n v="728.75" u="1"/>
        <n v="578.9" u="1"/>
        <n v="497.21" u="1"/>
        <n v="2364.5500000000002" u="1"/>
        <n v="250.82" u="1"/>
        <n v="1066.96" u="1"/>
        <n v="1230.6199999999999" u="1"/>
        <n v="5046.32" u="1"/>
        <n v="890.76099999999997" u="1"/>
        <n v="1657.74" u="1"/>
        <n v="183.2" u="1"/>
        <n v="570.32000000000005" u="1"/>
        <n v="1234.9259999999999" u="1"/>
        <n v="1336.566" u="1"/>
        <n v="5500" u="1"/>
        <n v="652.31399999999996" u="1"/>
        <n v="2904.3629999999998" u="1"/>
        <n v="5760" u="1"/>
        <n v="2439.36" u="1"/>
        <n v="3112" u="1"/>
        <n v="1882.8810000000001" u="1"/>
        <n v="790.68" u="1"/>
        <n v="733.7" u="1"/>
        <n v="292.61" u="1"/>
        <n v="1393.84" u="1"/>
        <n v="651.6" u="1"/>
        <n v="132.17500000000001" u="1"/>
        <n v="879" u="1"/>
        <n v="1331.36" u="1"/>
        <n v="346.33" u="1"/>
        <n v="619.78399999999999" u="1"/>
        <n v="273.7466" u="1"/>
        <n v="117.08" u="1"/>
        <n v="1006.9" u="1"/>
        <n v="417.57990000000001" u="1"/>
        <n v="1361.0328" u="1"/>
        <n v="238.47" u="1"/>
        <n v="461.88" u="1"/>
        <n v="1225.25" u="1"/>
        <n v="563.79999999999995" u="1"/>
        <n v="465" u="1"/>
        <n v="615" u="1"/>
        <n v="301.16660000000002" u="1"/>
        <n v="1261.1400000000001" u="1"/>
        <n v="4734.1400000000003" u="1"/>
        <n v="599.4" u="1"/>
        <n v="468.38" u="1"/>
        <n v="1098.53" u="1"/>
        <n v="478.99" u="1"/>
        <n v="567.67999999999995" u="1"/>
        <n v="886.84" u="1"/>
        <n v="969.96" u="1"/>
        <n v="5953.93" u="1"/>
        <n v="290.02999999999997" u="1"/>
        <n v="1788.4" u="1"/>
        <n v="10666.6" u="1"/>
        <n v="1388.88" u="1"/>
        <n v="68.8" u="1"/>
        <n v="66.790000000000006" u="1"/>
        <n v="661.14" u="1"/>
        <n v="146" u="1"/>
        <n v="146.97" u="1"/>
        <n v="3098.57" u="1"/>
        <n v="773.67" u="1"/>
        <n v="560.36" u="1"/>
        <n v="1474.82" u="1"/>
        <n v="2507.34" u="1"/>
        <n v="835.72" u="1"/>
        <n v="295.93" u="1"/>
        <n v="1604.69" u="1"/>
        <n v="369.28" u="1"/>
        <n v="1209.08" u="1"/>
        <n v="1068.4000000000001" u="1"/>
        <n v="1893.76" u="1"/>
        <n v="9440.11" u="1"/>
        <n v="8005.9" u="1"/>
        <n v="712.11" u="1"/>
        <n v="1277.75" u="1"/>
        <n v="4010.38" u="1"/>
        <n v="564.94000000000005" u="1"/>
        <n v="630.91" u="1"/>
        <n v="621.78" u="1"/>
        <n v="927.34" u="1"/>
        <n v="648.88" u="1"/>
        <n v="245.24" u="1"/>
        <n v="1018.06" u="1"/>
        <n v="3556.64" u="1"/>
        <n v="2014.4" u="1"/>
        <n v="3993.59" u="1"/>
        <n v="2814.13" u="1"/>
        <n v="902.8" u="1"/>
        <n v="481.76" u="1"/>
        <n v="560.44000000000005" u="1"/>
        <n v="2396.94" u="1"/>
        <n v="9327.69" u="1"/>
        <n v="12117.3" u="1"/>
        <n v="16955.96" u="1"/>
        <n v="607.01" u="1"/>
        <n v="947.88" u="1"/>
        <n v="1589.8" u="1"/>
        <n v="2264.1534000000001" u="1"/>
        <n v="310.02999999999997" u="1"/>
        <n v="863.16" u="1"/>
        <n v="197" u="1"/>
        <n v="348.32" u="1"/>
        <n v="3483.2" u="1"/>
        <n v="2351.16" u="1"/>
        <n v="4953.96" u="1"/>
        <n v="2349.2199999999998" u="1"/>
        <n v="4876.4799999999996" u="1"/>
        <n v="1636.8" u="1"/>
        <n v="1221.52" u="1"/>
        <n v="1164.1300000000001" u="1"/>
        <n v="1474.2" u="1"/>
        <n v="334" u="1"/>
        <n v="33.619999999999997" u="1"/>
        <n v="2828.3002000000001" u="1"/>
        <n v="329.08" u="1"/>
        <n v="435.1" u="1"/>
        <n v="1127.08" u="1"/>
        <n v="326.18" u="1"/>
        <n v="704.2" u="1"/>
        <n v="929.61" u="1"/>
        <n v="336.58" u="1"/>
        <n v="989.5" u="1"/>
        <n v="958.18399999999997" u="1"/>
        <n v="346.01" u="1"/>
        <n v="482.72" u="1"/>
        <n v="198.18" u="1"/>
        <n v="364.2466" u="1"/>
        <n v="7119.42" u="1"/>
        <n v="89.36" u="1"/>
        <n v="179.53" u="1"/>
        <n v="445.64" u="1"/>
        <n v="533.19000000000005" u="1"/>
        <n v="770.98" u="1"/>
        <n v="417.93" u="1"/>
        <n v="432.9" u="1"/>
        <n v="310.76" u="1"/>
        <n v="1461.4" u="1"/>
        <n v="412.52" u="1"/>
        <n v="622.36" u="1"/>
        <n v="82.76" u="1"/>
        <n v="535.72" u="1"/>
        <n v="650.48" u="1"/>
        <n v="296.24" u="1"/>
        <n v="658.84" u="1"/>
        <n v="6658.36" u="1"/>
        <n v="13785.8" u="1"/>
        <n v="474.85" u="1"/>
        <n v="135.22" u="1"/>
        <n v="588.94000000000005" u="1"/>
        <n v="287.29000000000002" u="1"/>
        <n v="520" u="1"/>
        <n v="611.61749999999995" u="1"/>
        <n v="254.96" u="1"/>
        <n v="220.24" u="1"/>
        <n v="489.4701" u="1"/>
        <n v="757.33" u="1"/>
        <n v="442.76" u="1"/>
        <n v="443.07" u="1"/>
        <n v="216.99" u="1"/>
        <n v="1344.46" u="1"/>
        <n v="415.64" u="1"/>
        <n v="487.12" u="1"/>
        <n v="575.91999999999996" u="1"/>
        <n v="862.52" u="1"/>
        <n v="591.55999999999995" u="1"/>
        <n v="834.27" u="1"/>
        <n v="2183.7399999999998" u="1"/>
        <n v="676.72" u="1"/>
        <n v="3197.69" u="1"/>
        <n v="50974.39" u="1"/>
        <n v="1128.01" u="1"/>
        <n v="1245.52" u="1"/>
        <n v="518.97" u="1"/>
        <n v="10576.36" u="1"/>
        <n v="11932.95" u="1"/>
        <n v="10011.73" u="1"/>
        <n v="2154.87" u="1"/>
        <n v="3780" u="1"/>
        <n v="1446.84" u="1"/>
        <n v="533.11" u="1"/>
        <n v="1732.57" u="1"/>
        <n v="719.39" u="1"/>
        <n v="3528.32" u="1"/>
        <n v="1152.83" u="1"/>
        <n v="2109.77" u="1"/>
        <n v="916.47" u="1"/>
        <n v="11826.65" u="1"/>
        <n v="2521.5300000000002" u="1"/>
        <n v="2382.8200000000002" u="1"/>
        <n v="2121.81" u="1"/>
        <n v="975.63" u="1"/>
        <n v="3041.29" u="1"/>
        <n v="220.49" u="1"/>
        <n v="508.05" u="1"/>
        <n v="1547.01" u="1"/>
        <n v="2823.9" u="1"/>
        <n v="1912.9" u="1"/>
        <n v="115.5" u="1"/>
        <n v="8175.35" u="1"/>
        <n v="80" u="1"/>
        <n v="3365.52" u="1"/>
        <n v="283.5" u="1"/>
        <n v="642.36" u="1"/>
        <n v="3974.3" u="1"/>
        <n v="9946.7900000000009" u="1"/>
        <n v="6075.89" u="1"/>
        <n v="1929.42" u="1"/>
        <n v="115.9" u="1"/>
        <n v="1916.07" u="1"/>
        <n v="1136.43" u="1"/>
        <n v="2219.9" u="1"/>
        <n v="883.9" u="1"/>
        <n v="613.37" u="1"/>
        <n v="3065.9" u="1"/>
        <n v="1263.6600000000001" u="1"/>
        <n v="735.84" u="1"/>
        <n v="170.21" u="1"/>
        <n v="85.45" u="1"/>
        <n v="1167.54" u="1"/>
        <n v="875.66" u="1"/>
        <n v="8888.83" u="1"/>
        <n v="5093.3599999999997" u="1"/>
        <n v="6891.6959999999999" u="1"/>
        <n v="2065.7800000000002" u="1"/>
        <n v="849.57" u="1"/>
        <n v="339.38" u="1"/>
        <n v="517.83000000000004" u="1"/>
        <n v="341.04" u="1"/>
        <n v="429.02" u="1"/>
        <n v="516.9" u="1"/>
        <n v="383.21" u="1"/>
        <n v="1869.9" u="1"/>
        <n v="1090.52" u="1"/>
        <n v="493.63" u="1"/>
        <n v="1256.8" u="1"/>
        <n v="201.32" u="1"/>
        <n v="435.32" u="1"/>
        <n v="1219.72" u="1"/>
        <n v="687.89" u="1"/>
        <n v="982.79" u="1"/>
        <n v="7875.15" u="1"/>
        <n v="236.28" u="1"/>
        <n v="2649.4" u="1"/>
        <n v="6167.14" u="1"/>
        <n v="6919.95" u="1"/>
        <n v="6759.72" u="1"/>
        <n v="1071.45" u="1"/>
        <n v="636.12" u="1"/>
        <n v="506.92" u="1"/>
        <n v="1240.1600000000001" u="1"/>
        <n v="5739.47" u="1"/>
        <n v="646" u="1"/>
        <n v="957" u="1"/>
        <n v="1073.97" u="1"/>
        <n v="504.5025" u="1"/>
        <n v="1828.68" u="1"/>
        <n v="2801.04" u="1"/>
        <n v="4528.16" u="1"/>
        <n v="2814.75" u="1"/>
        <n v="2612.4" u="1"/>
        <n v="1654.52" u="1"/>
        <n v="102.14" u="1"/>
        <n v="612.84" u="1"/>
        <n v="2406.04" u="1"/>
        <n v="2002.84" u="1"/>
        <n v="3047.8" u="1"/>
        <n v="5137.72" u="1"/>
        <n v="1567.44" u="1"/>
        <n v="3221.96" u="1"/>
        <n v="1219.1199999999999" u="1"/>
        <n v="87.08" u="1"/>
        <n v="3134.88" u="1"/>
        <n v="427.47" u="1"/>
        <n v="1225.68" u="1"/>
        <n v="957.88" u="1"/>
        <n v="3539.1417000000001" u="1"/>
        <n v="3142.752" u="1"/>
        <n v="797.48" u="1"/>
        <n v="256.2" u="1"/>
        <n v="306.92" u="1"/>
        <n v="591.63750000000005" u="1"/>
        <n v="393.11" u="1"/>
        <n v="257.33999999999997" u="1"/>
        <n v="274.93" u="1"/>
        <n v="195.43" u="1"/>
        <n v="811.19" u="1"/>
        <n v="676.27" u="1"/>
        <n v="421.86" u="1"/>
        <n v="539.73" u="1"/>
        <n v="4028.38" u="1"/>
        <n v="3279.97" u="1"/>
        <n v="5343.41" u="1"/>
        <n v="1811.16" u="1"/>
        <n v="728.04" u="1"/>
        <n v="2655.64" u="1"/>
        <n v="2419.08" u="1"/>
        <n v="2482.92" u="1"/>
        <n v="1082.3800000000001" u="1"/>
        <n v="643.16999999999996" u="1"/>
        <n v="395.48" u="1"/>
        <n v="622.72" u="1"/>
        <n v="1360.87" u="1"/>
        <n v="168.9" u="1"/>
        <n v="498.24990000000003" u="1"/>
        <n v="276.44" u="1"/>
        <n v="328.4" u="1"/>
        <n v="1514.5299" u="1"/>
        <n v="303.14" u="1"/>
        <n v="306" u="1"/>
        <n v="511.82" u="1"/>
        <n v="365.11" u="1"/>
        <n v="429.15" u="1"/>
        <n v="2139.56" u="1"/>
        <n v="223.53" u="1"/>
        <n v="211.38" u="1"/>
        <n v="142.47" u="1"/>
        <n v="4452.84" u="1"/>
        <n v="2852.4126000000001" u="1"/>
        <n v="2102.2356" u="1"/>
        <n v="481.73" u="1"/>
        <n v="1121.8053" u="1"/>
        <n v="642.12" u="1"/>
        <n v="496.2" u="1"/>
        <n v="603.36" u="1"/>
        <n v="161.04" u="1"/>
        <n v="375.36" u="1"/>
        <n v="2472.08" u="1"/>
        <n v="1970.7963999999999" u="1"/>
        <n v="414.39" u="1"/>
        <n v="273.38" u="1"/>
        <n v="784.66" u="1"/>
        <n v="608.96" u="1"/>
        <n v="1540" u="1"/>
        <n v="1702.96" u="1"/>
        <n v="1185" u="1"/>
        <n v="5590.41" u="1"/>
        <n v="325" u="1"/>
        <n v="305.68" u="1"/>
        <n v="2884.4202" u="1"/>
        <n v="788" u="1"/>
        <n v="528" u="1"/>
        <n v="1975.5917999999999" u="1"/>
        <n v="1660.62" u="1"/>
        <n v="502.7" u="1"/>
        <n v="408.56" u="1"/>
        <n v="2291.7600000000002" u="1"/>
        <n v="1424.9" u="1"/>
        <n v="14831.34" u="1"/>
        <n v="1117.0899999999999" u="1"/>
        <n v="263.45" u="1"/>
        <n v="92" u="1"/>
        <n v="288.39999999999998" u="1"/>
        <n v="810" u="1"/>
        <n v="1065.72" u="1"/>
        <n v="1078.4602" u="1"/>
        <n v="223328.17" u="1"/>
        <n v="8717.8080000000009" u="1"/>
        <n v="709.8" u="1"/>
        <n v="123.99" u="1"/>
        <n v="89.99" u="1"/>
        <n v="229.97" u="1"/>
        <n v="524.41999999999996" u="1"/>
        <n v="332.5" u="1"/>
        <n v="680.01" u="1"/>
        <n v="188.8" u="1"/>
        <n v="851.01" u="1"/>
        <n v="243" u="1"/>
        <n v="295" u="1"/>
        <n v="531" u="1"/>
        <n v="273" u="1"/>
        <n v="1560" u="1"/>
        <n v="625.32749999999999" u="1"/>
        <n v="464.82" u="1"/>
        <n v="429.8" u="1"/>
        <n v="1009.4" u="1"/>
        <n v="835.88" u="1"/>
        <n v="868.49" u="1"/>
        <n v="581.04" u="1"/>
        <n v="310.1934" u="1"/>
        <n v="366.21" u="1"/>
        <n v="298" u="1"/>
        <n v="970.41" u="1"/>
        <n v="485.21" u="1"/>
        <n v="2516" u="1"/>
        <n v="569" u="1"/>
        <n v="3720" u="1"/>
        <n v="4250" u="1"/>
        <n v="1151.08" u="1"/>
        <n v="630" u="1"/>
        <n v="282" u="1"/>
        <n v="167.48" u="1"/>
        <n v="853.08" u="1"/>
        <n v="583.20000000000005" u="1"/>
        <n v="1706.72" u="1"/>
        <n v="1639.76" u="1"/>
        <n v="870.78" u="1"/>
        <n v="403.2" u="1"/>
        <n v="434.7" u="1"/>
        <n v="228.8" u="1"/>
        <n v="977.22990000000004" u="1"/>
        <n v="426.92" u="1"/>
        <n v="236.9" u="1"/>
        <n v="384.11340000000001" u="1"/>
        <n v="1197.82" u="1"/>
        <n v="705.3" u="1"/>
        <n v="142.52000000000001" u="1"/>
        <n v="442.71" u="1"/>
        <n v="2370.3694" u="1"/>
        <n v="10584" u="1"/>
        <n v="121.09" u="1"/>
        <n v="1099.3599999999999" u="1"/>
        <n v="1418.93" u="1"/>
        <n v="2524.04" u="1"/>
        <n v="947.67" u="1"/>
        <n v="3229.04" u="1"/>
        <n v="2066.06" u="1"/>
        <n v="477.38" u="1"/>
        <n v="2013.58" u="1"/>
        <n v="6387.1817000000001" u="1"/>
        <n v="736.13" u="1"/>
        <n v="363.96" u="1"/>
        <n v="749.28" u="1"/>
        <n v="5400.42" u="1"/>
        <n v="999.5" u="1"/>
        <n v="2593.8000000000002" u="1"/>
        <n v="3050.78" u="1"/>
        <n v="1119.18" u="1"/>
        <n v="5689.9" u="1"/>
        <n v="1826.65" u="1"/>
        <n v="482.9" u="1"/>
        <n v="37943.39" u="1"/>
        <n v="1700" u="1"/>
        <n v="712" u="1"/>
        <n v="1297.58" u="1"/>
        <n v="1514.57" u="1"/>
        <n v="35694.879999999997" u="1"/>
        <n v="1493.91" u="1"/>
        <n v="1395.97" u="1"/>
        <n v="549.23" u="1"/>
        <n v="361.85" u="1"/>
        <n v="460.75" u="1"/>
        <n v="3309.04" u="1"/>
        <n v="4354" u="1"/>
        <n v="622.12" u="1"/>
        <n v="1123.54" u="1"/>
        <n v="687.44" u="1"/>
        <n v="714.98" u="1"/>
        <n v="1568.72" u="1"/>
        <n v="605.24" u="1"/>
        <n v="936.41650000000004" u="1"/>
        <n v="521" u="1"/>
        <n v="500.43" u="1"/>
        <n v="1040" u="1"/>
        <n v="91757.38" u="1"/>
        <n v="319.36" u="1"/>
        <n v="904.23" u="1"/>
        <n v="190.33" u="1"/>
        <n v="196.27" u="1"/>
        <n v="649.72799999999995" u="1"/>
        <n v="293.01339999999999" u="1"/>
        <n v="430.35" u="1"/>
        <n v="637.32000000000005" u="1"/>
        <n v="807.41" u="1"/>
        <n v="470.84010000000001" u="1"/>
        <n v="23.01" u="1"/>
        <n v="32.14" u="1"/>
        <n v="573.52" u="1"/>
        <n v="209.43" u="1"/>
        <n v="551.32000000000005" u="1"/>
        <n v="529.04" u="1"/>
        <n v="418.32990000000001" u="1"/>
        <n v="435.45" u="1"/>
        <n v="1318.8" u="1"/>
        <n v="482.01" u="1"/>
        <n v="643.1" u="1"/>
        <n v="1889.94" u="1"/>
        <n v="1219.1400000000001" u="1"/>
        <n v="255.76" u="1"/>
        <n v="398.91" u="1"/>
        <n v="578.95000000000005" u="1"/>
        <n v="832.94" u="1"/>
        <n v="628.36" u="1"/>
        <n v="285.99" u="1"/>
        <n v="274.8" u="1"/>
        <n v="561.35" u="1"/>
        <n v="394.1" u="1"/>
        <n v="151.46" u="1"/>
        <n v="1382.9" u="1"/>
        <n v="385.29" u="1"/>
        <n v="341.86" u="1"/>
        <n v="181.19" u="1"/>
        <n v="587.75" u="1"/>
        <n v="281.51" u="1"/>
        <n v="1443.95" u="1"/>
        <n v="838.35" u="1"/>
        <n v="509.43" u="1"/>
        <n v="682.39" u="1"/>
        <n v="186.59" u="1"/>
        <n v="28.18" u="1"/>
        <n v="386.89" u="1"/>
        <n v="682.79" u="1"/>
        <n v="221.73" u="1"/>
        <n v="744.96" u="1"/>
        <n v="747.25" u="1"/>
        <n v="1055.56" u="1"/>
        <n v="367.08" u="1"/>
        <n v="345.96" u="1"/>
        <n v="556.66" u="1"/>
        <n v="1880.4" u="1"/>
        <n v="1601.22" u="1"/>
        <n v="1671.84" u="1"/>
        <n v="2212.96" u="1"/>
        <n v="2159.9299999999998" u="1"/>
        <n v="2303.84" u="1"/>
        <n v="3865.64" u="1"/>
        <n v="2427.7199999999998" u="1"/>
        <n v="275.04000000000002" u="1"/>
        <n v="269.42" u="1"/>
        <n v="509.12" u="1"/>
        <n v="442.86" u="1"/>
        <n v="364.72" u="1"/>
        <n v="332.8" u="1"/>
        <n v="257.87" u="1"/>
        <n v="243.12" u="1"/>
        <n v="436.92" u="1"/>
        <n v="284.16000000000003" u="1"/>
        <n v="227.16" u="1"/>
        <n v="422.48" u="1"/>
        <n v="456.84" u="1"/>
        <n v="179.28" u="1"/>
        <n v="307.70999999999998" u="1"/>
        <n v="487.08" u="1"/>
        <n v="296.32" u="1"/>
        <n v="472.64" u="1"/>
        <n v="483.66" u="1"/>
        <n v="393.6" u="1"/>
        <n v="608.30999999999995" u="1"/>
        <n v="340.17" u="1"/>
        <n v="386.76" u="1"/>
        <n v="316.97000000000003" u="1"/>
        <n v="427.8" u="1"/>
        <n v="3106.74" u="1"/>
        <n v="2951.86" u="1"/>
        <n v="2658.5410999999999" u="1"/>
        <n v="81" u="1"/>
        <n v="754.31" u="1"/>
        <n v="380.4" u="1"/>
        <n v="922.65" u="1"/>
        <n v="483.64" u="1"/>
        <n v="255.8" u="1"/>
        <n v="285.52999999999997" u="1"/>
        <n v="569.82000000000005" u="1"/>
        <n v="459.12" u="1"/>
        <n v="546.52" u="1"/>
        <n v="796.88" u="1"/>
        <n v="1295.3699999999999" u="1"/>
        <n v="401.72" u="1"/>
        <n v="700.39" u="1"/>
        <n v="1916.26" u="1"/>
        <n v="491.1" u="1"/>
        <n v="218.04" u="1"/>
        <n v="190.16" u="1"/>
        <n v="480.44" u="1"/>
        <n v="200.82" u="1"/>
        <n v="432.46" u="1"/>
        <n v="579.70000000000005" u="1"/>
        <n v="241.82" u="1"/>
        <n v="407.68" u="1"/>
        <n v="833.26" u="1"/>
        <n v="779.25" u="1"/>
        <n v="327.18" u="1"/>
        <n v="373.35" u="1"/>
        <n v="335" u="1"/>
        <n v="300.39" u="1"/>
        <n v="693" u="1"/>
        <n v="272.48" u="1"/>
        <n v="272.22000000000003" u="1"/>
        <n v="134" u="1"/>
        <n v="546.03" u="1"/>
        <n v="1120.4938" u="1"/>
        <n v="15151.691999999999" u="1"/>
        <n v="625" u="1"/>
        <n v="3918.6" u="1"/>
        <n v="1804.53" u="1"/>
        <n v="2663.83" u="1"/>
        <n v="703.24" u="1"/>
        <n v="1190" u="1"/>
        <n v="853.28" u="1"/>
        <n v="1393.28" u="1"/>
        <n v="1736.38" u="1"/>
        <n v="747.88" u="1"/>
        <n v="231.78" u="1"/>
        <n v="455.07" u="1"/>
        <n v="749.12879999999996" u="1"/>
        <n v="220.67" u="1"/>
        <n v="399.86" u="1"/>
        <n v="464.2" u="1"/>
        <n v="245" u="1"/>
        <n v="336.74" u="1"/>
        <n v="2200" u="1"/>
        <n v="690" u="1"/>
        <n v="251" u="1"/>
        <n v="2915" u="1"/>
        <n v="282.10000000000002" u="1"/>
        <n v="825" u="1"/>
        <n v="629.97" u="1"/>
        <n v="425.85" u="1"/>
        <n v="673.9" u="1"/>
        <n v="850" u="1"/>
        <n v="445.17" u="1"/>
        <n v="1165.92" u="1"/>
        <n v="474.63" u="1"/>
        <n v="607.86" u="1"/>
        <n v="1165" u="1"/>
        <n v="536.85" u="1"/>
        <n v="517.82000000000005" u="1"/>
        <n v="1112.3" u="1"/>
        <n v="616.48" u="1"/>
        <n v="312.58999999999997" u="1"/>
        <n v="869.94" u="1"/>
        <n v="834.84" u="1"/>
        <n v="3062.4" u="1"/>
        <n v="2296.8000000000002" u="1"/>
        <n v="388.5" u="1"/>
        <n v="1901.97" u="1"/>
        <n v="329.19" u="1"/>
        <n v="1403.36" u="1"/>
        <n v="623.82000000000005" u="1"/>
        <n v="274.16000000000003" u="1"/>
        <n v="633.02250000000004" u="1"/>
        <n v="700.78" u="1"/>
        <n v="763.11" u="1"/>
        <n v="846.94" u="1"/>
        <n v="2002.98" u="1"/>
        <n v="230.26" u="1"/>
        <n v="207.53" u="1"/>
        <n v="206.5" u="1"/>
        <n v="605.02" u="1"/>
        <n v="359.08" u="1"/>
        <n v="4288.6688000000004" u="1"/>
        <n v="359.56" u="1"/>
        <n v="465.12990000000002" u="1"/>
        <n v="550.44000000000005" u="1"/>
        <n v="650.34" u="1"/>
        <n v="227.19" u="1"/>
        <n v="453.42" u="1"/>
        <n v="516.72" u="1"/>
        <n v="956.22659999999996" u="1"/>
        <n v="343.40249999999997" u="1"/>
        <n v="210.67" u="1"/>
        <n v="923.08" u="1"/>
        <n v="168.96" u="1"/>
        <n v="384.42" u="1"/>
        <n v="459.3" u="1"/>
        <n v="549.51" u="1"/>
        <n v="2710.49" u="1"/>
        <n v="536.45000000000005" u="1"/>
        <n v="352.46" u="1"/>
        <n v="639.95000000000005" u="1"/>
        <n v="227.34" u="1"/>
        <n v="650.94000000000005" u="1"/>
        <n v="485.2" u="1"/>
        <n v="594.12" u="1"/>
        <n v="414.12" u="1"/>
        <n v="366.68" u="1"/>
        <n v="156.07" u="1"/>
        <n v="611.64" u="1"/>
        <n v="378.7" u="1"/>
        <n v="339.8" u="1"/>
        <n v="306.01" u="1"/>
        <n v="944.36" u="1"/>
        <n v="445.52" u="1"/>
        <n v="314.02" u="1"/>
        <n v="173.48" u="1"/>
        <n v="1789.94" u="1"/>
        <n v="1119.1400000000001" u="1"/>
        <n v="3147.02" u="1"/>
        <n v="7198.36" u="1"/>
        <n v="17653.04" u="1"/>
        <n v="1579.96" u="1"/>
        <n v="22706.7" u="1"/>
        <n v="24973.439999999999" u="1"/>
        <n v="7401.62" u="1"/>
        <n v="1035" u="1"/>
        <n v="2757.7" u="1"/>
        <n v="2031.73" u="1"/>
        <n v="2755.34" u="1"/>
        <n v="1274.3599999999999" u="1"/>
        <n v="1830.4" u="1"/>
        <n v="2203.84" u="1"/>
        <n v="3765.64" u="1"/>
        <n v="2327.7199999999998" u="1"/>
        <n v="2016.1" u="1"/>
        <n v="1253.3433" u="1"/>
        <n v="38349.660000000003" u="1"/>
        <n v="6800.07" u="1"/>
        <n v="12545.06" u="1"/>
        <n v="1672.35" u="1"/>
        <n v="1888.11" u="1"/>
        <n v="14756.21" u="1"/>
        <n v="3997.95" u="1"/>
        <n v="4549.51" u="1"/>
        <n v="19783.38" u="1"/>
        <n v="411" u="1"/>
        <n v="1029" u="1"/>
        <n v="748" u="1"/>
        <n v="1116" u="1"/>
        <n v="2897.28" u="1"/>
        <n v="225" u="1"/>
        <n v="20498.97" u="1"/>
        <n v="5314.87" u="1"/>
        <n v="156" u="1"/>
        <n v="419" u="1"/>
        <n v="155" u="1"/>
        <n v="3540" u="1"/>
        <n v="2396.8000000000002" u="1"/>
        <n v="1753.2" u="1"/>
        <n v="1998.5" u="1"/>
        <n v="408" u="1"/>
        <n v="403" u="1"/>
        <n v="303" u="1"/>
        <n v="1240" u="1"/>
        <n v="837" u="1"/>
        <n v="4042.8359999999998" u="1"/>
        <n v="2205" u="1"/>
        <n v="490" u="1"/>
        <n v="198" u="1"/>
        <n v="344" u="1"/>
        <n v="634.20000000000005" u="1"/>
        <n v="317.73" u="1"/>
        <n v="43.81" u="1"/>
        <n v="1080" u="1"/>
        <n v="561.20000000000005" u="1"/>
        <n v="225.98" u="1"/>
        <n v="1696.4657999999999" u="1"/>
        <n v="3392.73" u="1"/>
        <n v="1496.79" u="1"/>
        <n v="1791.68" u="1"/>
        <n v="3371.212" u="1"/>
        <n v="1408.5" u="1"/>
        <n v="616.79999999999995" u="1"/>
        <n v="966.9" u="1"/>
        <n v="5050.6400000000003" u="1"/>
        <n v="7140.56" u="1"/>
        <n v="6269.76" u="1"/>
        <n v="4092.76" u="1"/>
        <n v="6531" u="1"/>
        <n v="7314.72" u="1"/>
        <n v="4963.5600000000004" u="1"/>
        <n v="5573.12" u="1"/>
        <n v="1273.2" u="1"/>
        <n v="5660.2" u="1"/>
        <n v="7053.48" u="1"/>
        <n v="423.44400000000002" u="1"/>
        <n v="437.82" u="1"/>
        <n v="802.4" u="1"/>
        <n v="1036.1759999999999" u="1"/>
        <n v="1668" u="1"/>
        <n v="3023.65" u="1"/>
        <n v="14460.96" u="1"/>
        <n v="191" u="1"/>
        <n v="1111" u="1"/>
        <n v="1138" u="1"/>
        <n v="533" u="1"/>
        <n v="951.99" u="1"/>
        <n v="800.01" u="1"/>
        <n v="705.99" u="1"/>
        <n v="446" u="1"/>
        <n v="523" u="1"/>
        <n v="564" u="1"/>
        <n v="861" u="1"/>
        <n v="855" u="1"/>
        <n v="544" u="1"/>
        <n v="888.99" u="1"/>
        <n v="557" u="1"/>
        <n v="296" u="1"/>
        <n v="774.15" u="1"/>
        <n v="2346.4" u="1"/>
        <n v="301.08" u="1"/>
        <n v="286.62" u="1"/>
        <n v="1249.0296000000001" u="1"/>
        <n v="540.89" u="1"/>
        <n v="154.32" u="1"/>
        <n v="202.345" u="1"/>
        <n v="942" u="1"/>
        <n v="713.4" u="1"/>
        <n v="439.8" u="1"/>
        <n v="499.48" u="1"/>
        <n v="1758.75" u="1"/>
        <n v="366.22500000000002" u="1"/>
        <n v="181.16" u="1"/>
        <n v="349.15" u="1"/>
        <n v="734.6" u="1"/>
        <n v="369.47340000000003" u="1"/>
        <n v="735.56" u="1"/>
        <n v="205" u="1"/>
        <n v="3419.7" u="1"/>
        <n v="1284" u="1"/>
        <n v="1587.04" u="1"/>
        <n v="204.75" u="1"/>
        <n v="546" u="1"/>
        <n v="316.22000000000003" u="1"/>
        <n v="342.16" u="1"/>
        <n v="345.84" u="1"/>
        <n v="659.40800000000002" u="1"/>
        <n v="279.5" u="1"/>
        <n v="589.34010000000001" u="1"/>
        <n v="370.8066" u="1"/>
        <n v="4244.9903999999997" u="1"/>
        <n v="590.36" u="1"/>
        <n v="3525.6102000000001" u="1"/>
        <n v="827.99" u="1"/>
        <n v="482.33010000000002" u="1"/>
        <n v="738.9" u="1"/>
        <n v="1472.4" u="1"/>
        <n v="2812.32" u="1"/>
        <n v="688.95" u="1"/>
        <n v="297.42" u="1"/>
        <n v="1938" u="1"/>
        <n v="732.69" u="1"/>
        <n v="1087.32" u="1"/>
        <n v="290.3" u="1"/>
        <n v="139.52000000000001" u="1"/>
        <n v="427.12" u="1"/>
        <n v="533.70000000000005" u="1"/>
        <n v="475.32" u="1"/>
        <n v="130" u="1"/>
        <n v="1006.7" u="1"/>
        <n v="694.56" u="1"/>
        <n v="1612.33" u="1"/>
        <n v="498.02" u="1"/>
        <n v="277.18" u="1"/>
        <n v="2155.9699999999998" u="1"/>
        <n v="305.82" u="1"/>
        <n v="432.2" u="1"/>
        <n v="413.13" u="1"/>
        <n v="241.95" u="1"/>
        <n v="614.24" u="1"/>
        <n v="245.76" u="1"/>
        <n v="210.72" u="1"/>
        <n v="231.56" u="1"/>
        <n v="6595.1" u="1"/>
        <n v="3951.18" u="1"/>
        <n v="1018.44" u="1"/>
        <n v="1120.26" u="1"/>
        <n v="21325.54" u="1"/>
        <n v="1143.55" u="1"/>
        <n v="1983.4" u="1"/>
        <n v="204.36" u="1"/>
        <n v="144.32" u="1"/>
        <n v="414.88" u="1"/>
        <n v="602.82000000000005" u="1"/>
        <n v="280.36" u="1"/>
        <n v="757.64" u="1"/>
        <n v="347.24" u="1"/>
        <n v="460.48" u="1"/>
        <n v="2418.71" u="1"/>
        <n v="1803.78" u="1"/>
        <n v="3356.41" u="1"/>
        <n v="2101" u="1"/>
        <n v="307.62" u="1"/>
        <n v="13323.44" u="1"/>
        <n v="3034.68" u="1"/>
        <n v="40.5" u="1"/>
        <n v="2833.32" u="1"/>
        <n v="877.27" u="1"/>
        <n v="307.5" u="1"/>
        <n v="529.52" u="1"/>
        <n v="381.14" u="1"/>
        <n v="453.05" u="1"/>
        <n v="1554" u="1"/>
        <n v="966" u="1"/>
        <n v="204" u="1"/>
        <n v="1796" u="1"/>
        <n v="1775.71" u="1"/>
        <n v="1782.17" u="1"/>
        <n v="711.24" u="1"/>
        <n v="488.04" u="1"/>
        <n v="1039.3502000000001" u="1"/>
        <n v="1625.009" u="1"/>
        <n v="1643.155" u="1"/>
        <n v="4848.3360000000002" u="1"/>
        <n v="795.2" u="1"/>
        <n v="739.5" u="1"/>
        <n v="492.78" u="1"/>
        <n v="859.94" u="1"/>
        <n v="470.46660000000003" u="1"/>
        <n v="914.52" u="1"/>
        <n v="6879.32" u="1"/>
        <n v="6528.75" u="1"/>
        <n v="2438.2399999999998" u="1"/>
        <n v="14469.6" u="1"/>
        <n v="4005.68" u="1"/>
        <n v="5107" u="1"/>
        <n v="5209.1400000000003" u="1"/>
        <n v="4340.88" u="1"/>
        <n v="193.38" u="1"/>
        <n v="4266.92" u="1"/>
        <n v="40223.040000000001" u="1"/>
        <n v="6413.28" u="1"/>
        <n v="5834.36" u="1"/>
        <n v="4615.24" u="1"/>
        <n v="8011.36" u="1"/>
        <n v="2859.92" u="1"/>
        <n v="463.32" u="1"/>
        <n v="6934.64" u="1"/>
        <n v="2610.3000000000002" u="1"/>
        <n v="3080.1" u="1"/>
        <n v="1219.47" u="1"/>
        <n v="777.12990000000002" u="1"/>
        <n v="256.35000000000002" u="1"/>
        <n v="499.8399" u="1"/>
        <n v="357.9" u="1"/>
        <n v="3120" u="1"/>
        <n v="344.25" u="1"/>
        <n v="451.95" u="1"/>
        <n v="259.66000000000003" u="1"/>
        <n v="161.02000000000001" u="1"/>
        <n v="665.07" u="1"/>
        <n v="368.91" u="1"/>
        <n v="560.63" u="1"/>
        <n v="355.86" u="1"/>
        <n v="1653.9143999999999" u="1"/>
        <n v="584.10400000000004" u="1"/>
        <n v="1056.3599999999999" u="1"/>
        <n v="213.94" u="1"/>
        <n v="117.02" u="1"/>
        <n v="275.36" u="1"/>
        <n v="1185.8399999999999" u="1"/>
        <n v="762.65" u="1"/>
        <n v="218.88" u="1"/>
        <n v="309.95999999999998" u="1"/>
        <n v="941.4" u="1"/>
        <n v="700.88" u="1"/>
        <n v="210.24" u="1"/>
        <n v="874.35" u="1"/>
        <n v="857.3" u="1"/>
        <n v="903.45" u="1"/>
        <n v="874.85" u="1"/>
        <n v="344.04" u="1"/>
        <n v="148.80000000000001" u="1"/>
        <n v="301.44" u="1"/>
        <n v="424.68" u="1"/>
        <n v="882.56" u="1"/>
        <n v="512.98400000000004" u="1"/>
        <n v="783.65599999999995" u="1"/>
        <n v="352.71339999999998" u="1"/>
        <n v="274.58" u="1"/>
        <n v="337.77" u="1"/>
        <n v="376.85" u="1"/>
        <n v="549.52" u="1"/>
        <n v="305.2466" u="1"/>
        <n v="322.76249999999999" u="1"/>
        <n v="285.8" u="1"/>
        <n v="463.98" u="1"/>
        <n v="743.40499999999997" u="1"/>
        <n v="407.16" u="1"/>
        <n v="194.51499999999999" u="1"/>
        <n v="1188.32" u="1"/>
        <n v="343.34660000000002" u="1"/>
        <n v="536.98" u="1"/>
        <n v="136.04" u="1"/>
        <n v="569.94000000000005" u="1"/>
        <n v="488.46" u="1"/>
        <n v="618.08000000000004" u="1"/>
        <n v="179.82" u="1"/>
        <n v="3247.58" u="1"/>
        <n v="321.73" u="1"/>
        <n v="512.90009999999995" u="1"/>
        <n v="814.52" u="1"/>
        <n v="1124.56" u="1"/>
        <n v="1089.28" u="1"/>
        <n v="62.14" u="1"/>
        <n v="398.71" u="1"/>
        <n v="665.93" u="1"/>
        <n v="317.22000000000003" u="1"/>
        <n v="1610.01" u="1"/>
        <n v="23343.56" u="1"/>
        <n v="14110.7" u="1"/>
        <n v="1173.28" u="1"/>
        <n v="1925.85" u="1"/>
        <n v="991.7" u="1"/>
        <n v="2564.84" u="1"/>
        <n v="1407.42" u="1"/>
        <n v="1157.9100000000001" u="1"/>
        <n v="2510.3000000000002" u="1"/>
        <n v="1035.8900000000001" u="1"/>
        <n v="514.79999999999995" u="1"/>
        <n v="415.13" u="1"/>
        <n v="978.09" u="1"/>
        <n v="978.11" u="1"/>
        <n v="4598.07" u="1"/>
        <n v="540.83000000000004" u="1"/>
        <n v="6349.5" u="1"/>
        <n v="257.82" u="1"/>
        <n v="1658.49" u="1"/>
        <n v="342.05" u="1"/>
        <n v="1413.51" u="1"/>
        <n v="716.23" u="1"/>
        <n v="519" u="1"/>
        <n v="550.16" u="1"/>
        <n v="593.6" u="1"/>
        <n v="487.93" u="1"/>
        <n v="120.03" u="1"/>
        <n v="461.29" u="1"/>
        <n v="719.66" u="1"/>
        <n v="425.14" u="1"/>
        <n v="996.04" u="1"/>
        <n v="2422.33" u="1"/>
        <n v="515.12" u="1"/>
        <n v="190.68" u="1"/>
        <n v="215.72" u="1"/>
        <n v="2791.86" u="1"/>
        <n v="1215.3302000000001" u="1"/>
        <n v="636.18730000000005" u="1"/>
        <n v="1182.26" u="1"/>
        <n v="180.96" u="1"/>
        <n v="687.21600000000001" u="1"/>
        <n v="847" u="1"/>
        <n v="423.5" u="1"/>
        <n v="706.23990000000003" u="1"/>
        <n v="567.87" u="1"/>
        <n v="442.17" u="1"/>
        <n v="1893.6297" u="1"/>
        <n v="2574.9" u="1"/>
        <n v="4441.08" u="1"/>
        <n v="4330.4799999999996" u="1"/>
        <n v="5004.8599999999997" u="1"/>
        <n v="4902.72" u="1"/>
        <n v="2707.31" u="1"/>
        <n v="945.23" u="1"/>
        <n v="3511.2" u="1"/>
        <n v="6016.23" u="1"/>
        <n v="1655.52" u="1"/>
        <n v="4552.68" u="1"/>
        <n v="12790.19" u="1"/>
        <n v="4863.09" u="1"/>
        <n v="4789.3999999999996" u="1"/>
        <n v="3396.12" u="1"/>
        <n v="4283.16" u="1"/>
        <n v="6104.73" u="1"/>
        <n v="6730.68" u="1"/>
        <n v="1552.05" u="1"/>
        <n v="3000.63" u="1"/>
        <n v="4079.2" u="1"/>
        <n v="3263.36" u="1"/>
        <n v="5099" u="1"/>
        <n v="2855.44" u="1"/>
        <n v="431.13" u="1"/>
        <n v="1491.75" u="1"/>
        <n v="2753.46" u="1"/>
        <n v="1019.8" u="1"/>
        <n v="1733.66" u="1"/>
        <n v="2483.2800000000002" u="1"/>
        <n v="2447.52" u="1"/>
        <n v="101.98" u="1"/>
        <n v="2574.88" u="1"/>
        <n v="4345.74" u="1"/>
        <n v="4449.21" u="1"/>
        <n v="1121.78" u="1"/>
        <n v="4589.1000000000004" u="1"/>
        <n v="3745.28" u="1"/>
        <n v="4915.68" u="1"/>
        <n v="3875.24" u="1"/>
        <n v="3043.04" u="1"/>
        <n v="3059.4" u="1"/>
        <n v="3161.38" u="1"/>
        <n v="2963.25" u="1"/>
        <n v="3828.39" u="1"/>
        <n v="3931.86" u="1"/>
        <n v="3365.34" u="1"/>
        <n v="3414.51" u="1"/>
        <n v="3517.98" u="1"/>
        <n v="1323.73" u="1"/>
        <n v="227.72" u="1"/>
        <n v="870" u="1"/>
        <n v="550.16999999999996" u="1"/>
        <n v="1081.83" u="1"/>
        <n v="1589.655" u="1"/>
        <n v="558.36" u="1"/>
        <n v="528.11" u="1"/>
        <n v="414.4101" u="1"/>
        <n v="577.73" u="1"/>
        <n v="6612.81" u="1"/>
        <n v="454.89" u="1"/>
        <n v="188" u="1"/>
        <n v="222" u="1"/>
        <n v="195" u="1"/>
        <n v="206.1" u="1"/>
        <n v="401.94" u="1"/>
        <n v="1754.3196" u="1"/>
        <n v="329.71" u="1"/>
        <n v="897.61" u="1"/>
        <n v="825.24800000000005" u="1"/>
        <n v="1554.27" u="1"/>
        <n v="122.36" u="1"/>
        <n v="359.86" u="1"/>
        <n v="2601.54" u="1"/>
        <n v="29554.27" u="1"/>
        <n v="20766.240000000002" u="1"/>
        <n v="751.56" u="1"/>
        <n v="213.75" u="1"/>
        <n v="4320" u="1"/>
        <n v="413" u="1"/>
        <n v="226.32" u="1"/>
        <n v="281.64" u="1"/>
        <n v="295.42660000000001" u="1"/>
        <n v="173.09" u="1"/>
        <n v="275.1866" u="1"/>
        <n v="431.25" u="1"/>
        <n v="323.95999999999998" u="1"/>
        <n v="1713.96" u="1"/>
        <n v="383.32" u="1"/>
        <n v="749.18" u="1"/>
        <n v="226.25" u="1"/>
        <n v="459.27339999999998" u="1"/>
        <n v="563.04" u="1"/>
        <n v="493.62" u="1"/>
        <n v="339.32" u="1"/>
        <n v="882.87199999999996" u="1"/>
        <n v="454.63339999999999" u="1"/>
        <n v="317.47340000000003" u="1"/>
        <n v="1315.7397000000001" u="1"/>
        <n v="1557.8" u="1"/>
        <n v="694.94" u="1"/>
        <n v="303.05" u="1"/>
        <n v="704" u="1"/>
        <n v="476" u="1"/>
        <n v="1032.06" u="1"/>
        <n v="3344.2559999999999" u="1"/>
        <n v="20171.97" u="1"/>
        <n v="3996.9497999999999" u="1"/>
        <n v="380.67" u="1"/>
        <n v="507.29340000000002" u="1"/>
        <n v="707.8" u="1"/>
        <n v="225.38" u="1"/>
        <n v="553.41" u="1"/>
        <n v="972.32500000000005" u="1"/>
        <n v="1128.46" u="1"/>
        <n v="829.38400000000001" u="1"/>
        <n v="860.7" u="1"/>
        <n v="286.89999999999998" u="1"/>
        <n v="723.87990000000002" u="1"/>
        <n v="1551.87" u="1"/>
        <n v="567.9375" u="1"/>
        <n v="592.03" u="1"/>
        <n v="1437.7" u="1"/>
        <n v="780.2" u="1"/>
        <n v="989.04" u="1"/>
        <n v="2875.56" u="1"/>
        <n v="1341.84" u="1"/>
        <n v="530" u="1"/>
        <n v="720.9" u="1"/>
        <n v="1087.4000000000001" u="1"/>
        <n v="2359.21" u="1"/>
        <n v="551.79999999999995" u="1"/>
        <n v="691.74" u="1"/>
        <n v="1389.2" u="1"/>
        <n v="2458.37" u="1"/>
        <n v="1530" u="1"/>
        <n v="1271.8800000000001" u="1"/>
        <n v="3706.39" u="1"/>
        <n v="274" u="1"/>
        <n v="1502.47" u="1"/>
        <n v="6202.35" u="1"/>
        <n v="665.74" u="1"/>
        <n v="1148.3900000000001" u="1"/>
        <n v="1566" u="1"/>
        <n v="2071.835" u="1"/>
        <n v="3486.06" u="1"/>
        <n v="3397.52" u="1"/>
        <n v="897" u="1"/>
        <n v="297.08" u="1"/>
        <n v="901.98" u="1"/>
        <n v="185.59" u="1"/>
        <n v="1142.96" u="1"/>
        <n v="1220.4000000000001" u="1"/>
        <n v="772" u="1"/>
        <n v="664.11" u="1"/>
        <n v="953.3" u="1"/>
        <n v="1286.56" u="1"/>
        <n v="9159.81" u="1"/>
        <n v="4070.08" u="1"/>
        <n v="3140.33" u="1"/>
        <n v="143.69999999999999" u="1"/>
        <n v="27847.19" u="1"/>
        <n v="20592" u="1"/>
        <n v="638" u="1"/>
        <n v="567.6" u="1"/>
        <n v="449" u="1"/>
        <n v="513.39" u="1"/>
        <n v="5689.26" u="1"/>
        <n v="2594.1999999999998" u="1"/>
        <n v="5405.41" u="1"/>
        <n v="2183.15" u="1"/>
        <n v="7168.17" u="1"/>
        <n v="1921.32" u="1"/>
        <n v="1683.72" u="1"/>
        <n v="4487.0200000000004" u="1"/>
        <n v="1020.12" u="1"/>
        <n v="801.15" u="1"/>
        <n v="1188.6099999999999" u="1"/>
        <n v="3305.7" u="1"/>
        <n v="478.4" u="1"/>
        <n v="239.2" u="1"/>
        <n v="12166.05" u="1"/>
        <n v="105" u="1"/>
        <n v="719.01" u="1"/>
        <n v="462" u="1"/>
        <n v="157" u="1"/>
        <n v="849.99" u="1"/>
        <n v="1084" u="1"/>
        <n v="997" u="1"/>
        <n v="672.99" u="1"/>
        <n v="974.01" u="1"/>
        <n v="421.8" u="1"/>
        <n v="7568.48" u="1"/>
        <n v="1278.2639999999999" u="1"/>
        <n v="2559.42" u="1"/>
        <n v="639.13199999999995" u="1"/>
        <n v="986.64200000000005" u="1"/>
        <n v="771.3" u="1"/>
        <n v="2208.4868000000001" u="1"/>
        <n v="2507.8200000000002" u="1"/>
        <n v="603.19039999999995" u="1"/>
        <n v="2283.0120000000002" u="1"/>
        <n v="196.25" u="1"/>
        <n v="214.99" u="1"/>
        <n v="2313.36" u="1"/>
        <n v="556.5" u="1"/>
        <n v="3631.1660000000002" u="1"/>
        <n v="1664.4" u="1"/>
        <n v="523.08000000000004" u="1"/>
        <n v="1156" u="1"/>
        <n v="655.03" u="1"/>
        <n v="1119.96" u="1"/>
        <n v="884.2" u="1"/>
        <n v="4585.7920000000004" u="1"/>
        <n v="472.5" u="1"/>
        <n v="2503.36" u="1"/>
        <n v="3044" u="1"/>
        <n v="1283.22" u="1"/>
        <n v="803.44" u="1"/>
        <n v="1290.6600000000001" u="1"/>
        <n v="415" u="1"/>
        <n v="782.84" u="1"/>
        <n v="2301.4499999999998" u="1"/>
        <n v="14837.35" u="1"/>
        <n v="1167.03" u="1"/>
        <n v="149.46" u="1"/>
        <n v="5720" u="1"/>
        <n v="445.75" u="1"/>
        <n v="1170.75" u="1"/>
        <n v="376" u="1"/>
        <n v="1175.5" u="1"/>
        <n v="1168.02" u="1"/>
        <n v="359.81" u="1"/>
        <n v="347" u="1"/>
        <n v="945" u="1"/>
        <n v="535.5" u="1"/>
        <n v="1020" u="1"/>
        <n v="556.08659999999998" u="1"/>
        <n v="274.05" u="1"/>
        <n v="154" u="1"/>
        <n v="162.11000000000001" u="1"/>
        <n v="335.39" u="1"/>
        <n v="179.3" u="1"/>
        <n v="6340.39" u="1"/>
        <n v="1002.34" u="1"/>
        <n v="775.7" u="1"/>
        <n v="697.6" u="1"/>
        <n v="515.45000000000005" u="1"/>
        <n v="961.02" u="1"/>
        <n v="1002.3501" u="1"/>
        <n v="1909.54" u="1"/>
        <n v="398" u="1"/>
        <n v="1701.38" u="1"/>
        <n v="553.02" u="1"/>
        <n v="1189.1500000000001" u="1"/>
        <n v="1786.42" u="1"/>
        <n v="857.22" u="1"/>
        <n v="178.36" u="1"/>
        <n v="516.23" u="1"/>
        <n v="1200.1199999999999" u="1"/>
        <n v="2601.1799999999998" u="1"/>
        <n v="874.17" u="1"/>
        <n v="229.9" u="1"/>
        <n v="643.67999999999995" u="1"/>
        <n v="810.9" u="1"/>
        <n v="1385.82" u="1"/>
        <n v="502.11" u="1"/>
        <n v="258" u="1"/>
        <n v="6947.91" u="1"/>
        <n v="794.31" u="1"/>
        <n v="305.44" u="1"/>
        <n v="513.23" u="1"/>
        <n v="717.11" u="1"/>
        <n v="984.77" u="1"/>
        <n v="345.72" u="1"/>
        <n v="283.39999999999998" u="1"/>
        <n v="1071.52" u="1"/>
        <n v="653.63" u="1"/>
        <n v="2301.4899999999998" u="1"/>
        <n v="699.8" u="1"/>
        <n v="825.28" u="1"/>
        <n v="430.83" u="1"/>
        <n v="1142.8800000000001" u="1"/>
        <n v="94" u="1"/>
        <n v="281.31" u="1"/>
        <n v="158.97" u="1"/>
        <n v="186.12" u="1"/>
        <n v="369" u="1"/>
        <n v="4151.71" u="1"/>
        <n v="597.55999999999995" u="1"/>
        <n v="45.85" u="1"/>
        <n v="367.45339999999999" u="1"/>
        <n v="489.28" u="1"/>
        <n v="493.93" u="1"/>
        <n v="807.4085" u="1"/>
        <n v="547.14" u="1"/>
        <n v="1075.32" u="1"/>
        <n v="790.02" u="1"/>
        <n v="834.28420000000006" u="1"/>
        <n v="309" u="1"/>
        <n v="1775" u="1"/>
        <n v="1025.6302000000001" u="1"/>
        <n v="2332.5500000000002" u="1"/>
        <n v="236.7" u="1"/>
        <n v="541.32000000000005" u="1"/>
        <n v="2378.64" u="1"/>
        <n v="1625.7801999999999" u="1"/>
        <n v="252.37" u="1"/>
        <n v="177.2" u="1"/>
        <n v="1302.7398000000001" u="1"/>
        <n v="1327.48" u="1"/>
        <n v="1180.23" u="1"/>
        <n v="542.79999999999995" u="1"/>
        <n v="1136.8" u="1"/>
        <n v="727.12" u="1"/>
        <n v="2339.7199999999998" u="1"/>
        <n v="404.56" u="1"/>
        <n v="2175.6799999999998" u="1"/>
        <n v="620.48" u="1"/>
        <n v="993.74" u="1"/>
        <n v="809.4" u="1"/>
        <n v="304.8" u="1"/>
        <n v="1463.68" u="1"/>
        <n v="1284.58" u="1"/>
        <n v="79.92" u="1"/>
        <n v="3893.12" u="1"/>
        <n v="991.28" u="1"/>
        <n v="1582.15" u="1"/>
        <n v="902.64" u="1"/>
        <n v="2462.44" u="1"/>
        <n v="489.25" u="1"/>
        <n v="1499.0940000000001" u="1"/>
        <n v="6869.87" u="1"/>
        <n v="913.15" u="1"/>
        <n v="814.19" u="1"/>
        <n v="2344.1999999999998" u="1"/>
        <n v="3824.52" u="1"/>
        <n v="474.48989999999998" u="1"/>
        <n v="395.4" u="1"/>
        <n v="7604.835" u="1"/>
        <n v="200.57499999999999" u="1"/>
        <n v="560.14400000000001" u="1"/>
        <n v="209.29" u="1"/>
        <n v="472.98" u="1"/>
        <n v="795.11" u="1"/>
        <n v="457.86750000000001" u="1"/>
        <n v="1180" u="1"/>
        <n v="819.38" u="1"/>
        <n v="528.84" u="1"/>
        <n v="913.85159999999996" u="1"/>
        <n v="717.25" u="1"/>
        <n v="353.9" u="1"/>
        <n v="475.01" u="1"/>
        <n v="552.51" u="1"/>
        <n v="663.49" u="1"/>
        <n v="916.81029999999998" u="1"/>
        <n v="422.02" u="1"/>
        <n v="222.63499999999999" u="1"/>
        <n v="287.86" u="1"/>
        <n v="1280.76" u="1"/>
        <n v="1123.6500000000001" u="1"/>
        <n v="467.04" u="1"/>
        <n v="93.71" u="1"/>
        <n v="825.31" u="1"/>
        <n v="1327.61" u="1"/>
        <n v="328.67340000000002" u="1"/>
        <n v="302.27999999999997" u="1"/>
        <n v="686.22" u="1"/>
        <n v="903.98" u="1"/>
        <n v="873.94" u="1"/>
        <n v="1196.74" u="1"/>
        <n v="479.7" u="1"/>
        <n v="341.92" u="1"/>
        <n v="1147.46" u="1"/>
        <n v="118.71" u="1"/>
        <n v="452.44" u="1"/>
        <n v="277.32" u="1"/>
        <n v="396.5" u="1"/>
        <n v="424.76" u="1"/>
        <n v="558.26" u="1"/>
        <n v="1169.3800000000001" u="1"/>
        <n v="1092.29" u="1"/>
        <n v="652.05999999999995" u="1"/>
        <n v="670.9" u="1"/>
        <n v="674.22" u="1"/>
        <n v="2280" u="1"/>
        <n v="1476" u="1"/>
        <n v="1679.24" u="1"/>
        <n v="411.48" u="1"/>
        <n v="1741" u="1"/>
        <n v="459.45" u="1"/>
        <n v="3627" u="1"/>
        <n v="1791" u="1"/>
        <n v="1911" u="1"/>
        <n v="490.28" u="1"/>
        <n v="416.5" u="1"/>
        <n v="302.61" u="1"/>
        <n v="4139.8307999999997" u="1"/>
        <n v="597.56659999999999" u="1"/>
        <n v="1194" u="1"/>
        <n v="202.38" u="1"/>
        <n v="188.96" u="1"/>
        <n v="817.82" u="1"/>
        <n v="472.72" u="1"/>
        <n v="218.1" u="1"/>
        <n v="2753.73" u="1"/>
        <n v="555.79" u="1"/>
        <n v="583.78" u="1"/>
        <n v="187.03" u="1"/>
        <n v="726" u="1"/>
        <n v="677.06" u="1"/>
        <n v="398.66" u="1"/>
        <n v="1528.89" u="1"/>
        <n v="143.88" u="1"/>
        <n v="1328.91" u="1"/>
        <n v="696.86" u="1"/>
        <n v="8098.44" u="1"/>
        <n v="4702.32" u="1"/>
        <n v="6366" u="1"/>
        <n v="2494.59" u="1"/>
        <n v="6620.64" u="1"/>
        <n v="5921.44" u="1"/>
        <n v="648.29999999999995" u="1"/>
        <n v="800" u="1"/>
        <n v="1186.8399999999999" u="1"/>
        <n v="3555.66" u="1"/>
        <n v="3007.55" u="1"/>
        <n v="5224.8" u="1"/>
        <n v="3744.44" u="1"/>
        <n v="2606.17" u="1"/>
        <n v="318.7534" u="1"/>
        <n v="803.26400000000001" u="1"/>
        <n v="702.49599999999998" u="1"/>
        <n v="566.48" u="1"/>
        <n v="820.2" u="1"/>
        <n v="431.68" u="1"/>
        <n v="516" u="1"/>
        <n v="980" u="1"/>
        <n v="1365.28" u="1"/>
        <n v="2305.85" u="1"/>
        <n v="1815.4" u="1"/>
        <n v="1145.8800000000001" u="1"/>
        <n v="9926.49" u="1"/>
        <n v="2530.5509999999999" u="1"/>
        <n v="201.75" u="1"/>
        <n v="393.86" u="1"/>
        <n v="317.24" u="1"/>
        <n v="1157.6400000000001" u="1"/>
        <n v="3579.81" u="1"/>
        <n v="1501.5" u="1"/>
        <n v="905.45600000000002" u="1"/>
        <n v="574.58000000000004" u="1"/>
        <n v="1002.57" u="1"/>
        <n v="7082.53" u="1"/>
        <n v="428.46" u="1"/>
        <n v="707.08" u="1"/>
        <n v="340.84" u="1"/>
        <n v="1904.9304999999999" u="1"/>
        <n v="567.9" u="1"/>
        <n v="326.99340000000001" u="1"/>
        <n v="233.15" u="1"/>
        <n v="1135.1799000000001" u="1"/>
        <n v="946.05" u="1"/>
        <n v="1724.84" u="1"/>
        <n v="136.13" u="1"/>
        <n v="853.01" u="1"/>
        <n v="315.04000000000002" u="1"/>
        <n v="517" u="1"/>
        <n v="878" u="1"/>
        <n v="712.5" u="1"/>
        <n v="538" u="1"/>
        <n v="214.77" u="1"/>
        <n v="870.96" u="1"/>
        <n v="379.8" u="1"/>
        <n v="5077" u="1"/>
        <n v="449.34" u="1"/>
        <n v="321.55340000000001" u="1"/>
        <n v="715.28" u="1"/>
        <n v="183.54" u="1"/>
        <n v="891.38" u="1"/>
        <n v="2745.27" u="1"/>
        <n v="827.72" u="1"/>
        <n v="823.65" u="1"/>
        <n v="192.60499999999999" u="1"/>
        <n v="1043.8" u="1"/>
        <n v="566.35500000000002" u="1"/>
        <n v="666.6" u="1"/>
        <n v="620.12" u="1"/>
        <n v="196.9" u="1"/>
        <n v="656.66" u="1"/>
        <n v="773.61" u="1"/>
        <n v="329.86" u="1"/>
        <n v="3721.0291999999999" u="1"/>
        <n v="2131.92" u="1"/>
        <n v="1150.51" u="1"/>
        <n v="285.38659999999999" u="1"/>
        <n v="335.34" u="1"/>
        <n v="184.36" u="1"/>
        <n v="767.68" u="1"/>
        <n v="227.20500000000001" u="1"/>
        <n v="582.30999999999995" u="1"/>
        <n v="390.17" u="1"/>
        <n v="772.8" u="1"/>
        <n v="374.28750000000002" u="1"/>
        <n v="1172.72" u="1"/>
        <n v="2883.7592" u="1"/>
        <n v="483.18" u="1"/>
        <n v="246.58" u="1"/>
        <n v="703.45500000000004" u="1"/>
        <n v="584.22" u="1"/>
        <n v="829.31010000000003" u="1"/>
        <n v="461.59500000000003" u="1"/>
        <n v="720.78" u="1"/>
        <n v="394.58" u="1"/>
        <n v="791.05849999999998" u="1"/>
        <n v="747.5" u="1"/>
        <n v="589.32989999999995" u="1"/>
        <n v="439.52249999999998" u="1"/>
        <n v="407.7466" u="1"/>
        <n v="565.64800000000002" u="1"/>
        <n v="457.86989999999997" u="1"/>
        <n v="511.0575" u="1"/>
        <n v="391.05" u="1"/>
        <n v="998.98" u="1"/>
        <n v="343.97" u="1"/>
        <n v="618.64" u="1"/>
        <n v="665.24800000000005" u="1"/>
        <n v="587.05999999999995" u="1"/>
        <n v="1446" u="1"/>
        <n v="1200.92" u="1"/>
        <n v="695.55" u="1"/>
        <n v="539" u="1"/>
        <n v="269.5" u="1"/>
        <n v="877.16579999999999" u="1"/>
        <n v="788.61" u="1"/>
        <n v="594.07000000000005" u="1"/>
        <n v="1051.8800000000001" u="1"/>
        <n v="468.32" u="1"/>
        <n v="633.02009999999996" u="1"/>
        <n v="431.63" u="1"/>
        <n v="372.93" u="1"/>
        <n v="751.29" u="1"/>
        <n v="483.03" u="1"/>
        <n v="576.17250000000001" u="1"/>
        <n v="691.59" u="1"/>
        <n v="573.79999999999995" u="1"/>
        <n v="1331.85" u="1"/>
        <n v="488.94749999999999" u="1"/>
        <n v="836.58" u="1"/>
        <n v="238.58" u="1"/>
        <n v="306.81" u="1"/>
        <n v="708.33" u="1"/>
        <n v="281.17500000000001" u="1"/>
        <n v="699.54989999999998" u="1"/>
        <n v="931.28" u="1"/>
        <n v="1058" u="1"/>
        <n v="256" u="1"/>
        <n v="851.02" u="1"/>
        <n v="260.32" u="1"/>
        <n v="37988.769999999997" u="1"/>
        <n v="610.49" u="1"/>
        <n v="377.58" u="1"/>
        <n v="792.02250000000004" u="1"/>
        <n v="214.63499999999999" u="1"/>
        <n v="201.26499999999999" u="1"/>
        <n v="3605.67" u="1"/>
        <n v="658.16" u="1"/>
        <n v="715.23199999999997" u="1"/>
        <n v="354.6" u="1"/>
        <n v="544.38" u="1"/>
        <n v="396.54660000000001" u="1"/>
        <n v="322.26" u="1"/>
        <n v="510.8775" u="1"/>
        <n v="402.42" u="1"/>
        <n v="229.65" u="1"/>
        <n v="3887.75" u="1"/>
        <n v="336.54" u="1"/>
        <n v="795.06" u="1"/>
        <n v="918.6" u="1"/>
        <n v="561.41999999999996" u="1"/>
        <n v="1794.36" u="1"/>
        <n v="461.37" u="1"/>
        <n v="1605.59" u="1"/>
        <n v="784" u="1"/>
        <n v="983.25" u="1"/>
        <n v="879.04" u="1"/>
        <n v="402.95" u="1"/>
        <n v="1247.8800000000001" u="1"/>
        <n v="958.47" u="1"/>
        <n v="646.98" u="1"/>
        <n v="353.32" u="1"/>
        <n v="504.72" u="1"/>
        <n v="8404.64" u="1"/>
        <n v="1275.9000000000001" u="1"/>
        <n v="2632.78" u="1"/>
        <n v="6137.78" u="1"/>
        <n v="2630.1" u="1"/>
        <n v="9221.5679999999993" u="1"/>
        <n v="3047.998" u="1"/>
        <n v="2726.6118000000001" u="1"/>
        <n v="3153.1880000000001" u="1"/>
        <n v="10014.200000000001" u="1"/>
        <n v="2400.11" u="1"/>
        <n v="2307.13" u="1"/>
        <n v="2378.3247999999999" u="1"/>
        <n v="1290" u="1"/>
        <n v="461.52" u="1"/>
        <n v="10860.32" u="1"/>
        <n v="932" u="1"/>
        <n v="987" u="1"/>
        <n v="8058.0096000000003" u="1"/>
        <n v="23377.61" u="1"/>
        <n v="722.21600000000001" u="1"/>
        <n v="880.59" u="1"/>
        <n v="971.11" u="1"/>
        <n v="842.63" u="1"/>
        <n v="797.75" u="1"/>
        <n v="318.47000000000003" u="1"/>
        <n v="492.41" u="1"/>
        <n v="1461.5" u="1"/>
        <n v="1590.44" u="1"/>
        <n v="1197.78" u="1"/>
        <n v="778.2" u="1"/>
        <n v="251.22" u="1"/>
        <n v="5161.6899999999996" u="1"/>
        <n v="8193.5" u="1"/>
        <n v="718.23" u="1"/>
        <n v="541.98" u="1"/>
        <n v="1633.55" u="1"/>
        <n v="565.1" u="1"/>
        <n v="3991.22" u="1"/>
        <n v="2523.5279999999998" u="1"/>
        <n v="353" u="1"/>
        <n v="277.36" u="1"/>
        <n v="30" u="1"/>
        <n v="979.2" u="1"/>
        <n v="814.56" u="1"/>
        <n v="1572.72" u="1"/>
        <n v="2217.44" u="1"/>
        <n v="288.81" u="1"/>
        <n v="31090.65" u="1"/>
        <n v="5367.55" u="1"/>
        <n v="2284.6" u="1"/>
        <n v="196.5" u="1"/>
        <n v="251.78" u="1"/>
        <n v="6740" u="1"/>
        <n v="6524" u="1"/>
        <n v="1352.92" u="1"/>
        <n v="639.76" u="1"/>
        <n v="9897.6360000000004" u="1"/>
        <n v="5440.23" u="1"/>
        <n v="8910.1119999999992" u="1"/>
        <n v="2147.8000000000002" u="1"/>
        <n v="2791.72" u="1"/>
        <n v="645" u="1"/>
        <n v="350" u="1"/>
        <n v="267.73" u="1"/>
        <n v="152.33000000000001" u="1"/>
        <n v="7236.8" u="1"/>
        <n v="9787.4" u="1"/>
        <n v="2408.7199999999998" u="1"/>
        <n v="2408.8000000000002" u="1"/>
        <n v="21113.82" u="1"/>
        <n v="600.52" u="1"/>
        <n v="1113.18" u="1"/>
        <n v="555.58000000000004" u="1"/>
        <n v="8257.5" u="1"/>
        <n v="1072.6400000000001" u="1"/>
        <n v="644.72" u="1"/>
        <n v="2741.4" u="1"/>
        <n v="2062.16" u="1"/>
        <n v="783.04" u="1"/>
        <n v="404.32" u="1"/>
        <n v="766.66" u="1"/>
        <n v="296.39999999999998" u="1"/>
        <n v="406.52" u="1"/>
        <n v="412.63" u="1"/>
        <n v="323.36" u="1"/>
        <n v="1337.55" u="1"/>
        <n v="374.08" u="1"/>
        <n v="356.36" u="1"/>
        <n v="651.08000000000004" u="1"/>
        <n v="794.8" u="1"/>
        <n v="389.08" u="1"/>
        <n v="672.55" u="1"/>
        <n v="451.74" u="1"/>
        <n v="298.44" u="1"/>
        <n v="291" u="1"/>
        <n v="500.76" u="1"/>
        <n v="828.74" u="1"/>
        <n v="441.4" u="1"/>
        <n v="346.03" u="1"/>
        <n v="693.35" u="1"/>
        <n v="899.92" u="1"/>
        <n v="881.32" u="1"/>
        <n v="2470.3000000000002" u="1"/>
        <n v="254" u="1"/>
        <n v="4110.5600000000004" u="1"/>
        <n v="1463.22" u="1"/>
        <n v="25962.33" u="1"/>
        <n v="28961.64" u="1"/>
        <n v="6703.6804000000002" u="1"/>
        <n v="1875" u="1"/>
        <n v="728" u="1"/>
        <n v="1683.77" u="1"/>
        <n v="15498.27" u="1"/>
        <n v="1650" u="1"/>
        <n v="704.72" u="1"/>
        <n v="559.28" u="1"/>
        <n v="472.89" u="1"/>
        <n v="1199.07" u="1"/>
        <n v="683.12" u="1"/>
        <n v="343.05" u="1"/>
        <n v="472.9" u="1"/>
        <n v="1515.17" u="1"/>
        <n v="3332.76" u="1"/>
        <n v="1250.96" u="1"/>
        <n v="77.55" u="1"/>
        <n v="918.58" u="1"/>
        <n v="2037.52" u="1"/>
        <n v="2704.71" u="1"/>
        <n v="746.23" u="1"/>
        <n v="5401.16" u="1"/>
        <n v="880.24" u="1"/>
        <n v="865.12" u="1"/>
        <n v="880.22" u="1"/>
        <n v="888.36" u="1"/>
        <n v="979.3" u="1"/>
        <n v="9910.5" u="1"/>
        <n v="2189.36" u="1"/>
        <n v="38320.400000000001" u="1"/>
        <n v="2120.92" u="1"/>
        <n v="2481.4" u="1"/>
        <n v="2214.58" u="1"/>
        <n v="1845.48" u="1"/>
        <n v="1634.84" u="1"/>
        <n v="1583.84" u="1"/>
        <n v="3289.08" u="1"/>
        <n v="3308.94" u="1"/>
        <n v="3906.36" u="1"/>
        <n v="2759.13" u="1"/>
        <n v="2099.38" u="1"/>
        <n v="1547.54" u="1"/>
        <n v="4743.12" u="1"/>
        <n v="15404.8" u="1"/>
        <n v="1408.32" u="1"/>
        <n v="6779.52" u="1"/>
        <n v="734.66" u="1"/>
        <n v="349122.5" u="1"/>
        <n v="773" u="1"/>
        <n v="648" u="1"/>
        <n v="1757.98" u="1"/>
        <n v="1690" u="1"/>
        <n v="7650" u="1"/>
        <n v="527.41" u="1"/>
        <n v="7311" u="1"/>
        <n v="717" u="1"/>
        <n v="386.43" u="1"/>
        <n v="30500.55" u="1"/>
        <n v="2704.47" u="1"/>
        <n v="2713.17" u="1"/>
        <n v="2169.5100000000002" u="1"/>
        <n v="525.79999999999995" u="1"/>
        <n v="2316.5700000000002" u="1"/>
        <n v="1675.16" u="1"/>
        <n v="20745.599999999999" u="1"/>
        <n v="4906.24" u="1"/>
        <n v="1545.96" u="1"/>
        <n v="1795.9" u="1"/>
        <n v="1496.58" u="1"/>
        <n v="2699.19" u="1"/>
        <n v="1499.56" u="1"/>
        <n v="1646.24" u="1"/>
        <n v="749.78" u="1"/>
        <n v="5289.06" u="1"/>
        <n v="8741.67" u="1"/>
        <n v="1473.54" u="1"/>
        <n v="1273.4000000000001" u="1"/>
        <n v="1469.32" u="1"/>
        <n v="1971.75" u="1"/>
        <n v="2020.38" u="1"/>
        <n v="19143.64" u="1"/>
        <n v="75" u="1"/>
        <n v="20574.72" u="1"/>
        <n v="20512.259999999998" u="1"/>
        <n v="396.75" u="1"/>
        <n v="306.89999999999998" u="1"/>
        <n v="173.33" u="1"/>
        <n v="170.67" u="1"/>
        <n v="312" u="1"/>
        <n v="498" u="1"/>
        <n v="7871.98" u="1"/>
        <n v="999.6" u="1"/>
        <n v="9305.6" u="1"/>
        <n v="652" u="1"/>
        <n v="1871.1" u="1"/>
        <n v="710.89" u="1"/>
        <n v="1148.8" u="1"/>
        <n v="1256.5999999999999" u="1"/>
        <n v="1999.76" u="1"/>
        <n v="12664.89" u="1"/>
        <n v="19122.400000000001" u="1"/>
        <n v="1375" u="1"/>
        <n v="324" u="1"/>
        <n v="1067.72" u="1"/>
        <n v="5054.22" u="1"/>
        <n v="768.6" u="1"/>
        <n v="1162.8399999999999" u="1"/>
        <n v="8528.4" u="1"/>
        <n v="5702.58" u="1"/>
        <n v="3028.41" u="1"/>
        <n v="10083.32" u="1"/>
        <n v="12304" u="1"/>
        <n v="576.13" u="1"/>
        <n v="2465" u="1"/>
        <n v="1015" u="1"/>
        <n v="22560" u="1"/>
        <n v="591.03" u="1"/>
        <n v="790.74" u="1"/>
        <n v="147.33000000000001" u="1"/>
        <n v="373.64" u="1"/>
        <n v="616.86" u="1"/>
        <n v="122.95" u="1"/>
        <n v="116.45" u="1"/>
        <n v="149.36000000000001" u="1"/>
        <n v="3909.96" u="1"/>
        <n v="1959.6" u="1"/>
        <n v="6303.42" u="1"/>
        <n v="3145.02" u="1"/>
        <n v="492.8" u="1"/>
        <n v="153" u="1"/>
        <n v="3389.22" u="1"/>
        <n v="3724.71" u="1"/>
        <n v="1744.88" u="1"/>
        <n v="6324.36" u="1"/>
        <n v="4947.63" u="1"/>
        <n v="1680" u="1"/>
        <n v="463.43" u="1"/>
        <n v="4671.09" u="1"/>
        <n v="4596.62" u="1"/>
        <n v="9030.51" u="1"/>
        <n v="727.2" u="1"/>
        <n v="228.92" u="1"/>
        <n v="961.92" u="1"/>
        <n v="1697.53" u="1"/>
        <n v="1963.4" u="1"/>
        <n v="537.25" u="1"/>
        <n v="1080.99" u="1"/>
        <n v="222.22" u="1"/>
        <n v="343.9" u="1"/>
        <n v="368.84" u="1"/>
        <n v="927.54" u="1"/>
        <n v="538.32000000000005" u="1"/>
        <n v="503.33" u="1"/>
        <n v="421.94" u="1"/>
        <n v="966.48" u="1"/>
        <n v="965.07" u="1"/>
        <n v="624.29999999999995" u="1"/>
        <n v="1201.8399999999999" u="1"/>
        <n v="566.84" u="1"/>
        <n v="346.85" u="1"/>
        <n v="680.52" u="1"/>
        <n v="932.35" u="1"/>
        <n v="237.75" u="1"/>
        <n v="522.04" u="1"/>
        <n v="333.85" u="1"/>
        <n v="354.68" u="1"/>
        <n v="436.98" u="1"/>
        <n v="318.83" u="1"/>
        <n v="2342.5700000000002" u="1"/>
        <n v="1400" u="1"/>
        <n v="1151.6099999999999" u="1"/>
        <n v="5386.5" u="1"/>
        <n v="136875" u="1"/>
        <n v="1103.8800000000001" u="1"/>
        <n v="777.9" u="1"/>
        <n v="613.91999999999996" u="1"/>
        <n v="1338.28" u="1"/>
        <n v="574.548" u="1"/>
        <n v="7280" u="1"/>
        <n v="8111.1959999999999" u="1"/>
        <n v="7351.5343999999996" u="1"/>
        <n v="2106.0100000000002" u="1"/>
        <n v="248.6" u="1"/>
        <n v="3630" u="1"/>
        <n v="23.55" u="1"/>
        <n v="718.95" u="1"/>
        <n v="1228.6098999999999" u="1"/>
        <n v="819.97" u="1"/>
        <n v="1184.82" u="1"/>
        <n v="281.05" u="1"/>
        <n v="392.63" u="1"/>
        <n v="402.01" u="1"/>
        <n v="848.4" u="1"/>
        <n v="135" u="1"/>
        <n v="2184" u="1"/>
        <n v="200.16499999999999" u="1"/>
        <n v="397.98" u="1"/>
        <n v="490.69499999999999" u="1"/>
        <n v="733.68" u="1"/>
        <n v="181.05" u="1"/>
        <n v="694.68" u="1"/>
        <n v="250.94" u="1"/>
        <n v="229.88" u="1"/>
        <n v="561.79200000000003" u="1"/>
        <n v="1089.48" u="1"/>
        <n v="385.92" u="1"/>
        <n v="372.99" u="1"/>
        <n v="220.06" u="1"/>
        <n v="3407.46" u="1"/>
        <n v="1423.08" u="1"/>
        <n v="5747.28" u="1"/>
        <n v="3831.52" u="1"/>
        <n v="2525.3200000000002" u="1"/>
        <n v="1437.28" u="1"/>
        <n v="2647.39" u="1"/>
        <n v="683.3" u="1"/>
        <n v="5233.04" u="1"/>
        <n v="510.6" u="1"/>
        <n v="466.88" u="1"/>
        <n v="634.48" u="1"/>
        <n v="8155.77" u="1"/>
        <n v="679.08989999999994" u="1"/>
        <n v="269.95339999999999" u="1"/>
        <n v="562.53" u="1"/>
        <n v="628" u="1"/>
        <n v="1068.99" u="1"/>
        <n v="392" u="1"/>
        <n v="666" u="1"/>
        <n v="247" u="1"/>
        <n v="598" u="1"/>
        <n v="581" u="1"/>
        <n v="712.44" u="1"/>
        <n v="2785" u="1"/>
        <n v="3047.52" u="1"/>
        <n v="206.49" u="1"/>
        <n v="371.63" u="1"/>
        <n v="325.5" u="1"/>
        <n v="1946.7562" u="1"/>
        <n v="4059.848" u="1"/>
        <n v="4327.0883999999996" u="1"/>
        <n v="718.94" u="1"/>
        <n v="1744.8" u="1"/>
        <n v="2065.17" u="1"/>
        <n v="1137.5" u="1"/>
        <n v="701.88" u="1"/>
        <n v="468" u="1"/>
        <n v="400.28" u="1"/>
        <n v="422" u="1"/>
        <n v="1030.74" u="1"/>
        <n v="1472.31" u="1"/>
        <n v="173.13499999999999" u="1"/>
        <n v="323.41340000000002" u="1"/>
        <n v="226.18" u="1"/>
        <n v="243.53" u="1"/>
        <n v="559.55999999999995" u="1"/>
        <n v="234.14" u="1"/>
        <n v="288.10000000000002" u="1"/>
        <n v="941.45" u="1"/>
        <n v="606.50400000000002" u="1"/>
        <n v="710.79" u="1"/>
        <n v="551.04" u="1"/>
        <n v="509.85" u="1"/>
        <n v="1143.1199999999999" u="1"/>
        <n v="602.47199999999998" u="1"/>
        <n v="655.01599999999996" u="1"/>
        <n v="627.78399999999999" u="1"/>
        <n v="226.88499999999999" u="1"/>
        <n v="215" u="1"/>
        <n v="358" u="1"/>
        <n v="423" u="1"/>
        <n v="519.76" u="1"/>
        <n v="364" u="1"/>
        <n v="207.2" u="1"/>
        <n v="540.76" u="1"/>
        <n v="679.8" u="1"/>
        <n v="1951.62" u="1"/>
        <n v="767.25" u="1"/>
        <n v="595.70000000000005" u="1"/>
        <n v="734.4" u="1"/>
        <n v="1512.9" u="1"/>
        <n v="326.97000000000003" u="1"/>
        <n v="582.76" u="1"/>
        <n v="923.92" u="1"/>
        <n v="1734" u="1"/>
        <n v="1870" u="1"/>
        <n v="2551.5" u="1"/>
        <n v="326.55" u="1"/>
        <n v="121" u="1"/>
        <n v="3732.6" u="1"/>
        <n v="453.4701" u="1"/>
        <n v="700.53" u="1"/>
        <n v="878.3" u="1"/>
        <n v="207.98" u="1"/>
        <n v="173.005" u="1"/>
        <n v="515.01990000000001" u="1"/>
        <n v="493.45" u="1"/>
        <n v="419.98" u="1"/>
        <n v="281.61" u="1"/>
        <n v="1480.0400999999999" u="1"/>
        <n v="585.09" u="1"/>
        <n v="278.57" u="1"/>
        <n v="210.6" u="1"/>
        <n v="1780.29" u="1"/>
        <n v="708.96" u="1"/>
        <n v="238.24" u="1"/>
        <n v="198.48500000000001" u="1"/>
        <n v="370.47" u="1"/>
        <n v="433.04" u="1"/>
        <n v="488.44499999999999" u="1"/>
        <n v="328.78" u="1"/>
        <n v="358.17340000000002" u="1"/>
        <n v="527.61990000000003" u="1"/>
        <n v="1096.7001" u="1"/>
        <n v="796.77" u="1"/>
        <n v="1819.46" u="1"/>
        <n v="277.69" u="1"/>
        <n v="1094.8599999999999" u="1"/>
        <n v="497.66250000000002" u="1"/>
        <n v="340.95339999999999" u="1"/>
        <n v="3577.05" u="1"/>
        <n v="11002.555200000001" u="1"/>
        <n v="1110.1500000000001" u="1"/>
        <n v="1545.67" u="1"/>
        <n v="300.27" u="1"/>
        <n v="540.22" u="1"/>
        <n v="235.83" u="1"/>
        <n v="1150" u="1"/>
        <n v="179.5" u="1"/>
        <n v="335.36" u="1"/>
        <n v="10080.69" u="1"/>
        <n v="354.87" u="1"/>
        <n v="1453.81" u="1"/>
        <n v="902" u="1"/>
        <n v="664.7" u="1"/>
        <n v="1963.09" u="1"/>
        <n v="7291.0511999999999" u="1"/>
        <n v="729.6" u="1"/>
        <n v="618.96" u="1"/>
        <n v="375.54" u="1"/>
        <n v="1219.32" u="1"/>
        <n v="4213.5893999999998" u="1"/>
        <n v="744.58" u="1"/>
        <n v="1680.05" u="1"/>
        <n v="581.24" u="1"/>
        <n v="1396.97" u="1"/>
        <n v="931.77" u="1"/>
        <n v="672.51" u="1"/>
        <n v="236.4" u="1"/>
        <n v="1725.12" u="1"/>
        <n v="568.26" u="1"/>
        <n v="838.88" u="1"/>
        <n v="1402.3" u="1"/>
        <n v="962" u="1"/>
        <n v="5026.72" u="1"/>
        <n v="1996.52" u="1"/>
        <n v="1497.66" u="1"/>
        <n v="836.04" u="1"/>
        <n v="867.44" u="1"/>
        <n v="1982.56" u="1"/>
        <n v="1904.64" u="1"/>
        <n v="2540.6999999999998" u="1"/>
        <n v="888.88" u="1"/>
        <n v="654.26" u="1"/>
        <n v="748.12" u="1"/>
        <n v="614.46" u="1"/>
        <n v="170.48" u="1"/>
        <n v="471" u="1"/>
        <n v="6356.84" u="1"/>
        <n v="632.15250000000003" u="1"/>
        <n v="378.74" u="1"/>
        <n v="34115.25" u="1"/>
        <n v="2271.3856000000001" u="1"/>
        <n v="542.28" u="1"/>
        <n v="846.3" u="1"/>
        <n v="7481.15" u="1"/>
        <n v="8269.2999999999993" u="1"/>
        <n v="2192.5439999999999" u="1"/>
        <n v="329.71499999999997" u="1"/>
        <n v="1644.28" u="1"/>
        <n v="756.88" u="1"/>
        <n v="1583.91" u="1"/>
        <n v="242" u="1"/>
        <n v="1196.92" u="1"/>
        <n v="739.46" u="1"/>
        <n v="784.22" u="1"/>
        <n v="484.96" u="1"/>
        <n v="568.78" u="1"/>
        <n v="639.024" u="1"/>
        <n v="4011.48" u="1"/>
        <n v="900.51" u="1"/>
        <n v="1023" u="1"/>
        <n v="283.68" u="1"/>
        <n v="32.39" u="1"/>
        <n v="2975" u="1"/>
        <n v="2950" u="1"/>
        <n v="568.04250000000002" u="1"/>
        <n v="452.36" u="1"/>
        <n v="541.79999999999995" u="1"/>
        <n v="157.83000000000001" u="1"/>
        <n v="496.8" u="1"/>
        <n v="429.74009999999998" u="1"/>
        <n v="2746.4607999999998" u="1"/>
        <n v="384.7" u="1"/>
        <n v="562.09" u="1"/>
        <n v="699.47" u="1"/>
        <n v="1094.94" u="1"/>
        <n v="186.55500000000001" u="1"/>
        <n v="167.64" u="1"/>
        <n v="558.59" u="1"/>
        <n v="755.33010000000002" u="1"/>
        <n v="509.40989999999999" u="1"/>
        <n v="325.6266" u="1"/>
        <n v="471.61340000000001" u="1"/>
        <n v="485" u="1"/>
        <n v="1516" u="1"/>
        <n v="1129.8" u="1"/>
        <n v="63.15" u="1"/>
        <n v="55.7" u="1"/>
        <n v="386.97" u="1"/>
        <n v="1978.2" u="1"/>
        <n v="2954.6" u="1"/>
        <n v="452.16" u="1"/>
        <n v="776.72" u="1"/>
        <n v="504.36" u="1"/>
        <n v="3147.45" u="1"/>
        <n v="5397.56" u="1"/>
        <n v="403.75" u="1"/>
        <n v="1372.38" u="1"/>
        <n v="294.8" u="1"/>
        <n v="21741.439999999999" u="1"/>
        <n v="991.74" u="1"/>
        <n v="7222.4525999999996" u="1"/>
        <n v="4130.6499999999996" u="1"/>
        <n v="4124.68" u="1"/>
        <n v="760.45" u="1"/>
        <n v="658.42" u="1"/>
        <n v="360.27" u="1"/>
        <n v="291.76" u="1"/>
        <n v="496.6" u="1"/>
        <n v="389.91" u="1"/>
        <n v="1824.14" u="1"/>
        <n v="889.95" u="1"/>
        <n v="123.04" u="1"/>
        <n v="140.91999999999999" u="1"/>
        <n v="581.91999999999996" u="1"/>
        <n v="338.12" u="1"/>
        <n v="2363.5" u="1"/>
        <n v="1272.3900000000001" u="1"/>
        <n v="981.09" u="1"/>
        <n v="483.6" u="1"/>
        <n v="456.43" u="1"/>
        <n v="563.08000000000004" u="1"/>
        <n v="551.66999999999996" u="1"/>
        <n v="1040.1300000000001" u="1"/>
        <n v="1001.72" u="1"/>
        <n v="205.83" u="1"/>
        <n v="3631.82" u="1"/>
        <n v="11735.22" u="1"/>
        <n v="1464.79" u="1"/>
        <n v="975.1807" u="1"/>
        <n v="18012.78" u="1"/>
        <n v="509.76" u="1"/>
        <n v="367.66" u="1"/>
        <n v="1046.48" u="1"/>
        <n v="706.64" u="1"/>
        <n v="627.1694" u="1"/>
        <n v="1709.22" u="1"/>
        <n v="984.87" u="1"/>
        <n v="1000.8335" u="1"/>
        <n v="327.96" u="1"/>
        <n v="561.09" u="1"/>
        <n v="429.63990000000001" u="1"/>
        <n v="656.24" u="1"/>
        <n v="622.14" u="1"/>
        <n v="167.22" u="1"/>
        <n v="468.46" u="1"/>
        <n v="145" u="1"/>
        <n v="765.4402" u="1"/>
        <n v="656.00360000000001" u="1"/>
        <n v="810.4" u="1"/>
        <n v="2567.9549999999999" u="1"/>
        <n v="540.06399999999996" u="1"/>
        <n v="643.4" u="1"/>
        <n v="591.32000000000005" u="1"/>
        <n v="293.60000000000002" u="1"/>
        <n v="858.1508" u="1"/>
        <n v="34682.53" u="1"/>
        <n v="402.89" u="1"/>
        <n v="441.74" u="1"/>
        <n v="433.02" u="1"/>
        <n v="624.38" u="1"/>
        <n v="1210.53" u="1"/>
        <n v="817.27" u="1"/>
        <n v="493.4" u="1"/>
        <n v="32046.76" u="1"/>
        <n v="756.6" u="1"/>
        <n v="785.73" u="1"/>
        <n v="164.99" u="1"/>
        <n v="976.88" u="1"/>
        <n v="10764.32" u="1"/>
        <n v="1275" u="1"/>
        <n v="711.56" u="1"/>
        <n v="232.89" u="1"/>
        <n v="762.48" u="1"/>
        <n v="2576.96" u="1"/>
        <n v="839.6" u="1"/>
        <n v="773.14" u="1"/>
        <n v="2144.0945000000002" u="1"/>
        <n v="594.73" u="1"/>
        <n v="241" u="1"/>
        <n v="375.9" u="1"/>
        <n v="751.51" u="1"/>
        <n v="550.96" u="1"/>
        <n v="261.77999999999997" u="1"/>
        <n v="1662.04" u="1"/>
        <n v="35627.32" u="1"/>
        <n v="9.68" u="1"/>
        <n v="784.86" u="1"/>
        <n v="712.76" u="1"/>
        <n v="360.15" u="1"/>
        <n v="484.64" u="1"/>
        <n v="101.04" u="1"/>
        <n v="6346.8" u="1"/>
        <n v="266.2" u="1"/>
        <n v="287.7" u="1"/>
        <n v="2467.5" u="1"/>
        <n v="198.88" u="1"/>
        <n v="13556.2" u="1"/>
        <n v="724.86" u="1"/>
        <n v="889.9" u="1"/>
        <n v="1162.8" u="1"/>
        <n v="10291.98" u="1"/>
        <n v="749.29" u="1"/>
        <n v="5835.35" u="1"/>
        <n v="1392" u="1"/>
        <n v="799" u="1"/>
        <n v="2950.2" u="1"/>
        <n v="3433" u="1"/>
        <n v="613.08000000000004" u="1"/>
        <n v="104.09" u="1"/>
        <n v="2993.6" u="1"/>
        <n v="3044.2" u="1"/>
        <n v="2599.8000000000002" u="1"/>
        <n v="290.85000000000002" u="1"/>
        <n v="493.02" u="1"/>
        <n v="300.98" u="1"/>
        <n v="311.85000000000002" u="1"/>
        <n v="916.22" u="1"/>
        <n v="1760" u="1"/>
        <n v="299.99" u="1"/>
        <n v="379.99" u="1"/>
        <n v="154.9" u="1"/>
        <n v="48914.28" u="1"/>
        <n v="691.5" u="1"/>
        <n v="124.8" u="1"/>
        <n v="3991.92" u="1"/>
        <n v="785.4" u="1"/>
        <n v="13841.85" u="1"/>
        <n v="2300" u="1"/>
        <n v="257.32" u="1"/>
        <n v="2704.48" u="1"/>
        <n v="522.45000000000005" u="1"/>
        <n v="1146.42" u="1"/>
        <n v="292.60000000000002" u="1"/>
        <n v="220.2" u="1"/>
        <n v="7900" u="1"/>
        <n v="284" u="1"/>
        <n v="309.10000000000002" u="1"/>
        <n v="706" u="1"/>
        <n v="424.33" u="1"/>
        <n v="216" u="1"/>
        <n v="939.99" u="1"/>
        <n v="1910.3" u="1"/>
        <n v="422.31" u="1"/>
        <n v="868.37" u="1"/>
        <n v="613.9" u="1"/>
        <n v="733.15" u="1"/>
        <n v="290.22000000000003" u="1"/>
        <n v="1877.74" u="1"/>
        <n v="1444.32" u="1"/>
        <n v="919.73" u="1"/>
        <n v="2853.16" u="1"/>
        <n v="483.83" u="1"/>
        <n v="214" u="1"/>
        <n v="1184" u="1"/>
        <n v="744.6" u="1"/>
        <n v="936.2" u="1"/>
        <n v="1076" u="1"/>
        <n v="659.64" u="1"/>
        <n v="689.7" u="1"/>
        <n v="785.36" u="1"/>
        <n v="562.65" u="1"/>
        <n v="453.84" u="1"/>
        <n v="1149" u="1"/>
        <n v="631.27" u="1"/>
        <n v="659.61" u="1"/>
        <n v="960" u="1"/>
        <n v="732.36" u="1"/>
        <n v="746.68" u="1"/>
        <n v="77.67" u="1"/>
        <n v="41.73" u="1"/>
        <n v="104.08" u="1"/>
        <n v="561.24" u="1"/>
        <n v="639.48" u="1"/>
        <n v="711.99" u="1"/>
        <n v="873" u="1"/>
        <n v="768.03" u="1"/>
        <n v="1389" u="1"/>
        <n v="119.32" u="1"/>
        <n v="1915" u="1"/>
        <n v="1002" u="1"/>
        <n v="476.46" u="1"/>
        <n v="325.89999999999998" u="1"/>
        <n v="479.9" u="1"/>
        <n v="2420.8000000000002" u="1"/>
        <n v="800.9" u="1"/>
        <n v="1268.2532000000001" u="1"/>
        <n v="1163.5272" u="1"/>
        <n v="756.17" u="1"/>
        <n v="666.9" u="1"/>
        <n v="720.13" u="1"/>
        <n v="511.19" u="1"/>
        <n v="1028.2" u="1"/>
        <n v="217.28" u="1"/>
        <n v="884.19" u="1"/>
        <n v="432.36" u="1"/>
        <n v="436.39" u="1"/>
        <n v="546.86" u="1"/>
        <n v="959.11" u="1"/>
        <n v="307.72000000000003" u="1"/>
        <n v="316.04000000000002" u="1"/>
        <n v="524.34" u="1"/>
        <n v="469.01" u="1"/>
        <n v="324.83999999999997" u="1"/>
        <n v="307.48" u="1"/>
        <n v="3785.48" u="1"/>
        <n v="545.45000000000005" u="1"/>
        <n v="585.12" u="1"/>
        <n v="880.79" u="1"/>
        <n v="964.2" u="1"/>
        <n v="324.7" u="1"/>
        <n v="181.99" u="1"/>
        <n v="1436" u="1"/>
        <n v="771.4" u="1"/>
        <n v="536" u="1"/>
        <n v="3279.86" u="1"/>
        <n v="2729.34" u="1"/>
        <n v="1315.31" u="1"/>
        <n v="1295.6099999999999" u="1"/>
        <n v="382.32" u="1"/>
        <n v="3747.62" u="1"/>
        <n v="4484.9585999999999" u="1"/>
        <n v="3879.45" u="1"/>
        <n v="595.71" u="1"/>
        <n v="119.88" u="1"/>
        <n v="2996.58" u="1"/>
        <n v="13711.6" u="1"/>
        <n v="2836.73" u="1"/>
        <n v="452.78" u="1"/>
        <n v="160.99" u="1"/>
        <n v="569.73" u="1"/>
        <n v="494" u="1"/>
        <n v="477.15" u="1"/>
        <n v="32.9" u="1"/>
        <n v="39.65" u="1"/>
        <n v="1205" u="1"/>
        <n v="214.5" u="1"/>
        <n v="679.39" u="1"/>
        <n v="885.26009999999997" u="1"/>
        <n v="666.66" u="1"/>
        <n v="427.68" u="1"/>
        <n v="163.565" u="1"/>
        <n v="1510.59" u="1"/>
        <n v="910.49159999999995" u="1"/>
        <n v="295.48" u="1"/>
        <n v="2477.5104000000001" u="1"/>
        <n v="554.76750000000004" u="1"/>
        <n v="596.19000000000005" u="1"/>
        <n v="689.67" u="1"/>
        <n v="231.54" u="1"/>
        <n v="753.42989999999998" u="1"/>
        <n v="844.6" u="1"/>
        <n v="852.8" u="1"/>
        <n v="385.52659999999997" u="1"/>
        <n v="327.13" u="1"/>
        <n v="3065.4" u="1"/>
        <n v="378.95" u="1"/>
        <n v="1246.4000000000001" u="1"/>
        <n v="686.32" u="1"/>
        <n v="1033.68" u="1"/>
        <n v="614.43989999999997" u="1"/>
        <n v="1408.86" u="1"/>
        <n v="397.14" u="1"/>
        <n v="2126.34" u="1"/>
        <n v="136" u="1"/>
        <n v="140.22" u="1"/>
        <n v="638.84" u="1"/>
        <n v="409.14" u="1"/>
        <n v="383.16" u="1"/>
        <n v="387.18" u="1"/>
        <n v="472.74" u="1"/>
        <n v="1334.74" u="1"/>
        <n v="630.76" u="1"/>
        <n v="548.24" u="1"/>
        <n v="386.15339999999998" u="1"/>
        <n v="782.88" u="1"/>
        <n v="4596.3" u="1"/>
        <n v="3166.34" u="1"/>
        <n v="588.84" u="1"/>
        <n v="483.8" u="1"/>
        <n v="429.12" u="1"/>
        <n v="541.18399999999997" u="1"/>
        <n v="1083.0415" u="1"/>
        <n v="645.928" u="1"/>
        <n v="414.7" u="1"/>
        <n v="1213.5" u="1"/>
        <n v="207.5" u="1"/>
        <n v="581.96" u="1"/>
        <n v="5311.28" u="1"/>
        <n v="7257.24" u="1"/>
        <n v="11937.42" u="1"/>
        <n v="11213.94" u="1"/>
        <n v="9405.24" u="1"/>
        <n v="817.12" u="1"/>
        <n v="3248.96" u="1"/>
        <n v="1782.48" u="1"/>
        <n v="6245.1450000000004" u="1"/>
        <n v="3496.6320000000001" u="1"/>
        <n v="1119.72" u="1"/>
        <n v="3899.6039999999998" u="1"/>
        <n v="1068.1199999999999" u="1"/>
        <n v="3763.098" u="1"/>
        <n v="6807.9960000000001" u="1"/>
        <n v="882" u="1"/>
        <n v="481.59" u="1"/>
        <n v="1723.47" u="1"/>
        <n v="683.87" u="1"/>
        <n v="590.79" u="1"/>
        <n v="422.98660000000001" u="1"/>
        <n v="7127.4111999999996" u="1"/>
        <n v="1669.1120000000001" u="1"/>
        <n v="428.94990000000001" u="1"/>
        <n v="153.66999999999999" u="1"/>
        <n v="308.69" u="1"/>
        <n v="189.52" u="1"/>
        <n v="369.78" u="1"/>
        <n v="906" u="1"/>
        <n v="675.28" u="1"/>
        <n v="1254.72" u="1"/>
        <n v="217.8" u="1"/>
        <n v="458.64" u="1"/>
        <n v="205.28" u="1"/>
        <n v="1005.72" u="1"/>
        <n v="521.4" u="1"/>
        <n v="782.1" u="1"/>
        <n v="432" u="1"/>
        <n v="240.9" u="1"/>
        <n v="267.75" u="1"/>
        <n v="540.6" u="1"/>
        <n v="429" u="1"/>
        <n v="1096" u="1"/>
        <n v="262.39999999999998" u="1"/>
        <n v="486" u="1"/>
        <n v="335.24" u="1"/>
        <n v="313.11" u="1"/>
        <n v="658.44" u="1"/>
        <n v="472" u="1"/>
        <n v="518.70000000000005" u="1"/>
        <n v="877.52" u="1"/>
        <n v="764.2" u="1"/>
        <n v="711.36" u="1"/>
        <n v="355.36" u="1"/>
        <n v="534.33000000000004" u="1"/>
        <n v="551.30999999999995" u="1"/>
        <n v="310.36" u="1"/>
        <n v="2000" u="1"/>
        <n v="770.55" u="1"/>
        <n v="3500" u="1"/>
        <n v="391.37" u="1"/>
        <n v="1540.26" u="1"/>
        <n v="10989.481400000001" u="1"/>
        <n v="912.67719999999997" u="1"/>
        <n v="590.78250000000003" u="1"/>
        <n v="548.85599999999999" u="1"/>
        <n v="533.61" u="1"/>
        <n v="783.78" u="1"/>
        <n v="1499.24" u="1"/>
        <n v="422.16" u="1"/>
        <n v="4448.2986000000001" u="1"/>
        <n v="699.00750000000005" u="1"/>
        <n v="845" u="1"/>
        <n v="336.81" u="1"/>
        <n v="309.97000000000003" u="1"/>
        <n v="573.82000000000005" u="1"/>
        <n v="354.93" u="1"/>
        <n v="710.52" u="1"/>
        <n v="1199.2" u="1"/>
        <n v="277.64" u="1"/>
        <n v="534.81989999999996" u="1"/>
        <n v="297.5" u="1"/>
        <n v="570.80999999999995" u="1"/>
        <n v="312.44" u="1"/>
        <n v="339.75" u="1"/>
        <n v="272.29000000000002" u="1"/>
        <n v="6576.9" u="1"/>
        <n v="2508.66" u="1"/>
        <n v="244.85" u="1"/>
        <n v="288.7466" u="1"/>
        <n v="310.24" u="1"/>
        <n v="466.17" u="1"/>
        <n v="365.2" u="1"/>
        <n v="3178.3101000000001" u="1"/>
        <n v="3752.22" u="1"/>
        <n v="487.2" u="1"/>
        <n v="576.66989999999998" u="1"/>
        <n v="885.16800000000001" u="1"/>
        <n v="589.34249999999997" u="1"/>
        <n v="598.52009999999996" u="1"/>
        <n v="881.51250000000005" u="1"/>
        <n v="1002.95" u="1"/>
        <n v="1227" u="1"/>
        <n v="606.41600000000005" u="1"/>
        <n v="561.56799999999998" u="1"/>
        <n v="602.33600000000001" u="1"/>
        <n v="577.11" u="1"/>
        <n v="782.57" u="1"/>
        <n v="611.61990000000003" u="1"/>
        <n v="2666.28" u="1"/>
        <n v="1638.81" u="1"/>
        <n v="262.2" u="1"/>
        <n v="339" u="1"/>
        <n v="2560.6604000000002" u="1"/>
        <n v="257.52999999999997" u="1"/>
        <n v="1824" u="1"/>
        <n v="2061.9299999999998" u="1"/>
        <n v="2490.17" u="1"/>
        <n v="1370.84" u="1"/>
        <n v="123.545" u="1"/>
        <n v="2030.3498999999999" u="1"/>
        <n v="439.52010000000001" u="1"/>
        <n v="327.10660000000001" u="1"/>
        <n v="608.06399999999996" u="1"/>
        <n v="223.97" u="1"/>
        <n v="3272.0855999999999" u="1"/>
        <n v="335.35" u="1"/>
        <n v="609.70000000000005" u="1"/>
        <n v="373.09339999999997" u="1"/>
        <n v="943.53" u="1"/>
        <n v="382.5" u="1"/>
        <n v="1390.24" u="1"/>
        <n v="732.54" u="1"/>
        <n v="848.17499999999995" u="1"/>
        <n v="747.82" u="1"/>
        <n v="440.36" u="1"/>
        <n v="785.79" u="1"/>
        <n v="764" u="1"/>
        <n v="406.69" u="1"/>
        <n v="1200.7401" u="1"/>
        <n v="264.74" u="1"/>
        <n v="1190.1420000000001" u="1"/>
        <n v="372.3" u="1"/>
        <n v="456.16" u="1"/>
        <n v="1359.6699000000001" u="1"/>
        <n v="646.26" u="1"/>
        <n v="1287.05" u="1"/>
        <n v="1546.1297999999999" u="1"/>
        <n v="1905.2298000000001" u="1"/>
        <n v="1725.6797999999999" u="1"/>
        <n v="1466.3298" u="1"/>
        <n v="1286.7798" u="1"/>
        <n v="630.70000000000005" u="1"/>
        <n v="298.68" u="1"/>
        <n v="576.67499999999995" u="1"/>
        <n v="337.1" u="1"/>
        <n v="501.99200000000002" u="1"/>
        <n v="664.16250000000002" u="1"/>
        <n v="688.20799999999997" u="1"/>
        <n v="824.26" u="1"/>
        <n v="1142.4880000000001" u="1"/>
        <n v="106.88500000000001" u="1"/>
        <n v="188.29499999999999" u="1"/>
        <n v="497.61989999999997" u="1"/>
        <n v="1444.17" u="1"/>
        <n v="253.49" u="1"/>
        <n v="279.64" u="1"/>
        <n v="1115.3702000000001" u="1"/>
        <n v="742.35" u="1"/>
        <n v="950.49" u="1"/>
        <n v="339.64" u="1"/>
        <n v="611.24" u="1"/>
        <n v="450.06" u="1"/>
        <n v="1592" u="1"/>
        <n v="533.66999999999996" u="1"/>
        <n v="426.42" u="1"/>
        <n v="378.12" u="1"/>
        <n v="5586.84" u="1"/>
        <n v="3338" u="1"/>
        <n v="3122" u="1"/>
        <n v="1784" u="1"/>
        <n v="1782" u="1"/>
        <n v="3215.66" u="1"/>
        <n v="247.99" u="1"/>
        <n v="10466.32" u="1"/>
        <n v="609.39" u="1"/>
        <n v="590.6" u="1"/>
        <n v="812.9" u="1"/>
        <n v="436.14" u="1"/>
        <n v="1920.73" u="1"/>
        <n v="3459.04" u="1"/>
        <n v="663.6" u="1"/>
        <n v="8095.23" u="1"/>
        <n v="5710.1742000000004" u="1"/>
        <n v="1668.9" u="1"/>
        <n v="656.84" u="1"/>
        <n v="1116.1199999999999" u="1"/>
        <n v="219.03" u="1"/>
        <n v="1178.1099999999999" u="1"/>
        <n v="1024.97" u="1"/>
        <n v="1322.12" u="1"/>
        <n v="1043.1600000000001" u="1"/>
        <n v="336.72" u="1"/>
        <n v="136.1" u="1"/>
        <n v="1190.46" u="1"/>
        <n v="92586" u="1"/>
        <n v="1494.4602" u="1"/>
        <n v="124.54" u="1"/>
        <n v="1364.59" u="1"/>
        <n v="587.42999999999995" u="1"/>
        <n v="3311.7" u="1"/>
        <n v="551.70989999999995" u="1"/>
        <n v="778.36" u="1"/>
        <n v="366.71499999999997" u="1"/>
        <n v="880" u="1"/>
        <n v="1033.1545000000001" u="1"/>
        <n v="5140" u="1"/>
        <n v="7090.02" u="1"/>
        <n v="758.04" u="1"/>
        <n v="409.9" u="1"/>
        <n v="485.38499999999999" u="1"/>
        <n v="1033.4503999999999" u="1"/>
        <n v="954.24" u="1"/>
        <n v="777.64" u="1"/>
        <n v="2717.4" u="1"/>
        <n v="2560" u="1"/>
        <n v="2115" u="1"/>
        <n v="562.24" u="1"/>
        <n v="5814" u="1"/>
        <n v="6182.68" u="1"/>
        <n v="5486.04" u="1"/>
        <n v="1056.9000000000001" u="1"/>
        <n v="12000" u="1"/>
        <n v="3200.16" u="1"/>
        <n v="159.5" u="1"/>
        <n v="9337.02" u="1"/>
        <n v="2616.46" u="1"/>
        <n v="7262.2" u="1"/>
        <n v="2993.94" u="1"/>
        <n v="2462.136" u="1"/>
        <n v="503.9" u="1"/>
        <n v="5198.2700000000004" u="1"/>
        <n v="1127" u="1"/>
        <n v="2435.9499999999998" u="1"/>
        <n v="1420" u="1"/>
        <n v="315.86" u="1"/>
        <n v="8841.9599999999991" u="1"/>
        <n v="7367.5752000000002" u="1"/>
        <n v="521.64499999999998" u="1"/>
        <n v="3907.7424000000001" u="1"/>
        <n v="329.4" u="1"/>
        <n v="583" u="1"/>
        <n v="4643.99" u="1"/>
        <n v="985.74" u="1"/>
        <n v="341.91" u="1"/>
        <n v="9049.08" u="1"/>
        <n v="2354.1" u="1"/>
        <n v="3880.5423999999998" u="1"/>
        <n v="568" u="1"/>
        <n v="829.24" u="1"/>
        <n v="718.41" u="1"/>
        <n v="2650.0039999999999" u="1"/>
        <n v="212.63" u="1"/>
        <n v="3653.7" u="1"/>
        <n v="10309.25" u="1"/>
        <n v="1479" u="1"/>
        <n v="4448.1499999999996" u="1"/>
        <n v="262.88" u="1"/>
        <n v="1195.848" u="1"/>
        <n v="263" u="1"/>
        <n v="440.02499999999998" u="1"/>
        <n v="408.92989999999998" u="1"/>
        <n v="1643.2248" u="1"/>
        <n v="1773.8672999999999" u="1"/>
        <n v="220.22" u="1"/>
        <n v="190.4" u="1"/>
        <n v="169.4" u="1"/>
        <n v="201" u="1"/>
        <n v="10528.32" u="1"/>
        <n v="661.05" u="1"/>
        <n v="976.4" u="1"/>
        <n v="10465.68" u="1"/>
        <n v="8" u="1"/>
        <n v="11440" u="1"/>
        <n v="34.950000000000003" u="1"/>
        <n v="229.45" u="1"/>
        <n v="203.93" u="1"/>
        <n v="180.36" u="1"/>
        <n v="680.94" u="1"/>
        <n v="269.64499999999998" u="1"/>
        <n v="269.71699999999998" u="1"/>
        <n v="821.23500000000001" u="1"/>
        <n v="1155.54" u="1"/>
        <n v="2840.2599" u="1"/>
        <n v="332.26" u="1"/>
        <n v="298.60000000000002" u="1"/>
        <n v="1438" u="1"/>
        <n v="1760.77" u="1"/>
        <n v="3342" u="1"/>
        <n v="1808" u="1"/>
        <n v="510.9" u="1"/>
        <n v="6360.78" u="1"/>
        <n v="217.48" u="1"/>
        <n v="739.18" u="1"/>
        <n v="6255.76" u="1"/>
        <n v="10611.92" u="1"/>
        <n v="977.63" u="1"/>
        <n v="2030.9601" u="1"/>
        <n v="1302.8399999999999" u="1"/>
        <n v="468.88" u="1"/>
        <n v="6702.16" u="1"/>
        <n v="3908.94" u="1"/>
        <n v="990.36" u="1"/>
        <n v="1173" u="1"/>
        <n v="812" u="1"/>
        <n v="1044.75" u="1"/>
        <n v="429.99" u="1"/>
        <n v="1670.73" u="1"/>
        <n v="467.69" u="1"/>
        <n v="359.99" u="1"/>
        <n v="378.76" u="1"/>
        <n v="8944.9352999999992" u="1"/>
        <n v="2577.2264" u="1"/>
        <n v="2883.6738" u="1"/>
        <n v="7521.92" u="1"/>
        <n v="8925.8696" u="1"/>
        <n v="4690.1332000000002" u="1"/>
        <n v="10566.2736" u="1"/>
        <n v="2900.3991999999998" u="1"/>
        <n v="374.1" u="1"/>
        <n v="2076.54" u="1"/>
        <n v="343.65" u="1"/>
        <n v="2359.3679999999999" u="1"/>
        <n v="972.97" u="1"/>
        <n v="940.48" u="1"/>
        <n v="374.94659999999999" u="1"/>
        <n v="7227.27" u="1"/>
        <n v="168" u="1"/>
        <n v="576.48" u="1"/>
        <n v="571.48800000000006" u="1"/>
        <n v="717.81989999999996" u="1"/>
        <n v="457.01" u="1"/>
        <n v="507.76499999999999" u="1"/>
        <n v="436.46249999999998" u="1"/>
        <n v="511.83" u="1"/>
        <n v="570.44799999999998" u="1"/>
        <n v="577.87199999999996" u="1"/>
        <n v="651.25599999999997" u="1"/>
        <n v="710.14" u="1"/>
        <n v="1468" u="1"/>
        <n v="363.26" u="1"/>
        <n v="732.1" u="1"/>
        <n v="3680.28" u="1"/>
        <n v="660.66" u="1"/>
        <n v="916.65" u="1"/>
        <n v="368.55" u="1"/>
        <n v="1325" u="1"/>
        <n v="2940" u="1"/>
        <n v="1325.15" u="1"/>
        <n v="659" u="1"/>
        <n v="830.55" u="1"/>
        <n v="1612.2" u="1"/>
        <n v="1378.02" u="1"/>
        <n v="1065" u="1"/>
        <n v="1093.8599999999999" u="1"/>
        <n v="1607.41" u="1"/>
        <n v="1395" u="1"/>
        <n v="698" u="1"/>
        <n v="221.2" u="1"/>
        <n v="234" u="1"/>
        <n v="607.70000000000005" u="1"/>
        <n v="2405.92" u="1"/>
        <n v="242.09" u="1"/>
        <n v="868" u="1"/>
        <n v="1269" u="1"/>
        <n v="454.57" u="1"/>
        <n v="1260.51" u="1"/>
        <n v="12766.36" u="1"/>
        <n v="1818.81" u="1"/>
        <n v="952.44" u="1"/>
        <n v="90.8" u="1"/>
        <n v="169" u="1"/>
        <n v="345.4" u="1"/>
        <n v="987.84" u="1"/>
        <n v="350.9" u="1"/>
        <n v="262.89999999999998" u="1"/>
        <n v="101.19" u="1"/>
        <n v="246.89" u="1"/>
        <n v="188.84" u="1"/>
        <n v="2286.0100000000002" u="1"/>
        <n v="475.73" u="1"/>
        <n v="90.77" u="1"/>
        <n v="88.74" u="1"/>
        <n v="507.21749999999997" u="1"/>
        <n v="184.91" u="1"/>
        <n v="462.24" u="1"/>
        <n v="8323.2800000000007" u="1"/>
        <n v="412.08" u="1"/>
        <n v="450.33" u="1"/>
        <n v="563.36" u="1"/>
        <n v="541.99" u="1"/>
        <n v="1320.048" u="1"/>
        <n v="1188.1300000000001" u="1"/>
        <n v="536.48009999999999" u="1"/>
        <n v="528.51" u="1"/>
        <n v="705.82" u="1"/>
        <n v="15234.96" u="1"/>
        <n v="3746.4" u="1"/>
        <n v="3229.384" u="1"/>
        <n v="876.27" u="1"/>
        <n v="1287.75" u="1"/>
        <n v="585.02" u="1"/>
        <n v="292.08999999999997" u="1"/>
        <n v="755.4" u="1"/>
        <n v="4820.75" u="1"/>
        <n v="197.88" u="1"/>
        <n v="565.08000000000004" u="1"/>
        <n v="535.44000000000005" u="1"/>
        <n v="245.33" u="1"/>
        <n v="3763.08" u="1"/>
        <n v="4771.2299999999996" u="1"/>
        <n v="606.28" u="1"/>
        <n v="1405.8" u="1"/>
        <n v="856.06" u="1"/>
        <n v="1403" u="1"/>
        <n v="11178.32" u="1"/>
        <n v="996.51" u="1"/>
        <n v="1534.02" u="1"/>
        <n v="256.25" u="1"/>
        <n v="3985.77" u="1"/>
        <n v="259.99" u="1"/>
        <n v="62.9" u="1"/>
        <n v="326.94" u="1"/>
        <n v="316.92" u="1"/>
        <n v="235.89" u="1"/>
        <n v="202.23" u="1"/>
        <n v="658.76" u="1"/>
        <n v="1141.44" u="1"/>
        <n v="222.09" u="1"/>
        <n v="2114.91" u="1"/>
        <n v="20712.900000000001" u="1"/>
        <n v="538.85" u="1"/>
        <n v="1208.19" u="1"/>
        <n v="2829.73" u="1"/>
        <n v="590.30999999999995" u="1"/>
        <n v="1504.04" u="1"/>
        <n v="9.2799999999999994" u="1"/>
        <n v="905.4" u="1"/>
        <n v="1358.49" u="1"/>
        <n v="852.4" u="1"/>
        <n v="460.2" u="1"/>
        <n v="661.48" u="1"/>
        <n v="2272.06" u="1"/>
        <n v="3152.24" u="1"/>
        <n v="594.14" u="1"/>
        <n v="2009.08" u="1"/>
        <n v="1370.36" u="1"/>
        <n v="1271.51" u="1"/>
        <n v="526.04" u="1"/>
        <n v="489.19" u="1"/>
        <n v="1483.98" u="1"/>
        <n v="27888.9" u="1"/>
        <n v="2389.1172000000001" u="1"/>
        <n v="2892.18" u="1"/>
        <n v="423.35" u="1"/>
        <n v="6494.92" u="1"/>
        <n v="699.12" u="1"/>
        <n v="840.48" u="1"/>
        <n v="1745.73" u="1"/>
        <n v="937.68" u="1"/>
        <n v="20807.97" u="1"/>
        <n v="9106.27" u="1"/>
        <n v="28639" u="1"/>
        <n v="553.20000000000005" u="1"/>
        <n v="857.8673" u="1"/>
        <n v="838.81529999999998" u="1"/>
        <n v="1177.1600000000001" u="1"/>
        <n v="24049.73" u="1"/>
        <n v="35016.46" u="1"/>
        <n v="27682.17" u="1"/>
        <n v="967.82" u="1"/>
        <n v="19032.46" u="1"/>
        <n v="28975.91" u="1"/>
        <n v="16870" u="1"/>
        <n v="15386.76" u="1"/>
        <n v="2753.38" u="1"/>
        <n v="1395.05" u="1"/>
        <n v="1228.98" u="1"/>
        <n v="2596.85" u="1"/>
        <n v="4977.7299000000003" u="1"/>
        <n v="1778.5" u="1"/>
        <n v="357.75" u="1"/>
        <n v="960.12" u="1"/>
        <n v="1066.28" u="1"/>
        <n v="6642.24" u="1"/>
        <n v="9738.0499999999993" u="1"/>
        <n v="2622.8" u="1"/>
        <n v="2737.98" u="1"/>
        <n v="43183.58" u="1"/>
        <n v="1200.3599999999999" u="1"/>
        <n v="1942.07" u="1"/>
        <n v="21551.05" u="1"/>
        <n v="10589.09" u="1"/>
        <n v="8528.52" u="1"/>
        <n v="2594.34" u="1"/>
        <n v="16250.26" u="1"/>
        <n v="817.5" u="1"/>
        <n v="553.5" u="1"/>
        <n v="89.96" u="1"/>
        <n v="1149.1099999999999" u="1"/>
        <n v="404.71" u="1"/>
        <n v="1202.79" u="1"/>
        <n v="665" u="1"/>
        <n v="1886.04" u="1"/>
        <n v="1323.45" u="1"/>
        <n v="2480.38" u="1"/>
        <n v="478.87" u="1"/>
        <n v="2115.3000000000002" u="1"/>
        <n v="441.62" u="1"/>
        <n v="1720.69" u="1"/>
        <n v="2892.47" u="1"/>
        <n v="625.70000000000005" u="1"/>
        <n v="668" u="1"/>
        <n v="230.61" u="1"/>
        <n v="359.1" u="1"/>
        <n v="1092" u="1"/>
        <n v="11100.6" u="1"/>
        <n v="21219.79" u="1"/>
        <n v="740.53" u="1"/>
        <n v="4442.6970000000001" u="1"/>
        <n v="1268.01" u="1"/>
        <n v="870.2" u="1"/>
        <n v="1248.3" u="1"/>
        <n v="1439.1" u="1"/>
        <n v="2643.9" u="1"/>
        <n v="2150.4899999999998" u="1"/>
        <n v="6250" u="1"/>
        <n v="401.8" u="1"/>
        <n v="489.29" u="1"/>
        <n v="1556.1" u="1"/>
        <n v="258.55" u="1"/>
        <n v="232.63" u="1"/>
        <n v="1490.0001" u="1"/>
        <n v="4579.75" u="1"/>
        <n v="11175.32" u="1"/>
        <n v="446.21" u="1"/>
        <n v="828.29010000000005" u="1"/>
        <n v="493.9" u="1"/>
        <n v="110.34" u="1"/>
        <n v="109.2" u="1"/>
        <n v="1736.64" u="1"/>
        <n v="1179.9999" u="1"/>
        <n v="901.94" u="1"/>
        <n v="149.66" u="1"/>
        <n v="6000" u="1"/>
        <n v="5536" u="1"/>
        <n v="5000" u="1"/>
        <n v="5562" u="1"/>
        <n v="6526" u="1"/>
        <n v="26428.5" u="1"/>
        <n v="6120" u="1"/>
        <n v="7241" u="1"/>
        <n v="6418.5" u="1"/>
        <n v="293.94" u="1"/>
        <n v="355.87" u="1"/>
        <n v="1205.8400999999999" u="1"/>
        <n v="5793.6" u="1"/>
        <n v="518.03" u="1"/>
        <n v="1079.79" u="1"/>
        <n v="1566.42" u="1"/>
        <n v="2724.34" u="1"/>
        <n v="585.99" u="1"/>
        <n v="2454.19" u="1"/>
        <n v="1495.27" u="1"/>
        <n v="894.64" u="1"/>
        <n v="317.43" u="1"/>
        <n v="759.66790000000003" u="1"/>
        <n v="1115.95" u="1"/>
        <n v="521.07000000000005" u="1"/>
        <n v="9686.5300000000007" u="1"/>
        <n v="29203.72" u="1"/>
        <n v="856.9" u="1"/>
        <n v="1275.3800000000001" u="1"/>
        <n v="2516.2199999999998" u="1"/>
        <n v="660.69" u="1"/>
        <n v="561.47" u="1"/>
        <n v="563.26" u="1"/>
        <n v="1681.66" u="1"/>
        <n v="1647.02" u="1"/>
        <n v="2145.14" u="1"/>
        <n v="1112.57" u="1"/>
        <n v="5604.61" u="1"/>
        <n v="408.32" u="1"/>
        <n v="1505.91" u="1"/>
        <n v="792.6" u="1"/>
        <n v="337.32" u="1"/>
        <n v="160.19999999999999" u="1"/>
        <n v="415.68" u="1"/>
        <n v="387.76" u="1"/>
        <n v="39.57" u="1"/>
        <n v="207.85" u="1"/>
        <n v="601.96" u="1"/>
        <n v="555.38250000000005" u="1"/>
        <n v="325.14" u="1"/>
        <n v="538.89" u="1"/>
        <n v="817.6" u="1"/>
        <n v="5133.5" u="1"/>
        <n v="483.17" u="1"/>
        <n v="1034.6600000000001" u="1"/>
        <n v="295.45339999999999" u="1"/>
        <n v="434.2466" u="1"/>
        <n v="386.78" u="1"/>
        <n v="641.09" u="1"/>
        <n v="493.36" u="1"/>
        <n v="299.43" u="1"/>
        <n v="598.26" u="1"/>
        <n v="769.66" u="1"/>
        <n v="897.06" u="1"/>
        <n v="1377.5298" u="1"/>
        <n v="577.25009999999997" u="1"/>
        <n v="819.16650000000004" u="1"/>
        <n v="918.53020000000004" u="1"/>
        <n v="247.09" u="1"/>
        <n v="588.3999" u="1"/>
        <n v="1067.0899999999999" u="1"/>
        <n v="54.99" u="1"/>
        <n v="228.1" u="1"/>
        <n v="1327.7501999999999" u="1"/>
        <n v="616.51499999999999" u="1"/>
        <n v="104.33" u="1"/>
        <n v="203.28" u="1"/>
        <n v="3977.0990000000002" u="1"/>
        <n v="287.36660000000001" u="1"/>
        <n v="213.74" u="1"/>
        <n v="215.91499999999999" u="1"/>
        <n v="43.6" u="1"/>
        <n v="48.5" u="1"/>
        <n v="259.35000000000002" u="1"/>
        <n v="514.67250000000001" u="1"/>
        <n v="106.09" u="1"/>
        <n v="305.63" u="1"/>
        <n v="361.24" u="1"/>
        <n v="1860.21" u="1"/>
        <n v="916.89" u="1"/>
        <n v="422.49" u="1"/>
        <n v="819.75" u="1"/>
        <n v="1742.36" u="1"/>
        <n v="834.83010000000002" u="1"/>
        <n v="393.46" u="1"/>
        <n v="370.41" u="1"/>
        <n v="3548.07" u="1"/>
        <n v="486.01" u="1"/>
        <n v="695.11" u="1"/>
        <n v="1602.9" u="1"/>
        <n v="703.21" u="1"/>
        <n v="698.21" u="1"/>
        <n v="498.07" u="1"/>
        <n v="2007.75" u="1"/>
        <n v="4593.42" u="1"/>
        <n v="528.79999999999995" u="1"/>
        <n v="597.28" u="1"/>
        <n v="660.36" u="1"/>
        <n v="554.72" u="1"/>
        <n v="675.56" u="1"/>
        <n v="724.88" u="1"/>
        <n v="993.24" u="1"/>
        <n v="967.42" u="1"/>
        <n v="132.30000000000001" u="1"/>
        <n v="70.349999999999994" u="1"/>
        <n v="37673.620000000003" u="1"/>
        <n v="39891.870000000003" u="1"/>
        <n v="32690.78" u="1"/>
        <n v="12790.96" u="1"/>
        <n v="33028.36" u="1"/>
        <n v="27997.01" u="1"/>
        <n v="9948.5300000000007" u="1"/>
        <n v="24059.87" u="1"/>
        <n v="4213" u="1"/>
        <n v="366" u="1"/>
        <n v="1599" u="1"/>
        <n v="896.97" u="1"/>
        <n v="2069.9699999999998" u="1"/>
        <n v="930.62" u="1"/>
        <n v="1134.9000000000001" u="1"/>
        <n v="671.51" u="1"/>
        <n v="412.12" u="1"/>
        <n v="1082.3399999999999" u="1"/>
        <n v="3893.62" u="1"/>
        <n v="1873.62" u="1"/>
        <n v="1168.04" u="1"/>
        <n v="583.57000000000005" u="1"/>
        <n v="2104.9" u="1"/>
        <n v="590" u="1"/>
        <n v="891.59" u="1"/>
        <n v="996.49" u="1"/>
        <n v="446.73410000000001" u="1"/>
        <n v="468.23680000000002" u="1"/>
        <n v="284.79000000000002" u="1"/>
        <n v="454" u="1"/>
        <n v="297.31" u="1"/>
        <n v="211" u="1"/>
        <n v="782.01" u="1"/>
        <n v="4975" u="1"/>
        <n v="4940.1750000000002" u="1"/>
        <n v="2552" u="1"/>
        <n v="451.1" u="1"/>
        <n v="532.22" u="1"/>
        <n v="1351" u="1"/>
        <n v="951.88" u="1"/>
        <n v="228.14" u="1"/>
        <n v="141.81" u="1"/>
        <n v="5.95" u="1"/>
        <n v="346.97" u="1"/>
        <n v="2680.2" u="1"/>
        <n v="1007.1" u="1"/>
        <n v="660.03" u="1"/>
        <n v="129.96" u="1"/>
        <n v="1244.0999999999999" u="1"/>
        <n v="2086.56" u="1"/>
        <n v="927" u="1"/>
        <n v="909.36" u="1"/>
        <n v="196.16" u="1"/>
        <n v="8055.06" u="1"/>
        <n v="237.77" u="1"/>
        <n v="3996.54" u="1"/>
        <n v="1189.29" u="1"/>
        <n v="452.73" u="1"/>
        <n v="1067.3119999999999" u="1"/>
        <n v="275.17" u="1"/>
        <n v="549.70000000000005" u="1"/>
        <n v="404.21" u="1"/>
        <n v="741.94" u="1"/>
        <n v="648.21" u="1"/>
        <n v="350.5" u="1"/>
        <n v="724.5" u="1"/>
        <n v="7865" u="1"/>
        <n v="221.61" u="1"/>
        <n v="21663" u="1"/>
        <n v="12757.5" u="1"/>
        <n v="1188.96" u="1"/>
        <n v="2068" u="1"/>
        <n v="146.05000000000001" u="1"/>
        <n v="2632" u="1"/>
        <n v="910" u="1"/>
        <n v="940" u="1"/>
        <n v="4324" u="1"/>
        <n v="1249.74" u="1"/>
        <n v="2730.17" u="1"/>
        <n v="3780.92" u="1"/>
        <n v="1170.8800000000001" u="1"/>
        <n v="4640" u="1"/>
        <n v="230.4" u="1"/>
        <n v="3529.8049999999998" u="1"/>
        <n v="373" u="1"/>
        <n v="327.75" u="1"/>
        <n v="1348" u="1"/>
        <n v="796.4348" u="1"/>
        <n v="4885.1880000000001" u="1"/>
        <n v="3868.48" u="1"/>
        <n v="241.48" u="1"/>
        <n v="167.79" u="1"/>
        <n v="2419.4940000000001" u="1"/>
        <n v="586.02" u="1"/>
        <n v="1464.68" u="1"/>
        <n v="1335" u="1"/>
        <n v="4655.3940000000002" u="1"/>
        <n v="1044.576" u="1"/>
        <n v="557.09" u="1"/>
        <n v="13926.06" u="1"/>
        <n v="4591.9639999999999" u="1"/>
        <n v="11081.492" u="1"/>
        <n v="2357.4319999999998" u="1"/>
        <n v="239.75" u="1"/>
        <n v="317.39999999999998" u="1"/>
        <n v="771.05600000000004" u="1"/>
        <n v="374.06" u="1"/>
        <n v="226.4666" u="1"/>
        <n v="300.38" u="1"/>
        <n v="2775.1545000000001" u="1"/>
        <n v="1978" u="1"/>
        <n v="3072" u="1"/>
        <n v="214.69" u="1"/>
        <n v="3297.84" u="1"/>
        <n v="394.41" u="1"/>
        <n v="548.1" u="1"/>
        <n v="220.66" u="1"/>
        <n v="451.72" u="1"/>
        <n v="284.19" u="1"/>
        <n v="368.82" u="1"/>
        <n v="340.52" u="1"/>
        <n v="129.31" u="1"/>
        <n v="308.94" u="1"/>
        <n v="174.81" u="1"/>
        <n v="448.08" u="1"/>
        <n v="216.76" u="1"/>
        <n v="3099" u="1"/>
        <n v="1072.44" u="1"/>
        <n v="710.19359999999995" u="1"/>
        <n v="551.72" u="1"/>
        <n v="910.95" u="1"/>
        <n v="714.39" u="1"/>
        <n v="496.26" u="1"/>
        <n v="370.6" u="1"/>
        <n v="741.2" u="1"/>
        <n v="3841.9920000000002" u="1"/>
        <n v="504" u="1"/>
        <n v="3331.4250000000002" u="1"/>
        <n v="238.03" u="1"/>
        <n v="382.33" u="1"/>
        <n v="807.34" u="1"/>
        <n v="337.98" u="1"/>
        <n v="320.52" u="1"/>
        <n v="253.1" u="1"/>
        <n v="264.45" u="1"/>
        <n v="319.14" u="1"/>
        <n v="269.25" u="1"/>
        <n v="260.76" u="1"/>
        <n v="351.52" u="1"/>
        <n v="929.64" u="1"/>
        <n v="985.46" u="1"/>
        <n v="275.32" u="1"/>
        <n v="369.84660000000002" u="1"/>
        <n v="13785.92" u="1"/>
        <n v="2881.08" u="1"/>
        <n v="3326.8319999999999" u="1"/>
        <n v="7146.4103999999998" u="1"/>
        <n v="4243.1639999999998" u="1"/>
        <n v="8974.84" u="1"/>
        <n v="654" u="1"/>
        <n v="2070" u="1"/>
        <n v="639.03" u="1"/>
        <n v="12777.75" u="1"/>
        <n v="880.72" u="1"/>
        <n v="390.16" u="1"/>
        <n v="564.72" u="1"/>
        <n v="614.70000000000005" u="1"/>
        <n v="3190.7" u="1"/>
        <n v="993.81989999999996" u="1"/>
        <n v="401.18" u="1"/>
        <n v="711.67" u="1"/>
        <n v="352" u="1"/>
        <n v="372.56" u="1"/>
        <n v="232.18" u="1"/>
        <n v="434.13" u="1"/>
        <n v="530.30999999999995" u="1"/>
        <n v="324.64999999999998" u="1"/>
        <n v="605.79" u="1"/>
        <n v="212.33" u="1"/>
        <n v="855.05" u="1"/>
        <n v="477.33" u="1"/>
        <n v="1850.4205999999999" u="1"/>
        <n v="4164.4301999999998" u="1"/>
        <n v="203.38" u="1"/>
        <n v="573.8066" u="1"/>
        <n v="3243.92" u="1"/>
        <n v="1744.64" u="1"/>
        <n v="7593.95" u="1"/>
        <n v="188.74" u="1"/>
        <n v="842.66" u="1"/>
        <n v="226.5" u="1"/>
        <n v="1789.3848" u="1"/>
        <n v="20012.88" u="1"/>
        <n v="657.21" u="1"/>
        <n v="816.85" u="1"/>
        <n v="3623.76" u="1"/>
        <n v="1221.0999999999999" u="1"/>
        <n v="316.95" u="1"/>
        <n v="902.72" u="1"/>
        <n v="1327.08" u="1"/>
        <n v="2299.2600000000002" u="1"/>
        <n v="1662.57" u="1"/>
        <n v="183.25" u="1"/>
        <n v="1031.4000000000001" u="1"/>
        <n v="4357" u="1"/>
        <n v="581.04750000000001" u="1"/>
        <n v="686.69" u="1"/>
        <n v="3109.68" u="1"/>
        <n v="991.56" u="1"/>
        <n v="523.16999999999996" u="1"/>
        <n v="1122.04" u="1"/>
        <n v="301.75" u="1"/>
        <n v="1197.9000000000001" u="1"/>
        <n v="469.74" u="1"/>
        <n v="612.41" u="1"/>
        <n v="580.13" u="1"/>
        <n v="816.75" u="1"/>
        <n v="476.73" u="1"/>
        <n v="297.44" u="1"/>
        <n v="275.57" u="1"/>
        <n v="430.07" u="1"/>
        <n v="1064.04" u="1"/>
        <n v="742.98" u="1"/>
        <n v="975.2" u="1"/>
        <n v="403.8" u="1"/>
        <n v="800.62" u="1"/>
        <n v="545.79" u="1"/>
        <n v="403.17" u="1"/>
        <n v="694.98" u="1"/>
        <n v="1283.76" u="1"/>
        <n v="850.27" u="1"/>
        <n v="396.29" u="1"/>
        <n v="577.13" u="1"/>
        <n v="758.09" u="1"/>
        <n v="1803.17" u="1"/>
        <n v="1480.18" u="1"/>
        <n v="2965.92" u="1"/>
        <n v="858.12" u="1"/>
        <n v="559.20000000000005" u="1"/>
        <n v="2719.88" u="1"/>
        <n v="2943.8836000000001" u="1"/>
        <n v="712.04" u="1"/>
        <n v="638.32000000000005" u="1"/>
        <n v="605.64" u="1"/>
        <n v="457.35430000000002" u="1"/>
        <n v="2147.84" u="1"/>
        <n v="1901.44" u="1"/>
        <n v="490.88" u="1"/>
        <n v="23128.63" u="1"/>
        <n v="20001.18" u="1"/>
        <n v="15619.64" u="1"/>
        <n v="3250.21" u="1"/>
        <n v="239.36" u="1"/>
        <n v="440.07" u="1"/>
        <n v="1305.5899999999999" u="1"/>
        <n v="362.93" u="1"/>
        <n v="1705.88" u="1"/>
        <n v="1214.8800000000001" u="1"/>
        <n v="861.74" u="1"/>
        <n v="716.6" u="1"/>
        <n v="923.16" u="1"/>
        <n v="525.88" u="1"/>
        <n v="1098" u="1"/>
        <n v="3648.288" u="1"/>
        <n v="4421.12" u="1"/>
        <n v="943.5" u="1"/>
        <n v="4083.6" u="1"/>
        <n v="744.09" u="1"/>
        <n v="764.29" u="1"/>
        <n v="1315.79" u="1"/>
        <n v="2421.0500999999999" u="1"/>
        <n v="704.36009999999999" u="1"/>
        <n v="850.28" u="1"/>
        <n v="643.87" u="1"/>
        <n v="212" u="1"/>
        <n v="462.75" u="1"/>
        <n v="2054.8200000000002" u="1"/>
        <n v="601.71" u="1"/>
        <n v="2535" u="1"/>
        <n v="5398.96" u="1"/>
        <n v="909.02" u="1"/>
        <n v="331.99" u="1"/>
        <n v="324.91000000000003" u="1"/>
        <n v="332.04" u="1"/>
        <n v="265.2" u="1"/>
        <n v="1060" u="1"/>
        <n v="1237.5" u="1"/>
        <n v="11447.892599999999" u="1"/>
        <n v="9052.2104999999992" u="1"/>
        <n v="1285.6320000000001" u="1"/>
        <n v="267.06" u="1"/>
        <n v="1399.31" u="1"/>
        <n v="293.76" u="1"/>
        <n v="232.95" u="1"/>
        <n v="407.88" u="1"/>
        <n v="638.92999999999995" u="1"/>
        <n v="521.04999999999995" u="1"/>
        <n v="527.37" u="1"/>
        <n v="1111.0999999999999" u="1"/>
        <n v="2190.36" u="1"/>
        <n v="178.25" u="1"/>
        <n v="835.66079999999999" u="1"/>
        <n v="7192" u="1"/>
        <n v="422.6" u="1"/>
        <n v="574.08000000000004" u="1"/>
        <n v="1266.24" u="1"/>
        <n v="6687.52" u="1"/>
        <n v="196.18" u="1"/>
        <n v="2900" u="1"/>
        <n v="371.26" u="1"/>
        <n v="797.56" u="1"/>
        <n v="58.6" u="1"/>
        <n v="290.99" u="1"/>
        <n v="63.55" u="1"/>
        <n v="314.11" u="1"/>
        <n v="47.55" u="1"/>
        <n v="179.22" u="1"/>
        <n v="339.99" u="1"/>
        <n v="7164" u="1"/>
        <n v="53.6" u="1"/>
        <n v="248.27" u="1"/>
        <n v="189.91" u="1"/>
        <n v="106.01" u="1"/>
        <n v="128.66999999999999" u="1"/>
        <n v="46.01" u="1"/>
        <n v="74.61" u="1"/>
        <n v="71.400000000000006" u="1"/>
        <n v="67.099999999999994" u="1"/>
        <n v="91.15" u="1"/>
        <n v="127.82" u="1"/>
        <n v="98.12" u="1"/>
        <n v="292.88" u="1"/>
        <n v="139.41999999999999" u="1"/>
        <n v="46.18" u="1"/>
        <n v="62.34" u="1"/>
        <n v="105.57" u="1"/>
        <n v="229.99" u="1"/>
        <n v="190.53" u="1"/>
        <n v="277.23" u="1"/>
        <n v="190.47" u="1"/>
        <n v="46.1" u="1"/>
        <n v="130.99" u="1"/>
        <n v="143.56" u="1"/>
        <n v="256.58" u="1"/>
        <n v="203.84" u="1"/>
        <n v="111.32" u="1"/>
        <n v="164.2" u="1"/>
        <n v="41.06" u="1"/>
        <n v="109.9" u="1"/>
        <n v="106.35" u="1"/>
        <n v="139.91" u="1"/>
        <n v="198.65" u="1"/>
        <n v="83.61" u="1"/>
        <n v="90.82" u="1"/>
        <n v="160.15" u="1"/>
        <n v="152.9" u="1"/>
        <n v="130.07" u="1"/>
        <n v="72.77" u="1"/>
        <n v="88.19" u="1"/>
        <n v="2338" u="1"/>
        <n v="6393.39" u="1"/>
        <n v="909.84" u="1"/>
        <n v="403.92" u="1"/>
        <n v="71.599999999999994" u="1"/>
        <n v="68.599999999999994" u="1"/>
        <n v="98.51" u="1"/>
        <n v="77.11" u="1"/>
        <n v="86.62" u="1"/>
        <n v="69.53" u="1"/>
        <n v="110.97" u="1"/>
        <n v="467.2" u="1"/>
        <n v="58.39" u="1"/>
        <n v="169.08" u="1"/>
        <n v="1003.6" u="1"/>
        <n v="474.88" u="1"/>
        <n v="582.4" u="1"/>
        <n v="733.96" u="1"/>
        <n v="537.63990000000001" u="1"/>
        <n v="529.91999999999996" u="1"/>
        <n v="809.55" u="1"/>
        <n v="1307.46" u="1"/>
        <n v="4164.82" u="1"/>
        <n v="3375" u="1"/>
        <n v="312.89" u="1"/>
        <n v="580.16" u="1"/>
        <n v="531.17999999999995" u="1"/>
        <n v="239.09" u="1"/>
        <n v="1088.04" u="1"/>
        <n v="260.48" u="1"/>
        <n v="596.4" u="1"/>
        <n v="1001.13" u="1"/>
        <n v="444.4" u="1"/>
        <n v="996.45" u="1"/>
        <n v="291.02" u="1"/>
        <n v="2435.02" u="1"/>
        <n v="585.98" u="1"/>
        <n v="4760" u="1"/>
        <n v="711.18" u="1"/>
        <n v="607.65" u="1"/>
        <n v="1999.06" u="1"/>
        <n v="1131.4000000000001" u="1"/>
        <n v="1328.8299" u="1"/>
        <n v="596.09" u="1"/>
        <n v="354.32" u="1"/>
        <n v="999" u="1"/>
        <n v="296.10000000000002" u="1"/>
        <n v="269.32" u="1"/>
        <n v="888.94" u="1"/>
        <n v="252.09" u="1"/>
        <n v="315.64999999999998" u="1"/>
        <n v="47.6" u="1"/>
        <n v="877.02" u="1"/>
        <n v="959.3" u="1"/>
        <n v="338.45" u="1"/>
        <n v="522.09" u="1"/>
        <n v="1009.23" u="1"/>
        <n v="550.20000000000005" u="1"/>
        <n v="1064.22" u="1"/>
        <n v="199.5" u="1"/>
        <n v="193.34" u="1"/>
        <n v="6947.82" u="1"/>
        <n v="445.62" u="1"/>
        <n v="3090.9504999999999" u="1"/>
        <n v="2039.76" u="1"/>
        <n v="750.5" u="1"/>
        <n v="925.59" u="1"/>
        <n v="1336.33" u="1"/>
        <n v="1470.71" u="1"/>
        <n v="785.32" u="1"/>
        <n v="1768.84" u="1"/>
        <n v="434.9" u="1"/>
        <n v="1269.68" u="1"/>
        <n v="896.63" u="1"/>
        <n v="751.63" u="1"/>
        <n v="924.8" u="1"/>
        <n v="2199.87" u="1"/>
        <n v="2339.0500000000002" u="1"/>
        <n v="581.79999999999995" u="1"/>
        <n v="512.62" u="1"/>
        <n v="384.49" u="1"/>
        <n v="373.14" u="1"/>
        <n v="828.13" u="1"/>
        <n v="740.05" u="1"/>
        <n v="297.2" u="1"/>
        <n v="7898.6" u="1"/>
        <n v="905.76" u="1"/>
        <n v="407.28" u="1"/>
        <n v="384.48" u="1"/>
        <n v="677.08" u="1"/>
        <n v="1328.9" u="1"/>
        <n v="478.72" u="1"/>
        <n v="546.36" u="1"/>
        <n v="1928.37" u="1"/>
        <n v="1747.84" u="1"/>
        <n v="1665.9" u="1"/>
        <n v="772.08" u="1"/>
        <n v="920.9" u="1"/>
        <n v="2184.92" u="1"/>
        <n v="927.12" u="1"/>
        <n v="2398.48" u="1"/>
        <n v="1174.1199999999999" u="1"/>
        <n v="1208.32" u="1"/>
        <n v="744.72" u="1"/>
        <n v="539.52" u="1"/>
        <n v="392.84" u="1"/>
        <n v="994.9" u="1"/>
        <n v="2323.16" u="1"/>
        <n v="1135.28" u="1"/>
        <n v="2376.36" u="1"/>
        <n v="153.44" u="1"/>
        <n v="420.43" u="1"/>
        <n v="444.52" u="1"/>
        <n v="1735.76" u="1"/>
        <n v="1795.04" u="1"/>
        <n v="876.96" u="1"/>
        <n v="589.07000000000005" u="1"/>
        <n v="2030" u="1"/>
        <n v="1076.8900000000001" u="1"/>
        <n v="917.64" u="1"/>
        <n v="1168.8900000000001" u="1"/>
        <n v="708.32" u="1"/>
        <n v="961.52" u="1"/>
        <n v="825.46" u="1"/>
        <n v="713.57" u="1"/>
        <n v="576.39" u="1"/>
        <n v="2181.04" u="1"/>
        <n v="813.36" u="1"/>
        <n v="1542.64" u="1"/>
        <n v="1656.32" u="1"/>
        <n v="1884.62" u="1"/>
        <n v="1781.88" u="1"/>
        <n v="683.8" u="1"/>
        <n v="577.79999999999995" u="1"/>
        <n v="850.73" u="1"/>
        <n v="2491.08" u="1"/>
        <n v="1705.49" u="1"/>
        <n v="2168" u="1"/>
        <n v="541.5" u="1"/>
        <n v="706.76" u="1"/>
        <n v="444.42" u="1"/>
        <n v="778.89" u="1"/>
        <n v="646.9" u="1"/>
        <n v="3525.12" u="1"/>
        <n v="508" u="1"/>
        <n v="1662" u="1"/>
        <n v="1006.94" u="1"/>
        <n v="1959.675" u="1"/>
        <n v="5552.2" u="1"/>
        <n v="991.53" u="1"/>
        <n v="348.99" u="1"/>
        <n v="1066.1609000000001" u="1"/>
        <n v="470.13" u="1"/>
        <n v="581.95000000000005" u="1"/>
        <n v="528.4" u="1"/>
        <n v="805.46010000000001" u="1"/>
        <n v="1024.9713999999999" u="1"/>
        <n v="2460.3444" u="1"/>
        <n v="3780.4784" u="1"/>
        <n v="537.6558" u="1"/>
        <n v="638.44000000000005" u="1"/>
        <n v="157.19999999999999" u="1"/>
        <n v="327.1266" u="1"/>
        <n v="1177.0664999999999" u="1"/>
        <n v="1019.0898" u="1"/>
        <n v="2142" u="1"/>
        <n v="18900" u="1"/>
        <n v="13520" u="1"/>
        <n v="1889" u="1"/>
        <n v="1459.76" u="1"/>
        <n v="31.3" u="1"/>
        <n v="225.93" u="1"/>
        <n v="87.75" u="1"/>
        <n v="115.45" u="1"/>
        <n v="15312" u="1"/>
        <n v="17243.099999999999" u="1"/>
        <n v="77.42" u="1"/>
        <n v="142.16" u="1"/>
        <n v="173.42" u="1"/>
        <n v="77.819999999999993" u="1"/>
        <n v="100.25" u="1"/>
        <n v="57.04" u="1"/>
        <n v="90.22" u="1"/>
        <n v="98.46" u="1"/>
        <n v="391.28" u="1"/>
        <n v="432.06" u="1"/>
        <n v="1190.6199999999999" u="1"/>
        <n v="197.51499999999999" u="1"/>
        <n v="297.09339999999997" u="1"/>
        <n v="280.33339999999998" u="1"/>
        <n v="103.14" u="1"/>
        <n v="109" u="1"/>
        <n v="300.09500000000003" u="1"/>
        <n v="289.89999999999998" u="1"/>
        <n v="295.31" u="1"/>
        <n v="392.26659999999998" u="1"/>
        <n v="1005.94" u="1"/>
        <n v="727.44150000000002" u="1"/>
        <n v="469.38990000000001" u="1"/>
        <n v="436.46010000000001" u="1"/>
        <n v="932.79970000000003" u="1"/>
        <n v="590.10400000000004" u="1"/>
        <n v="242.88" u="1"/>
        <n v="313.39999999999998" u="1"/>
        <n v="1214.77" u="1"/>
        <n v="872.9298" u="1"/>
        <n v="586.67999999999995" u="1"/>
        <n v="2917.98" u="1"/>
        <n v="349.03" u="1"/>
        <n v="656.51199999999994" u="1"/>
        <n v="411.99990000000003" u="1"/>
        <n v="433.77" u="1"/>
        <n v="270.995" u="1"/>
        <n v="171.31" u="1"/>
        <n v="496" u="1"/>
        <n v="616" u="1"/>
        <n v="186.22" u="1"/>
        <n v="499.005" u="1"/>
        <n v="615.15" u="1"/>
        <n v="493.08" u="1"/>
        <n v="3530.13" u="1"/>
        <n v="728.76" u="1"/>
        <n v="486.48" u="1"/>
        <n v="3295.89" u="1"/>
        <n v="1344.65" u="1"/>
        <n v="788.5" u="1"/>
        <n v="116.28" u="1"/>
        <n v="266.77" u="1"/>
        <n v="320.43" u="1"/>
        <n v="957.58" u="1"/>
        <n v="1061.83" u="1"/>
        <n v="1072.19" u="1"/>
        <n v="325.23" u="1"/>
        <n v="688.8" u="1"/>
        <n v="7626.06" u="1"/>
        <n v="670.16" u="1"/>
        <n v="175.9" u="1"/>
        <n v="1420.9" u="1"/>
        <n v="913.36" u="1"/>
        <n v="634.6" u="1"/>
        <n v="206.08" u="1"/>
        <n v="523.4" u="1"/>
        <n v="293.48" u="1"/>
        <n v="6510.91" u="1"/>
        <n v="116.97" u="1"/>
        <n v="744" u="1"/>
        <n v="2400" u="1"/>
        <n v="1893.27" u="1"/>
        <n v="447.72" u="1"/>
        <n v="227.96" u="1"/>
        <n v="204.96" u="1"/>
        <n v="248.57" u="1"/>
        <n v="485.39010000000002" u="1"/>
        <n v="215.21" u="1"/>
        <n v="514.14" u="1"/>
        <n v="799.46" u="1"/>
        <n v="3609.6" u="1"/>
        <n v="1795.41" u="1"/>
        <n v="3196.05" u="1"/>
        <n v="6220.78" u="1"/>
        <n v="702" u="1"/>
        <n v="321.75" u="1"/>
        <n v="409.5" u="1"/>
        <n v="251.1" u="1"/>
        <n v="1601.88" u="1"/>
        <n v="6509.31" u="1"/>
        <n v="19793.2" u="1"/>
        <n v="2947.04" u="1"/>
        <n v="3603.64" u="1"/>
        <n v="3365.96" u="1"/>
        <n v="467.88" u="1"/>
        <n v="221.31" u="1"/>
        <n v="1197" u="1"/>
        <n v="283.2" u="1"/>
        <n v="819.21" u="1"/>
        <n v="4458.08" u="1"/>
        <n v="281.45999999999998" u="1"/>
        <n v="688.16" u="1"/>
        <n v="1284.1199999999999" u="1"/>
        <n v="518" u="1"/>
        <n v="2970" u="1"/>
        <n v="266" u="1"/>
        <n v="362" u="1"/>
        <n v="526.30999999999995" u="1"/>
        <n v="551.71" u="1"/>
        <n v="248" u="1"/>
        <n v="193.99" u="1"/>
        <n v="387.98" u="1"/>
        <n v="2428.1999999999998" u="1"/>
        <n v="2328.48" u="1"/>
        <n v="3003.06" u="1"/>
        <n v="434.15" u="1"/>
        <n v="652.79999999999995" u="1"/>
        <n v="2288.16" u="1"/>
        <n v="794.01" u="1"/>
        <n v="606.9" u="1"/>
        <n v="364.49" u="1"/>
        <n v="245.52" u="1"/>
        <n v="345" u="1"/>
        <n v="1043.1199999999999" u="1"/>
        <n v="173.25" u="1"/>
        <n v="302.05" u="1"/>
        <n v="850.5" u="1"/>
        <n v="796.5" u="1"/>
        <n v="4212.6000000000004" u="1"/>
        <n v="4102.28" u="1"/>
        <n v="206.04" u="1"/>
        <n v="906.78" u="1"/>
        <n v="316.58" u="1"/>
        <n v="1768" u="1"/>
        <n v="999.27359999999999" u="1"/>
        <n v="621.72" u="1"/>
        <n v="648.72" u="1"/>
        <n v="7335" u="1"/>
        <n v="1987.16" u="1"/>
        <n v="495.4" u="1"/>
        <n v="194.97" u="1"/>
        <n v="787.2" u="1"/>
        <n v="326.46660000000003" u="1"/>
        <n v="459.79500000000002" u="1"/>
        <n v="269.52" u="1"/>
        <n v="704.22" u="1"/>
        <n v="695.24" u="1"/>
        <n v="339.27339999999998" u="1"/>
        <n v="511.2" u="1"/>
        <n v="268.45999999999998" u="1"/>
        <n v="1796.5" u="1"/>
        <n v="2472" u="1"/>
        <n v="3229.65" u="1"/>
        <n v="628.09" u="1"/>
        <n v="1082.5" u="1"/>
        <n v="1964.78" u="1"/>
        <n v="4941.93" u="1"/>
        <n v="1087.8699999999999" u="1"/>
        <n v="984.76980000000003" u="1"/>
        <n v="1652.7" u="1"/>
        <n v="502.44" u="1"/>
        <n v="230.63" u="1"/>
        <n v="398.48" u="1"/>
        <n v="2634" u="1"/>
        <n v="3512" u="1"/>
        <n v="2606.04" u="1"/>
        <n v="1886.97" u="1"/>
        <n v="633.28" u="1"/>
        <n v="770.7" u="1"/>
        <n v="3946.05" u="1"/>
        <n v="745.07" u="1"/>
        <n v="2450.16" u="1"/>
        <n v="2098.9" u="1"/>
        <n v="9747.0300000000007" u="1"/>
        <n v="24951.17" u="1"/>
        <n v="601.08000000000004" u="1"/>
        <n v="737.12" u="1"/>
        <n v="1452.96" u="1"/>
        <n v="481" u="1"/>
        <n v="281.12" u="1"/>
        <n v="725.72" u="1"/>
        <n v="1355.76" u="1"/>
        <n v="537.24" u="1"/>
        <n v="3230.68" u="1"/>
        <n v="973.48" u="1"/>
        <n v="376.88" u="1"/>
        <n v="968.16" u="1"/>
        <n v="2050.16" u="1"/>
        <n v="547.44000000000005" u="1"/>
        <n v="2611.1999999999998" u="1"/>
        <n v="1103.44" u="1"/>
        <n v="2066.7800000000002" u="1"/>
        <n v="1431.76" u="1"/>
        <n v="1862.6" u="1"/>
        <n v="911.92" u="1"/>
        <n v="841.24" u="1"/>
        <n v="1808.64" u="1"/>
        <n v="3033.18" u="1"/>
        <n v="5366.05" u="1"/>
        <n v="773.75" u="1"/>
        <n v="3371.22" u="1"/>
        <n v="121.5" u="1"/>
        <n v="1064.8399999999999" u="1"/>
        <n v="981.8" u="1"/>
        <n v="543.79999999999995" u="1"/>
        <n v="3314.91" u="1"/>
        <n v="851" u="1"/>
        <n v="1431" u="1"/>
        <n v="1139.42" u="1"/>
        <n v="2203.2600000000002" u="1"/>
        <n v="1194.92" u="1"/>
        <n v="361.54" u="1"/>
        <n v="1442.13" u="1"/>
        <n v="4039.63" u="1"/>
        <n v="363.87" u="1"/>
        <n v="3184.65" u="1"/>
        <n v="75.58" u="1"/>
        <n v="949.53599999999994" u="1"/>
        <n v="25473.26" u="1"/>
        <n v="603" u="1"/>
        <n v="1555.14" u="1"/>
        <n v="4543.1256000000003" u="1"/>
        <n v="575" u="1"/>
        <n v="1902.4304999999999" u="1"/>
        <n v="3265.34" u="1"/>
        <n v="7750.12" u="1"/>
        <n v="6095.6" u="1"/>
        <n v="143.18" u="1"/>
        <n v="188.33" u="1"/>
        <n v="1330.89" u="1"/>
        <n v="533.12" u="1"/>
        <n v="283.18" u="1"/>
        <n v="1344.2" u="1"/>
        <n v="1465.8266000000001" u="1"/>
        <n v="1591.48" u="1"/>
        <n v="3696" u="1"/>
        <n v="121.38" u="1"/>
        <n v="107.04" u="1"/>
        <n v="4308" u="1"/>
        <n v="6287.4" u="1"/>
        <n v="2938.1" u="1"/>
        <n v="237.4" u="1"/>
        <n v="560.28" u="1"/>
        <n v="594.27" u="1"/>
        <n v="426.90989999999999" u="1"/>
        <n v="172.58" u="1"/>
        <n v="809.04" u="1"/>
        <n v="374.66" u="1"/>
        <n v="11779.194" u="1"/>
        <n v="581.952" u="1"/>
        <n v="602.16" u="1"/>
        <n v="515.96010000000001" u="1"/>
        <n v="367.57" u="1"/>
        <n v="189.70500000000001" u="1"/>
        <n v="3979.8" u="1"/>
        <n v="260.58999999999997" u="1"/>
        <n v="283.36" u="1"/>
        <n v="761.7" u="1"/>
        <n v="1064" u="1"/>
        <n v="1102.5" u="1"/>
        <n v="1400.8" u="1"/>
        <n v="383.78" u="1"/>
        <n v="274.08999999999997" u="1"/>
        <n v="292.94" u="1"/>
        <n v="588" u="1"/>
        <n v="283.14" u="1"/>
        <n v="198.9" u="1"/>
        <n v="234.6" u="1"/>
        <n v="521.17999999999995" u="1"/>
        <n v="696.62" u="1"/>
        <n v="687" u="1"/>
        <n v="9161.25" u="1"/>
        <n v="6284.4" u="1"/>
        <n v="2446" u="1"/>
        <n v="752.27009999999996" u="1"/>
        <n v="1259.9297999999999" u="1"/>
        <n v="850.91" u="1"/>
        <n v="808.48" u="1"/>
        <n v="150.83500000000001" u="1"/>
        <n v="484.35" u="1"/>
        <n v="231.57" u="1"/>
        <n v="258.45999999999998" u="1"/>
        <n v="760.43" u="1"/>
        <n v="616.71" u="1"/>
        <n v="584.17999999999995" u="1"/>
        <n v="1465.32" u="1"/>
        <n v="474.24" u="1"/>
        <n v="488.02" u="1"/>
        <n v="434.43" u="1"/>
        <n v="595.55999999999995" u="1"/>
        <n v="5118.42" u="1"/>
        <n v="231.7" u="1"/>
        <n v="734.03" u="1"/>
        <n v="318.44" u="1"/>
        <n v="317.61" u="1"/>
        <n v="451.75" u="1"/>
        <n v="697.23" u="1"/>
        <n v="1697.76" u="1"/>
        <n v="1491.8" u="1"/>
        <n v="754.56" u="1"/>
        <n v="202.4" u="1"/>
        <n v="1382.1" u="1"/>
        <n v="1716.22" u="1"/>
        <n v="983.28" u="1"/>
        <n v="704.57" u="1"/>
        <n v="2340.88" u="1"/>
        <n v="4148.83" u="1"/>
        <n v="4039.26" u="1"/>
        <n v="875.23990000000003" u="1"/>
        <n v="1468.37" u="1"/>
        <n v="508.36" u="1"/>
        <n v="1334.48" u="1"/>
        <n v="866.32" u="1"/>
        <n v="33357.07" u="1"/>
        <n v="634.29" u="1"/>
        <n v="851.12" u="1"/>
        <n v="864.8" u="1"/>
        <n v="499.24" u="1"/>
        <n v="409.56" u="1"/>
        <n v="604.12" u="1"/>
        <n v="1655.88" u="1"/>
        <n v="2389.2800000000002" u="1"/>
        <n v="1533.6" u="1"/>
        <n v="1275.3900000000001" u="1"/>
        <n v="1899.16" u="1"/>
        <n v="991.86" u="1"/>
        <n v="606.4" u="1"/>
        <n v="1139.92" u="1"/>
        <n v="23539.31" u="1"/>
        <n v="1106.83" u="1"/>
        <n v="24191.47" u="1"/>
        <n v="3279" u="1"/>
        <n v="2316.59" u="1"/>
        <n v="767.36" u="1"/>
        <n v="3423.42" u="1"/>
        <n v="1903.96" u="1"/>
        <n v="1433.28" u="1"/>
        <n v="1645.79" u="1"/>
        <n v="1167.76" u="1"/>
        <n v="719.82" u="1"/>
        <n v="5851.12" u="1"/>
        <n v="1460" u="1"/>
        <n v="3866.94" u="1"/>
        <n v="2602.797" u="1"/>
        <n v="848" u="1"/>
        <n v="87.73" u="1"/>
        <n v="95.41" u="1"/>
        <n v="295.97000000000003" u="1"/>
        <n v="676.46" u="1"/>
        <n v="2152.02" u="1"/>
        <n v="1762" u="1"/>
        <n v="6233.35" u="1"/>
        <n v="301.77" u="1"/>
        <n v="1914.54" u="1"/>
        <n v="628.74" u="1"/>
        <n v="783.99" u="1"/>
        <n v="1538.25" u="1"/>
        <n v="720.72" u="1"/>
        <n v="360.36" u="1"/>
        <n v="635.66" u="1"/>
        <n v="1079.04" u="1"/>
        <n v="8206.23" u="1"/>
        <n v="8206.25" u="1"/>
        <n v="4534.42" u="1"/>
        <n v="1210.25" u="1"/>
        <n v="932.4" u="1"/>
        <n v="525.34" u="1"/>
        <n v="1297.1668" u="1"/>
        <n v="452.12" u="1"/>
        <n v="2864.23" u="1"/>
        <n v="942.35" u="1"/>
        <n v="5549.18" u="1"/>
        <n v="193.84" u="1"/>
        <n v="1136.74" u="1"/>
        <n v="764.98" u="1"/>
        <n v="1424.72" u="1"/>
        <n v="2112.5100000000002" u="1"/>
        <n v="690.48" u="1"/>
        <n v="535.99" u="1"/>
        <n v="611.58000000000004" u="1"/>
        <n v="238.95" u="1"/>
        <n v="531.58000000000004" u="1"/>
        <n v="1227.27" u="1"/>
        <n v="1032" u="1"/>
        <n v="1125" u="1"/>
        <n v="331.8" u="1"/>
        <n v="804.15" u="1"/>
        <n v="3377.7" u="1"/>
        <n v="4153.9709999999995" u="1"/>
        <n v="1027.4299000000001" u="1"/>
        <n v="455.11" u="1"/>
        <n v="330.53" u="1"/>
        <n v="755.79" u="1"/>
        <n v="396.84" u="1"/>
        <n v="401.81" u="1"/>
        <n v="616.04" u="1"/>
        <n v="323.16000000000003" u="1"/>
        <n v="413.68" u="1"/>
        <n v="1623.16" u="1"/>
        <n v="1417.86" u="1"/>
        <n v="590.53" u="1"/>
        <n v="282.11" u="1"/>
        <n v="400.52" u="1"/>
        <n v="109.58" u="1"/>
        <n v="1162.6289999999999" u="1"/>
        <n v="697.75" u="1"/>
        <n v="48.41" u="1"/>
        <n v="53.65" u="1"/>
        <n v="190.11" u="1"/>
        <n v="220.08" u="1"/>
        <n v="201.33" u="1"/>
        <n v="1456.0898999999999" u="1"/>
        <n v="761.12" u="1"/>
        <n v="444.18" u="1"/>
        <n v="638.24" u="1"/>
        <n v="2157.1401999999998" u="1"/>
        <n v="2241.65" u="1"/>
        <n v="2621.76" u="1"/>
        <n v="908.28" u="1"/>
        <n v="557.08000000000004" u="1"/>
        <n v="201.41" u="1"/>
        <n v="175.14" u="1"/>
        <n v="202.67" u="1"/>
        <n v="214.08" u="1"/>
        <n v="2131.8000000000002" u="1"/>
        <n v="3279.6" u="1"/>
        <n v="1024.2999" u="1"/>
        <n v="399.55" u="1"/>
        <n v="687.75" u="1"/>
        <n v="2244.4602" u="1"/>
        <n v="249.56" u="1"/>
        <n v="5444.66" u="1"/>
        <n v="4815.8999999999996" u="1"/>
        <n v="2915.82" u="1"/>
        <n v="2320.02" u="1"/>
        <n v="2210.92" u="1"/>
        <n v="2999.71" u="1"/>
        <n v="1206.72" u="1"/>
        <n v="763.88" u="1"/>
        <n v="694.17" u="1"/>
        <n v="617.79999999999995" u="1"/>
        <n v="1747.66" u="1"/>
        <n v="1190.99" u="1"/>
        <n v="1537.3" u="1"/>
        <n v="565.20000000000005" u="1"/>
        <n v="827.14" u="1"/>
        <n v="599.19000000000005" u="1"/>
        <n v="192.45" u="1"/>
        <n v="522.12" u="1"/>
        <n v="739.85" u="1"/>
        <n v="607.72" u="1"/>
        <n v="234.71" u="1"/>
        <n v="434.52" u="1"/>
        <n v="706.24" u="1"/>
        <n v="705.59" u="1"/>
        <n v="1069.06" u="1"/>
        <n v="726.68" u="1"/>
        <n v="1025.52" u="1"/>
        <n v="842.02" u="1"/>
        <n v="1769.6" u="1"/>
        <n v="2208.44" u="1"/>
        <n v="559.4" u="1"/>
        <n v="443.76" u="1"/>
        <n v="765.42" u="1"/>
        <n v="537.91999999999996" u="1"/>
        <n v="446.71" u="1"/>
        <n v="487.24" u="1"/>
        <n v="295.08999999999997" u="1"/>
        <n v="507.33" u="1"/>
        <n v="271.16000000000003" u="1"/>
        <n v="1727.87" u="1"/>
        <n v="2069.4299999999998" u="1"/>
        <n v="28188" u="1"/>
        <n v="718.25" u="1"/>
        <n v="815.71" u="1"/>
        <n v="2189.4" u="1"/>
        <n v="215.76" u="1"/>
        <n v="504.5" u="1"/>
        <n v="1506.39" u="1"/>
        <n v="1406.39" u="1"/>
        <n v="593.48" u="1"/>
        <n v="357.12" u="1"/>
        <n v="379.92" u="1"/>
        <n v="221.54" u="1"/>
        <n v="1860.48" u="1"/>
        <n v="443.9" u="1"/>
        <n v="1825" u="1"/>
        <n v="43443.06" u="1"/>
        <n v="3942.77" u="1"/>
        <n v="1602" u="1"/>
        <n v="1357.64" u="1"/>
        <n v="877.21" u="1"/>
        <n v="765.19" u="1"/>
        <n v="1637.55" u="1"/>
        <n v="931.15" u="1"/>
        <n v="1360.5" u="1"/>
        <n v="1009.31" u="1"/>
        <n v="832.12" u="1"/>
        <n v="1062.4000000000001" u="1"/>
        <n v="838.96" u="1"/>
        <n v="623.73" u="1"/>
        <n v="964.36" u="1"/>
        <n v="1548.72" u="1"/>
        <n v="505.32" u="1"/>
        <n v="1997.2" u="1"/>
        <n v="2528.44" u="1"/>
        <n v="1967.5" u="1"/>
        <n v="4606.96" u="1"/>
        <n v="2106.64" u="1"/>
        <n v="646.67999999999995" u="1"/>
        <n v="1829.16" u="1"/>
        <n v="367.76" u="1"/>
        <n v="44452.66" u="1"/>
        <n v="16069.6" u="1"/>
        <n v="1982.68" u="1"/>
        <n v="391.12" u="1"/>
        <n v="634.54999999999995" u="1"/>
        <n v="3166.46" u="1"/>
        <n v="4020.11" u="1"/>
        <n v="1490.78" u="1"/>
        <n v="1908.88" u="1"/>
        <n v="1597.02" u="1"/>
        <n v="1579.15" u="1"/>
        <n v="227.29" u="1"/>
        <n v="2354.06" u="1"/>
        <n v="223.43" u="1"/>
        <n v="192.62" u="1"/>
        <n v="648.32000000000005" u="1"/>
        <n v="537.19000000000005" u="1"/>
        <n v="275.18" u="1"/>
        <n v="1402.9" u="1"/>
        <n v="1398.5" u="1"/>
        <n v="1764" u="1"/>
        <n v="163.35" u="1"/>
        <n v="14051.556" u="1"/>
        <n v="76.94" u="1"/>
        <n v="851.2" u="1"/>
        <n v="927.2" u="1"/>
        <n v="2650" u="1"/>
        <n v="811.16039999999998" u="1"/>
        <n v="506.6499" u="1"/>
        <n v="710.75" u="1"/>
        <n v="300.41000000000003" u="1"/>
        <n v="1052.4665" u="1"/>
        <n v="1289.46" u="1"/>
        <n v="1119.3599999999999" u="1"/>
        <n v="276.70659999999998" u="1"/>
        <n v="1135" u="1"/>
        <n v="173.18" u="1"/>
        <n v="359" u="1"/>
        <n v="861.87" u="1"/>
        <n v="1299.07" u="1"/>
        <n v="262.57339999999999" u="1"/>
        <n v="2126.23" u="1"/>
        <n v="397.5" u="1"/>
        <n v="791.8" u="1"/>
        <n v="924.56" u="1"/>
        <n v="320.02999999999997" u="1"/>
        <n v="583.69000000000005" u="1"/>
        <n v="942.3" u="1"/>
        <n v="730.04" u="1"/>
        <n v="385.42" u="1"/>
        <n v="577.98749999999995" u="1"/>
        <n v="449.47340000000003" u="1"/>
        <n v="174.685" u="1"/>
        <n v="411.18" u="1"/>
        <n v="514.29" u="1"/>
        <n v="626.91" u="1"/>
        <n v="821.4" u="1"/>
        <n v="505.84500000000003" u="1"/>
        <n v="152.315" u="1"/>
        <n v="627.02" u="1"/>
        <n v="505.8501" u="1"/>
        <n v="1267.93" u="1"/>
        <n v="202.88499999999999" u="1"/>
        <n v="167.9" u="1"/>
        <n v="168.42" u="1"/>
        <n v="1767.2049999999999" u="1"/>
        <n v="227.54" u="1"/>
        <n v="592.16" u="1"/>
        <n v="1085.6097" u="1"/>
        <n v="1692.58" u="1"/>
        <n v="737.83" u="1"/>
        <n v="722.11199999999997" u="1"/>
        <n v="579.99990000000003" u="1"/>
        <n v="253.54" u="1"/>
        <n v="338.47" u="1"/>
        <n v="539.23500000000001" u="1"/>
        <n v="388.52659999999997" u="1"/>
        <n v="801.29" u="1"/>
        <n v="732.63" u="1"/>
        <n v="507.84" u="1"/>
        <n v="578.36009999999999" u="1"/>
        <n v="592.16010000000006" u="1"/>
        <n v="1235.45" u="1"/>
        <n v="1700.7" u="1"/>
        <n v="576.94000000000005" u="1"/>
        <n v="734.8" u="1"/>
        <n v="265.33" u="1"/>
        <n v="1491.81" u="1"/>
        <n v="2178.16" u="1"/>
        <n v="1826.95" u="1"/>
        <n v="2508.02" u="1"/>
        <n v="2012.28" u="1"/>
        <n v="302.58999999999997" u="1"/>
        <n v="3045.78" u="1"/>
        <n v="2179.66" u="1"/>
        <n v="589.24" u="1"/>
        <n v="286.64999999999998" u="1"/>
        <n v="1717.76" u="1"/>
        <n v="708.49" u="1"/>
        <n v="1649.78" u="1"/>
        <n v="3805.38" u="1"/>
        <n v="2133.8000000000002" u="1"/>
        <n v="2585.09" u="1"/>
        <n v="2545.66" u="1"/>
        <n v="1611.12" u="1"/>
        <n v="1594.13" u="1"/>
        <n v="1203.8800000000001" u="1"/>
        <n v="495.19" u="1"/>
        <n v="1384.35" u="1"/>
        <n v="869.68" u="1"/>
        <n v="547.61" u="1"/>
        <n v="413.51" u="1"/>
        <n v="2517.02" u="1"/>
        <n v="1062.07" u="1"/>
        <n v="2277.9899999999998" u="1"/>
        <n v="2073.2600000000002" u="1"/>
        <n v="573.21" u="1"/>
        <n v="2832.7" u="1"/>
        <n v="944.86" u="1"/>
        <n v="329.91" u="1"/>
        <n v="409.99" u="1"/>
        <n v="2724.6" u="1"/>
        <n v="1949.44" u="1"/>
        <n v="950.18" u="1"/>
        <n v="4904.55" u="1"/>
        <n v="2673.6" u="1"/>
        <n v="719.64" u="1"/>
        <n v="1983.44" u="1"/>
        <n v="2278.4" u="1"/>
        <n v="2212.81" u="1"/>
        <n v="8088.35" u="1"/>
        <n v="829.5" u="1"/>
        <n v="374.96" u="1"/>
        <n v="578.24" u="1"/>
        <n v="2653.6415999999999" u="1"/>
        <n v="2983.03" u="1"/>
        <n v="1033.52" u="1"/>
        <n v="1730.44" u="1"/>
        <n v="275.02999999999997" u="1"/>
        <n v="4866.55" u="1"/>
        <n v="1818.13" u="1"/>
        <n v="1450.96" u="1"/>
        <n v="569.16" u="1"/>
        <n v="378.86" u="1"/>
        <n v="2200.88" u="1"/>
        <n v="282.64" u="1"/>
        <n v="2222.16" u="1"/>
        <n v="1139.8" u="1"/>
        <n v="276.14" u="1"/>
        <n v="2091.58" u="1"/>
        <n v="2103.1999999999998" u="1"/>
        <n v="1076.94" u="1"/>
        <n v="1706.14" u="1"/>
        <n v="1404.21" u="1"/>
        <n v="1341.03" u="1"/>
        <n v="985.8" u="1"/>
        <n v="12862.79" u="1"/>
        <n v="11460.13" u="1"/>
        <n v="293" u="1"/>
        <n v="322.3" u="1"/>
        <n v="359.37" u="1"/>
        <n v="1158.68" u="1"/>
        <n v="523.79999999999995" u="1"/>
        <n v="572" u="1"/>
        <n v="305.10000000000002" u="1"/>
        <n v="1305" u="1"/>
        <n v="194.44" u="1"/>
        <n v="714.8" u="1"/>
        <n v="619.20000000000005" u="1"/>
        <n v="586" u="1"/>
        <n v="224.47" u="1"/>
        <n v="778" u="1"/>
        <n v="274.3" u="1"/>
        <n v="594" u="1"/>
        <n v="302.39999999999998" u="1"/>
        <n v="228.9" u="1"/>
        <n v="1099.79" u="1"/>
        <n v="1225.71" u="1"/>
        <n v="514.89" u="1"/>
        <n v="1128.1600000000001" u="1"/>
        <n v="1039.78" u="1"/>
        <n v="460.9" u="1"/>
        <n v="530.03" u="1"/>
        <n v="1035.1199999999999" u="1"/>
        <n v="2155.6" u="1"/>
        <n v="1430.54" u="1"/>
        <n v="424.6" u="1"/>
        <n v="372.2" u="1"/>
        <n v="607.9" u="1"/>
        <n v="2054.02" u="1"/>
        <n v="1449.68" u="1"/>
        <n v="335.69" u="1"/>
        <n v="226" u="1"/>
        <n v="1242" u="1"/>
        <n v="696" u="1"/>
        <n v="265" u="1"/>
        <n v="374.22" u="1"/>
        <n v="658" u="1"/>
        <n v="236.5" u="1"/>
        <n v="5359" u="1"/>
        <n v="260.10000000000002" u="1"/>
        <n v="276" u="1"/>
        <n v="1000" u="1"/>
        <n v="1004.01" u="1"/>
        <n v="598.5" u="1"/>
        <n v="326" u="1"/>
        <n v="729" u="1"/>
        <n v="294" u="1"/>
        <n v="1356" u="1"/>
        <n v="629.28" u="1"/>
        <n v="729.98" u="1"/>
        <n v="735" u="1"/>
        <n v="687.5" u="1"/>
        <n v="407" u="1"/>
        <n v="270.25" u="1"/>
        <n v="464" u="1"/>
        <n v="1385.01" u="1"/>
        <n v="182" u="1"/>
        <n v="129" u="1"/>
        <n v="1040.25" u="1"/>
        <n v="495.36" u="1"/>
        <n v="225.9" u="1"/>
        <n v="318.39999999999998" u="1"/>
        <n v="406.77" u="1"/>
        <n v="1222.28" u="1"/>
        <n v="1326.98" u="1"/>
        <n v="318.89999999999998" u="1"/>
        <n v="505.28" u="1"/>
        <n v="1084.24" u="1"/>
        <n v="1887.24" u="1"/>
        <n v="6066.85" u="1"/>
        <n v="3490.85" u="1"/>
        <n v="5024.7003000000004" u="1"/>
        <n v="47.8" u="1"/>
        <n v="50.3" u="1"/>
        <n v="786.12" u="1"/>
        <n v="1120.44" u="1"/>
        <n v="1443.9" u="1"/>
        <n v="833.4" u="1"/>
        <n v="4548.0357000000004" u="1"/>
        <n v="190.92500000000001" u="1"/>
        <n v="1047.3296" u="1"/>
        <n v="847.21" u="1"/>
        <n v="6580.63" u="1"/>
        <n v="5358.67" u="1"/>
        <n v="759.23" u="1"/>
        <n v="777.06" u="1"/>
        <n v="676.5" u="1"/>
        <n v="3743.6" u="1"/>
        <n v="2008.37" u="1"/>
        <n v="1128.42" u="1"/>
        <n v="5269.0176000000001" u="1"/>
        <n v="2389.5920000000001" u="1"/>
        <n v="2750.7926000000002" u="1"/>
        <n v="569.51499999999999" u="1"/>
        <n v="593.44420000000002" u="1"/>
        <n v="1095.5999999999999" u="1"/>
        <n v="3574.9" u="1"/>
        <n v="947.1" u="1"/>
        <n v="789.6" u="1"/>
        <n v="2538.9499999999998" u="1"/>
        <n v="5082" u="1"/>
        <n v="3206" u="1"/>
        <n v="2541" u="1"/>
        <n v="1470" u="1"/>
        <n v="381.1" u="1"/>
        <n v="673.3125" u="1"/>
        <n v="3385.5390000000002" u="1"/>
        <n v="782.26" u="1"/>
        <n v="499.9701" u="1"/>
        <n v="975" u="1"/>
        <n v="376.2" u="1"/>
        <n v="2504.7199999999998" u="1"/>
        <n v="459" u="1"/>
        <n v="2122.56" u="1"/>
        <n v="1018.25" u="1"/>
        <n v="959.8" u="1"/>
        <n v="3078.8571999999999" u="1"/>
        <n v="4928.2520000000004" u="1"/>
        <n v="834.08" u="1"/>
        <n v="792.76" u="1"/>
        <n v="719.85" u="1"/>
        <n v="4024.6" u="1"/>
        <n v="9027.2000000000007" u="1"/>
        <n v="2659.68" u="1"/>
        <n v="595" u="1"/>
        <n v="718" u="1"/>
        <n v="421" u="1"/>
        <n v="3251.6640000000002" u="1"/>
        <n v="3814.8" u="1"/>
        <n v="1234.74" u="1"/>
        <n v="772.65989999999999" u="1"/>
        <n v="506.65499999999997" u="1"/>
        <n v="1146.51" u="1"/>
        <n v="1491.58" u="1"/>
        <n v="994.08989999999994" u="1"/>
        <n v="601.04999999999995" u="1"/>
        <n v="339.7" u="1"/>
        <n v="1272.6400000000001" u="1"/>
        <n v="1411.58" u="1"/>
        <n v="1554.8" u="1"/>
        <n v="133.57" u="1"/>
        <n v="395" u="1"/>
        <n v="246.17" u="1"/>
        <n v="4029.27" u="1"/>
        <n v="578.26859999999999" u="1"/>
        <n v="486.42" u="1"/>
        <n v="602.40800000000002" u="1"/>
        <n v="510.113" u="1"/>
        <n v="6034.2003000000004" u="1"/>
        <n v="2347.5639999999999" u="1"/>
        <n v="1311" u="1"/>
        <n v="339.48" u="1"/>
        <n v="447.44" u="1"/>
        <n v="876.98239999999998" u="1"/>
        <n v="1732.5044" u="1"/>
        <n v="300.3" u="1"/>
        <n v="1298" u="1"/>
        <n v="6692.8860000000004" u="1"/>
        <n v="2981.8842" u="1"/>
        <n v="1314.75" u="1"/>
        <n v="879.64800000000002" u="1"/>
        <n v="352.8" u="1"/>
        <n v="385.767" u="1"/>
        <n v="543.84" u="1"/>
        <n v="748.60500000000002" u="1"/>
        <n v="1308.75" u="1"/>
        <n v="869.01" u="1"/>
        <n v="1312.6848" u="1"/>
        <n v="10596.64" u="1"/>
        <n v="5596.8555999999999" u="1"/>
        <n v="252.21" u="1"/>
        <n v="1027.4218000000001" u="1"/>
        <n v="1138.1300000000001" u="1"/>
        <n v="588.67499999999995" u="1"/>
        <n v="542.32500000000005" u="1"/>
        <n v="619.91" u="1"/>
        <n v="1230.2" u="1"/>
        <n v="542.62" u="1"/>
        <n v="304.45" u="1"/>
        <n v="2910.05" u="1"/>
        <n v="884.76" u="1"/>
        <n v="967.11" u="1"/>
        <n v="1827.76" u="1"/>
        <n v="211.4" u="1"/>
        <n v="765.6" u="1"/>
        <n v="4096.8" u="1"/>
        <n v="460.7" u="1"/>
        <n v="788.28" u="1"/>
        <n v="3879.3" u="1"/>
        <n v="834.6" u="1"/>
        <n v="414.73" u="1"/>
        <n v="535" u="1"/>
        <n v="2170" u="1"/>
        <n v="248.25" u="1"/>
        <n v="380.97" u="1"/>
        <n v="17470.98" u="1"/>
        <n v="564.22" u="1"/>
        <n v="1738.5599" u="1"/>
        <n v="2213.2698" u="1"/>
        <n v="332.33" u="1"/>
        <n v="484.36" u="1"/>
        <n v="400.21" u="1"/>
        <n v="581.13599999999997" u="1"/>
        <n v="830.1" u="1"/>
        <n v="288.2" u="1"/>
        <n v="202.2" u="1"/>
        <n v="15013.56" u="1"/>
        <n v="348.22" u="1"/>
        <n v="1022" u="1"/>
        <n v="383.18" u="1"/>
        <n v="1573.04" u="1"/>
        <n v="255.1" u="1"/>
        <n v="299.01" u="1"/>
        <n v="93.5" u="1"/>
        <n v="992" u="1"/>
        <n v="629.16" u="1"/>
        <n v="953.49" u="1"/>
        <n v="547.53" u="1"/>
        <n v="360.8" u="1"/>
        <n v="410.18" u="1"/>
        <n v="969" u="1"/>
        <n v="1066.8599999999999" u="1"/>
        <n v="1096.2" u="1"/>
        <n v="1044.54" u="1"/>
        <n v="636.66" u="1"/>
        <n v="1797.76" u="1"/>
        <n v="728.03" u="1"/>
        <n v="1044" u="1"/>
        <n v="686" u="1"/>
        <n v="935" u="1"/>
        <n v="420.66" u="1"/>
        <n v="7000" u="1"/>
        <n v="170.22" u="1"/>
        <n v="187.23" u="1"/>
        <n v="49.39" u="1"/>
        <n v="62.51" u="1"/>
        <n v="85.5" u="1"/>
        <n v="92.44" u="1"/>
        <n v="87.85" u="1"/>
        <n v="68.989999999999995" u="1"/>
        <n v="54" u="1"/>
        <n v="45.14" u="1"/>
        <n v="111.22" u="1"/>
        <n v="91.21" u="1"/>
        <n v="105.8" u="1"/>
        <n v="115.1" u="1"/>
        <n v="95.2" u="1"/>
        <n v="80.260000000000005" u="1"/>
        <n v="44.4" u="1"/>
        <n v="129.74" u="1"/>
        <n v="103.95" u="1"/>
        <n v="3009.6" u="1"/>
        <n v="3862.4753999999998" u="1"/>
        <n v="4090.2516000000001" u="1"/>
        <n v="420.54" u="1"/>
        <n v="762.42" u="1"/>
        <n v="515.05999999999995" u="1"/>
        <n v="324.55" u="1"/>
        <n v="352.35" u="1"/>
        <n v="712.54" u="1"/>
        <n v="746.46" u="1"/>
        <n v="942.48" u="1"/>
        <n v="575.66999999999996" u="1"/>
        <n v="399.92" u="1"/>
        <n v="3012.9090000000001" u="1"/>
        <n v="689.78399999999999" u="1"/>
        <n v="7762.8050999999996" u="1"/>
        <n v="7839.7889999999998" u="1"/>
        <n v="3595.16" u="1"/>
        <n v="709.78" u="1"/>
        <n v="603.20000000000005" u="1"/>
        <n v="190.96" u="1"/>
        <n v="382" u="1"/>
        <n v="385.62" u="1"/>
        <n v="2587.1999999999998" u="1"/>
        <n v="3920" u="1"/>
        <n v="797.71019999999999" u="1"/>
        <n v="1997.16" u="1"/>
        <n v="7489.35" u="1"/>
        <n v="3667.5120000000002" u="1"/>
        <n v="932.08" u="1"/>
        <n v="401.85" u="1"/>
        <n v="384.75" u="1"/>
        <n v="5507.9901" u="1"/>
        <n v="793.05" u="1"/>
        <n v="6443.8395" u="1"/>
        <n v="3637.5001999999999" u="1"/>
        <n v="184" u="1"/>
        <n v="403.58" u="1"/>
        <n v="287.77999999999997" u="1"/>
        <n v="454.99" u="1"/>
        <n v="288.25" u="1"/>
        <n v="214.09" u="1"/>
        <n v="446.76659999999998" u="1"/>
        <n v="597.36990000000003" u="1"/>
        <n v="666.76" u="1"/>
        <n v="476.6" u="1"/>
        <n v="204.25" u="1"/>
        <n v="250.72499999999999" u="1"/>
        <n v="927.9665" u="1"/>
        <n v="1372.8701000000001" u="1"/>
        <n v="544.98749999999995" u="1"/>
        <n v="342" u="1"/>
        <n v="92.95" u="1"/>
        <n v="90.87" u="1"/>
        <n v="274.52999999999997" u="1"/>
        <n v="162.57" u="1"/>
        <n v="3762.3" u="1"/>
        <n v="638.63" u="1"/>
        <n v="613.64" u="1"/>
        <n v="405.58" u="1"/>
        <n v="1980.72" u="1"/>
        <n v="584.52" u="1"/>
        <n v="429.26" u="1"/>
        <n v="1437.94" u="1"/>
        <n v="1499.6" u="1"/>
        <n v="395.17" u="1"/>
        <n v="358.05" u="1"/>
        <n v="684.75" u="1"/>
        <n v="247.42" u="1"/>
        <n v="3928.0385999999999" u="1"/>
        <n v="624.72" u="1"/>
        <n v="2875.6" u="1"/>
        <n v="645.98" u="1"/>
        <n v="500.2" u="1"/>
        <n v="174.32" u="1"/>
        <n v="677.4" u="1"/>
        <n v="238.91" u="1"/>
        <n v="521.99" u="1"/>
        <n v="727.72" u="1"/>
        <n v="1648.6" u="1"/>
        <n v="572.36" u="1"/>
        <n v="954.04" u="1"/>
        <n v="1419.56" u="1"/>
        <n v="925.52" u="1"/>
        <n v="948" u="1"/>
        <n v="1785.49" u="1"/>
        <n v="753.48" u="1"/>
        <n v="560.53" u="1"/>
        <n v="1077.8" u="1"/>
        <n v="670.99" u="1"/>
        <n v="317.75" u="1"/>
        <n v="266.76" u="1"/>
        <n v="608.67999999999995" u="1"/>
        <n v="587.70000000000005" u="1"/>
        <n v="659.62" u="1"/>
        <n v="600.72" u="1"/>
        <n v="644" u="1"/>
        <n v="617.89" u="1"/>
        <n v="579.9" u="1"/>
        <n v="780.9" u="1"/>
        <n v="1163.8399999999999" u="1"/>
        <n v="1136.04" u="1"/>
        <n v="323.75" u="1"/>
        <n v="3600" u="1"/>
        <n v="707.86" u="1"/>
        <n v="2219.38" u="1"/>
        <n v="2749.95" u="1"/>
        <n v="3689.58" u="1"/>
        <n v="23085.7" u="1"/>
        <n v="2499.9" u="1"/>
        <n v="840.19" u="1"/>
        <n v="6799.7" u="1"/>
        <n v="7791.3119999999999" u="1"/>
        <n v="970" u="1"/>
        <n v="271.33999999999997" u="1"/>
        <n v="224.88" u="1"/>
        <n v="1130.08" u="1"/>
        <n v="15685.369000000001" u="1"/>
        <n v="1314" u="1"/>
        <n v="2531.4299999999998" u="1"/>
        <n v="1700.21" u="1"/>
        <n v="3638.59" u="1"/>
        <n v="378.18" u="1"/>
        <n v="6383.52" u="1"/>
        <n v="6625.56" u="1"/>
        <n v="6258.93" u="1"/>
        <n v="868.31" u="1"/>
        <n v="244" u="1"/>
        <n v="5391.39" u="1"/>
        <n v="2669.48" u="1"/>
        <n v="267.60000000000002" u="1"/>
        <n v="1254.2" u="1"/>
        <n v="312.12" u="1"/>
        <n v="413.1" u="1"/>
        <n v="1728" u="1"/>
        <n v="3802.04" u="1"/>
        <n v="1076.51" u="1"/>
        <n v="1275.78" u="1"/>
        <n v="5323.78" u="1"/>
        <n v="3841.47" u="1"/>
        <n v="414" u="1"/>
        <n v="5475.15" u="1"/>
        <n v="2369.6" u="1"/>
        <n v="8295.2489999999998" u="1"/>
        <n v="1938.3184000000001" u="1"/>
        <n v="242.1" u="1"/>
        <n v="511.1" u="1"/>
        <n v="240.56" u="1"/>
        <n v="354" u="1"/>
        <n v="657" u="1"/>
        <n v="4749.76" u="1"/>
        <n v="1782.65" u="1"/>
        <n v="1301.32" u="1"/>
        <n v="11040" u="1"/>
        <n v="4586.5200000000004" u="1"/>
        <n v="501.29309999999998" u="1"/>
        <n v="3260.8310000000001" u="1"/>
        <n v="1590" u="1"/>
        <n v="17586.986400000002" u="1"/>
        <n v="7917.9449999999997" u="1"/>
        <n v="205.61" u="1"/>
        <n v="18916.02" u="1"/>
        <n v="4444.7" u="1"/>
        <n v="45.76" u="1"/>
        <n v="42.77" u="1"/>
        <n v="677.26" u="1"/>
        <n v="442.8" u="1"/>
        <n v="250.25" u="1"/>
        <n v="796.95" u="1"/>
        <n v="233" u="1"/>
        <n v="287.5" u="1"/>
        <n v="2310" u="1"/>
        <n v="224.89" u="1"/>
        <n v="1367" u="1"/>
        <n v="1145.0999999999999" u="1"/>
        <n v="5294" u="1"/>
        <n v="3832.7" u="1"/>
        <n v="7848.32" u="1"/>
        <n v="964.07" u="1"/>
        <n v="9432.91" u="1"/>
        <n v="3964.86" u="1"/>
        <n v="3665.9" u="1"/>
        <n v="1765.07" u="1"/>
        <n v="2084.326" u="1"/>
        <n v="1498.07" u="1"/>
        <n v="2433.15" u="1"/>
        <n v="355.71" u="1"/>
        <n v="951.66" u="1"/>
        <n v="1732.5" u="1"/>
        <n v="5582.5" u="1"/>
        <n v="5462.81" u="1"/>
        <n v="3680.05" u="1"/>
        <n v="6778.5" u="1"/>
        <n v="319" u="1"/>
        <n v="346.75" u="1"/>
        <n v="427" u="1"/>
        <n v="1236.99" u="1"/>
        <n v="1095" u="1"/>
        <n v="5874.17" u="1"/>
        <n v="3054.99" u="1"/>
        <n v="385.93" u="1"/>
        <n v="509.36" u="1"/>
        <n v="398.92" u="1"/>
        <n v="430.23" u="1"/>
        <n v="2681.14" u="1"/>
        <n v="1045.71" u="1"/>
        <n v="2258.5500000000002" u="1"/>
        <n v="447.39" u="1"/>
        <n v="1206.76" u="1"/>
        <n v="378.55" u="1"/>
        <n v="1260.08" u="1"/>
        <n v="870.3" u="1"/>
        <n v="1708.05" u="1"/>
        <n v="968.07" u="1"/>
        <n v="968.09" u="1"/>
        <n v="1134.7" u="1"/>
        <n v="889.8" u="1"/>
        <n v="1031.79" u="1"/>
        <n v="1107.6099999999999" u="1"/>
        <n v="939.28" u="1"/>
        <n v="660.02" u="1"/>
        <n v="1268.44" u="1"/>
        <n v="231.215" u="1"/>
        <n v="40161.96" u="1"/>
        <n v="368.17" u="1"/>
        <n v="1107.24" u="1"/>
        <n v="2706.87" u="1"/>
        <n v="2698.06" u="1"/>
        <n v="30249.16" u="1"/>
        <n v="1284.5999999999999" u="1"/>
        <n v="2530.5" u="1"/>
        <n v="543.12" u="1"/>
        <n v="13058.38" u="1"/>
        <n v="2304" u="1"/>
        <n v="494.94499999999999" u="1"/>
        <n v="239.95" u="1"/>
        <n v="839.96" u="1"/>
        <n v="1268.96" u="1"/>
        <n v="1167.2639999999999" u="1"/>
        <n v="586.07000000000005" u="1"/>
        <n v="400.33" u="1"/>
        <n v="819.976" u="1"/>
        <n v="385.53" u="1"/>
        <n v="691.48" u="1"/>
        <n v="1024.6199999999999" u="1"/>
        <n v="3082.44" u="1"/>
        <n v="1161.48" u="1"/>
        <n v="175.29" u="1"/>
        <n v="229.02500000000001" u="1"/>
        <n v="102.9" u="1"/>
        <n v="96.44" u="1"/>
        <n v="62.98" u="1"/>
        <n v="63.08" u="1"/>
        <n v="2135.5700000000002" u="1"/>
        <n v="2495.9899999999998" u="1"/>
        <n v="449.74" u="1"/>
        <n v="449.71" u="1"/>
        <n v="2157.0700000000002" u="1"/>
        <n v="449.89" u="1"/>
        <n v="449.67" u="1"/>
        <n v="449.44" u="1"/>
        <n v="420.16" u="1"/>
        <n v="632" u="1"/>
        <n v="1061.01" u="1"/>
        <n v="314.10000000000002" u="1"/>
        <n v="744.45" u="1"/>
        <n v="480.46" u="1"/>
        <n v="626.28" u="1"/>
        <n v="1507.38" u="1"/>
        <n v="998.36" u="1"/>
        <n v="931.55" u="1"/>
        <n v="3570" u="1"/>
        <n v="209.6" u="1"/>
        <n v="612.09" u="1"/>
        <n v="609.10400000000004" u="1"/>
        <n v="893.81650000000002" u="1"/>
        <n v="205.08500000000001" u="1"/>
        <n v="622.20000000000005" u="1"/>
        <n v="868.048" u="1"/>
        <n v="552.08249999999998" u="1"/>
        <n v="358.3" u="1"/>
        <n v="3051.51" u="1"/>
        <n v="133.84" u="1"/>
        <n v="117.03" u="1"/>
        <n v="205.64" u="1"/>
        <n v="105.06" u="1"/>
        <n v="128.41999999999999" u="1"/>
        <n v="295.47000000000003" u="1"/>
        <n v="4105.9893000000002" u="1"/>
        <n v="366.67" u="1"/>
        <n v="617.67999999999995" u="1"/>
        <n v="663.55" u="1"/>
        <n v="574.1925" u="1"/>
        <n v="189.11" u="1"/>
        <n v="214.63" u="1"/>
        <n v="865.47199999999998" u="1"/>
        <n v="290.57" u="1"/>
        <n v="3238.82" u="1"/>
        <n v="2223.23" u="1"/>
        <n v="703.02" u="1"/>
        <n v="1147.3399999999999" u="1"/>
        <n v="1232.45" u="1"/>
        <n v="527.04999999999995" u="1"/>
        <n v="670.38" u="1"/>
        <n v="883.39" u="1"/>
        <n v="3670.28" u="1"/>
        <n v="1110.3800000000001" u="1"/>
        <n v="722.97" u="1"/>
        <n v="480.45" u="1"/>
        <n v="920.76" u="1"/>
        <n v="353.88" u="1"/>
        <n v="77.900000000000006" u="1"/>
        <n v="112.41" u="1"/>
        <n v="278.93" u="1"/>
        <n v="312.24" u="1"/>
        <n v="906.31" u="1"/>
        <n v="770.56" u="1"/>
        <n v="754.18" u="1"/>
        <n v="879.99" u="1"/>
        <n v="1279.46" u="1"/>
        <n v="1136.44" u="1"/>
        <n v="674.35" u="1"/>
        <n v="829.54" u="1"/>
        <n v="529.24" u="1"/>
        <n v="2419.7399999999998" u="1"/>
        <n v="613.52" u="1"/>
        <n v="191.8" u="1"/>
        <n v="116.89" u="1"/>
        <n v="637.35" u="1"/>
        <n v="784.2" u="1"/>
        <n v="704.89" u="1"/>
        <n v="527.91999999999996" u="1"/>
        <n v="498.16" u="1"/>
        <n v="1067.32" u="1"/>
        <n v="183" u="1"/>
        <n v="520.9" u="1"/>
        <n v="2016" u="1"/>
        <n v="362.9" u="1"/>
        <n v="200.4" u="1"/>
        <n v="503.48" u="1"/>
        <n v="1477.92" u="1"/>
        <n v="2895.75" u="1"/>
        <n v="580.69000000000005" u="1"/>
        <n v="2534.52" u="1"/>
        <n v="1485.92" u="1"/>
        <n v="1169.56" u="1"/>
        <n v="2969.9009999999998" u="1"/>
        <n v="2530.4189999999999" u="1"/>
        <n v="4639.1014999999998" u="1"/>
        <n v="603.95000000000005" u="1"/>
        <n v="956.7" u="1"/>
        <n v="898.58" u="1"/>
        <n v="1924.5105000000001" u="1"/>
        <n v="3622.1696000000002" u="1"/>
        <n v="2399.04" u="1"/>
        <n v="2028.7103" u="1"/>
        <n v="1688.2293999999999" u="1"/>
        <n v="762.85" u="1"/>
        <n v="700.36" u="1"/>
        <n v="223.66" u="1"/>
        <n v="545.32000000000005" u="1"/>
        <n v="986.39099999999996" u="1"/>
        <n v="1047.1099999999999" u="1"/>
        <n v="490.68990000000002" u="1"/>
        <n v="1671.9504999999999" u="1"/>
        <n v="2213.9724000000001" u="1"/>
        <n v="10763.04" u="1"/>
        <n v="677.8" u="1"/>
        <n v="13899" u="1"/>
        <n v="515.36" u="1"/>
        <n v="1384.9197999999999" u="1"/>
        <n v="533.64" u="1"/>
        <n v="462.19" u="1"/>
        <n v="1025.0999999999999" u="1"/>
        <n v="592.85" u="1"/>
        <n v="973" u="1"/>
        <n v="4389.78" u="1"/>
        <n v="8644" u="1"/>
        <n v="2171.1039999999998" u="1"/>
        <n v="621.52" u="1"/>
        <n v="1709.3" u="1"/>
        <n v="1046.8240000000001" u="1"/>
        <n v="186.05" u="1"/>
        <n v="412.85" u="1"/>
        <n v="637.2201" u="1"/>
        <n v="594.57000000000005" u="1"/>
        <n v="755.40989999999999" u="1"/>
        <n v="6007.52" u="1"/>
        <n v="1126.06" u="1"/>
        <n v="1203.675" u="1"/>
        <n v="895.65" u="1"/>
        <n v="695.42250000000001" u="1"/>
        <n v="2225.2302" u="1"/>
        <n v="524.67999999999995" u="1"/>
        <n v="635.40989999999999" u="1"/>
        <n v="596.30010000000004" u="1"/>
        <n v="748.74400000000003" u="1"/>
        <n v="456.49" u="1"/>
        <n v="1077.3398999999999" u="1"/>
        <n v="542.61" u="1"/>
        <n v="517.54999999999995" u="1"/>
        <n v="503.29500000000002" u="1"/>
        <n v="247.48" u="1"/>
        <n v="412.78" u="1"/>
        <n v="257.08" u="1"/>
        <n v="1284.0597" u="1"/>
        <n v="581.44000000000005" u="1"/>
        <n v="206.39" u="1"/>
        <n v="1324.47" u="1"/>
        <n v="904.96" u="1"/>
        <n v="972.27970000000005" u="1"/>
        <n v="1162.5803000000001" u="1"/>
        <n v="708.21600000000001" u="1"/>
        <n v="513.26400000000001" u="1"/>
        <n v="565.65" u="1"/>
        <n v="1476.3" u="1"/>
        <n v="1178.2750000000001" u="1"/>
        <n v="1527.66" u="1"/>
        <n v="310.3" u="1"/>
        <n v="402" u="1"/>
        <n v="594.92160000000001" u="1"/>
        <n v="675.27" u="1"/>
        <n v="666.99" u="1"/>
        <n v="752.80499999999995" u="1"/>
        <n v="358.69" u="1"/>
        <n v="3737.4" u="1"/>
        <n v="534.51" u="1"/>
        <n v="364.5" u="1"/>
        <n v="3365.8912" u="1"/>
        <n v="2785.28" u="1"/>
        <n v="2479.0111000000002" u="1"/>
        <n v="228.245" u="1"/>
        <n v="2818.24" u="1"/>
        <n v="4807.7903999999999" u="1"/>
        <n v="715.04" u="1"/>
        <n v="206.98500000000001" u="1"/>
        <n v="171.11" u="1"/>
        <n v="865.02" u="1"/>
        <n v="883.92" u="1"/>
        <n v="2776.7208000000001" u="1"/>
        <n v="1038.1386" u="1"/>
        <n v="828.06" u="1"/>
        <n v="62.72" u="1"/>
        <n v="448.21" u="1"/>
        <n v="186.36" u="1"/>
        <n v="620.54" u="1"/>
        <n v="710" u="1"/>
        <n v="502.47" u="1"/>
        <n v="209.02" u="1"/>
        <n v="472.04" u="1"/>
        <n v="3000" u="1"/>
        <n v="51.09" u="1"/>
        <n v="175.89" u="1"/>
        <n v="708.83" u="1"/>
        <n v="1472.64" u="1"/>
        <n v="2984.43" u="1"/>
        <n v="1512" u="1"/>
        <n v="256.67" u="1"/>
        <n v="219.35" u="1"/>
        <n v="347.6" u="1"/>
        <n v="374.3734" u="1"/>
        <n v="467.30250000000001" u="1"/>
        <n v="524.13" u="1"/>
        <n v="549.39" u="1"/>
        <n v="397.88" u="1"/>
        <n v="755.58" u="1"/>
        <n v="796" u="1"/>
        <n v="494.5" u="1"/>
        <n v="150.44999999999999" u="1"/>
        <n v="219.6" u="1"/>
        <n v="4110" u="1"/>
        <n v="706.86" u="1"/>
        <n v="406.88" u="1"/>
        <n v="599.46" u="1"/>
        <n v="389.11340000000001" u="1"/>
        <n v="1005.22" u="1"/>
        <n v="602.88" u="1"/>
        <n v="473.33339999999998" u="1"/>
        <n v="622.94399999999996" u="1"/>
        <n v="215.14" u="1"/>
        <n v="536.28989999999999" u="1"/>
        <n v="337.27" u="1"/>
        <n v="775.66" u="1"/>
        <n v="226.72" u="1"/>
        <n v="512.76990000000001" u="1"/>
        <n v="624.74" u="1"/>
        <n v="439.64" u="1"/>
        <n v="1325.61" u="1"/>
        <n v="558.3999" u="1"/>
        <n v="1488.2550000000001" u="1"/>
        <n v="335.52659999999997" u="1"/>
        <n v="1130.7" u="1"/>
        <n v="482.94400000000002" u="1"/>
        <n v="452.76" u="1"/>
        <n v="736.11199999999997" u="1"/>
        <n v="815.27009999999996" u="1"/>
        <n v="781.83" u="1"/>
        <n v="977.80799999999999" u="1"/>
        <n v="380.6866" u="1"/>
        <n v="921.60990000000004" u="1"/>
        <n v="363.17" u="1"/>
        <n v="552.75" u="1"/>
        <n v="327.11" u="1"/>
        <n v="356.59" u="1"/>
        <n v="285.64" u="1"/>
        <n v="482.8125" u="1"/>
        <n v="248.83" u="1"/>
        <n v="264.36" u="1"/>
        <n v="333.06659999999999" u="1"/>
        <n v="219.39500000000001" u="1"/>
        <n v="12079.34" u="1"/>
        <n v="227.64" u="1"/>
        <n v="683.14" u="1"/>
        <n v="266.74" u="1"/>
        <n v="449.73" u="1"/>
        <n v="380.67340000000002" u="1"/>
        <n v="942.9" u="1"/>
        <n v="272.62" u="1"/>
        <n v="404.6" u="1"/>
        <n v="251.59" u="1"/>
        <n v="2358.46" u="1"/>
        <n v="2729.8240000000001" u="1"/>
        <n v="1997.6597999999999" u="1"/>
        <n v="724.72799999999995" u="1"/>
        <n v="1112.6101000000001" u="1"/>
        <n v="282.29000000000002" u="1"/>
        <n v="896.22" u="1"/>
        <n v="344.57" u="1"/>
        <n v="344.41" u="1"/>
        <n v="120.79" u="1"/>
        <n v="400.9599" u="1"/>
        <n v="900.16" u="1"/>
        <n v="765.59" u="1"/>
        <n v="282.52" u="1"/>
        <n v="428.18" u="1"/>
        <n v="208.24" u="1"/>
        <n v="717.48" u="1"/>
        <n v="285.63" u="1"/>
        <n v="416.48" u="1"/>
        <n v="225.04" u="1"/>
        <n v="913" u="1"/>
        <n v="1369.5" u="1"/>
        <n v="824.76" u="1"/>
        <n v="441.93" u="1"/>
        <n v="636.4" u="1"/>
        <n v="2600.0100000000002" u="1"/>
        <n v="1182.58" u="1"/>
        <n v="790.84" u="1"/>
        <n v="7639.46" u="1"/>
        <n v="6853.44" u="1"/>
        <n v="8372.24" u="1"/>
        <n v="1430.85" u="1"/>
        <n v="2284.7199999999998" u="1"/>
        <n v="350.38" u="1"/>
        <n v="256.04000000000002" u="1"/>
        <n v="326.72000000000003" u="1"/>
        <n v="1250.04" u="1"/>
        <n v="7688.17" u="1"/>
        <n v="832.8" u="1"/>
        <n v="2387.8000000000002" u="1"/>
        <n v="1311.42" u="1"/>
        <n v="859" u="1"/>
        <n v="2323.6799999999998" u="1"/>
        <n v="756.78" u="1"/>
        <n v="581.55999999999995" u="1"/>
        <n v="214.1" u="1"/>
        <n v="136.62" u="1"/>
        <n v="229.66" u="1"/>
        <n v="2394" u="1"/>
        <n v="838.82" u="1"/>
        <n v="2412.0221999999999" u="1"/>
        <n v="1220.0001" u="1"/>
        <n v="664.4" u="1"/>
        <n v="330.63" u="1"/>
        <n v="1929.06" u="1"/>
        <n v="357.41" u="1"/>
        <n v="626" u="1"/>
        <n v="526.21" u="1"/>
        <n v="1589.52" u="1"/>
        <n v="846.44" u="1"/>
        <n v="634.87" u="1"/>
        <n v="694.23" u="1"/>
        <n v="281.25" u="1"/>
        <n v="217.72" u="1"/>
        <n v="658.2" u="1"/>
        <n v="1081.44" u="1"/>
        <n v="557.77" u="1"/>
        <n v="629.07000000000005" u="1"/>
        <n v="3195" u="1"/>
        <n v="321.66000000000003" u="1"/>
        <n v="70" u="1"/>
        <n v="2130" u="1"/>
        <n v="1141.3399999999999" u="1"/>
        <n v="678.19" u="1"/>
        <n v="656.98" u="1"/>
        <n v="660.47" u="1"/>
        <n v="1204" u="1"/>
        <n v="70.88" u="1"/>
        <n v="1250" u="1"/>
        <n v="4985.5" u="1"/>
        <n v="307.99" u="1"/>
        <n v="1602.8298" u="1"/>
        <n v="730.65" u="1"/>
        <n v="788.9" u="1"/>
        <n v="258.82" u="1"/>
        <n v="353.7" u="1"/>
        <n v="707.4" u="1"/>
        <n v="353.08" u="1"/>
        <n v="532.5" u="1"/>
        <n v="330.15" u="1"/>
        <n v="1058.75" u="1"/>
        <n v="3012" u="1"/>
        <n v="156.5" u="1"/>
        <n v="260.69" u="1"/>
        <n v="321.2" u="1"/>
        <n v="573.75" u="1"/>
        <n v="3369" u="1"/>
        <n v="295.5" u="1"/>
        <n v="203.53" u="1"/>
        <n v="189.98" u="1"/>
        <n v="81.75" u="1"/>
        <n v="130.97999999999999" u="1"/>
        <n v="172.71" u="1"/>
        <n v="9287.5" u="1"/>
        <n v="243.98" u="1"/>
        <n v="541.92989999999998" u="1"/>
        <n v="494.22" u="1"/>
        <n v="303.94659999999999" u="1"/>
        <n v="713.16800000000001" u="1"/>
        <n v="625.92989999999998" u="1"/>
        <n v="652.64800000000002" u="1"/>
        <n v="822" u="1"/>
        <n v="317.10000000000002" u="1"/>
        <n v="566" u="1"/>
        <n v="346.5" u="1"/>
        <n v="589.6" u="1"/>
        <n v="600.6" u="1"/>
        <n v="280.5" u="1"/>
        <n v="722.7" u="1"/>
        <n v="1251.95" u="1"/>
        <n v="1968" u="1"/>
        <n v="311.06" u="1"/>
        <n v="325.76" u="1"/>
        <n v="1218" u="1"/>
        <n v="642.6" u="1"/>
        <n v="475.76" u="1"/>
        <n v="1870.95" u="1"/>
        <n v="1425.34" u="1"/>
        <n v="781.42" u="1"/>
        <n v="707.58" u="1"/>
        <n v="501.22" u="1"/>
        <n v="994.43" u="1"/>
        <n v="450.16" u="1"/>
        <n v="450.14" u="1"/>
        <n v="224.12" u="1"/>
        <n v="2188.2600000000002" u="1"/>
        <n v="463.44" u="1"/>
        <n v="857" u="1"/>
        <n v="1712.9748" u="1"/>
        <n v="2452.36" u="1"/>
        <n v="2839.6016" u="1"/>
        <n v="450.27" u="1"/>
        <n v="449.85" u="1"/>
        <n v="2053.44" u="1"/>
        <n v="5788.07" u="1"/>
        <n v="262" u="1"/>
        <n v="930.9" u="1"/>
        <n v="312.01" u="1"/>
        <n v="89.9" u="1"/>
        <n v="422.45" u="1"/>
        <n v="246.9" u="1"/>
        <n v="374.4" u="1"/>
        <n v="425" u="1"/>
        <n v="202.74" u="1"/>
        <n v="397.62" u="1"/>
        <n v="438.416" u="1"/>
        <n v="1350.2686000000001" u="1"/>
        <n v="1217.25" u="1"/>
        <n v="1839.5" u="1"/>
        <n v="1206" u="1"/>
        <n v="1419" u="1"/>
        <n v="1624" u="1"/>
        <n v="1663.8" u="1"/>
        <n v="1584.15" u="1"/>
        <n v="3969" u="1"/>
        <n v="2919" u="1"/>
        <n v="5076.5" u="1"/>
        <n v="24.7" u="1"/>
        <n v="336.4" u="1"/>
        <n v="1671.74" u="1"/>
        <n v="1290.48" u="1"/>
        <n v="1752.31" u="1"/>
        <n v="4766.25" u="1"/>
        <n v="1798.03" u="1"/>
        <n v="1318.83" u="1"/>
        <n v="2125" u="1"/>
        <n v="4687.8" u="1"/>
        <n v="2699.74" u="1"/>
        <n v="1725.07" u="1"/>
        <n v="4198.83" u="1"/>
        <n v="2143.71" u="1"/>
        <n v="4671.2299999999996" u="1"/>
        <n v="955.61" u="1"/>
        <n v="2613.66" u="1"/>
        <n v="3777.63" u="1"/>
        <n v="2286.71" u="1"/>
        <n v="1248.21" u="1"/>
        <n v="370.69" u="1"/>
        <n v="1544.34" u="1"/>
        <n v="1544.35" u="1"/>
        <n v="1981.87" u="1"/>
        <n v="907.03" u="1"/>
        <n v="308.79000000000002" u="1"/>
        <n v="300.89999999999998" u="1"/>
        <n v="2751.2" u="1"/>
        <n v="2195.56" u="1"/>
        <n v="1111.8282999999999" u="1"/>
        <n v="1495.33" u="1"/>
        <n v="3287.01" u="1"/>
        <n v="695.36" u="1"/>
        <n v="762.12" u="1"/>
        <n v="1080.56" u="1"/>
        <n v="286.44" u="1"/>
        <n v="2026.92" u="1"/>
        <n v="475.08" u="1"/>
        <n v="1608.08" u="1"/>
        <n v="1513.84" u="1"/>
        <n v="2791.48" u="1"/>
        <n v="2096.2199999999998" u="1"/>
        <n v="441" u="1"/>
        <n v="1180.49" u="1"/>
        <n v="1435.21" u="1"/>
        <n v="1890.42" u="1"/>
        <n v="2236.9899999999998" u="1"/>
        <n v="2893.44" u="1"/>
        <n v="2291.0500000000002" u="1"/>
        <n v="1927.9" u="1"/>
        <n v="1487.74" u="1"/>
        <n v="664.89" u="1"/>
        <n v="896.44" u="1"/>
        <n v="3572.03" u="1"/>
        <n v="3222.03" u="1"/>
        <n v="892.5" u="1"/>
        <n v="2271.5" u="1"/>
        <n v="634.86" u="1"/>
        <n v="776.28210000000001" u="1"/>
        <n v="6433.76" u="1"/>
        <n v="345.29" u="1"/>
        <n v="2968.8960000000002" u="1"/>
        <n v="981.38879999999995" u="1"/>
        <n v="577" u="1"/>
        <n v="951.72" u="1"/>
        <n v="301.68" u="1"/>
        <n v="498.15359999999998" u="1"/>
        <n v="283.93" u="1"/>
        <n v="994.60479999999995" u="1"/>
        <n v="739.63679999999999" u="1"/>
        <n v="397.16" u="1"/>
        <n v="882.36959999999999" u="1"/>
        <n v="1825.55" u="1"/>
        <n v="2740.68" u="1"/>
        <n v="925.05" u="1"/>
        <n v="430.5" u="1"/>
        <n v="580.14" u="1"/>
        <n v="3267" u="1"/>
        <n v="2614.7631999999999" u="1"/>
        <n v="2990.26" u="1"/>
        <n v="301.29000000000002" u="1"/>
        <n v="443.34" u="1"/>
        <n v="2530.4160000000002" u="1"/>
        <n v="3662.8816000000002" u="1"/>
        <n v="2720" u="1"/>
        <n v="1235" u="1"/>
        <n v="2380" u="1"/>
        <n v="5100" u="1"/>
        <n v="3068.9007999999999" u="1"/>
        <n v="7511.88" u="1"/>
        <n v="1088.5999999999999" u="1"/>
        <n v="219.32" u="1"/>
        <n v="552.88" u="1"/>
        <n v="360.3" u="1"/>
        <n v="142.55000000000001" u="1"/>
        <n v="748.11519999999996" u="1"/>
        <n v="561.08640000000003" u="1"/>
        <n v="637.56799999999998" u="1"/>
        <n v="200.17" u="1"/>
        <n v="481.2" u="1"/>
        <n v="443.01" u="1"/>
        <n v="1020.42" u="1"/>
        <n v="620.52" u="1"/>
        <n v="1156.8900000000001" u="1"/>
        <n v="408.11" u="1"/>
        <n v="2790.7487999999998" u="1"/>
        <n v="4186.1232" u="1"/>
        <n v="1283.3612000000001" u="1"/>
        <n v="681.14" u="1"/>
        <n v="298.99" u="1"/>
        <n v="442.99" u="1"/>
        <n v="269.99" u="1"/>
        <n v="125" u="1"/>
        <n v="2240" u="1"/>
        <n v="51.34" u="1"/>
        <n v="63.4" u="1"/>
        <n v="327.98" u="1"/>
        <n v="51.95" u="1"/>
        <n v="163.94" u="1"/>
        <n v="271.73" u="1"/>
        <n v="117.05" u="1"/>
        <n v="71.25" u="1"/>
        <n v="102.62" u="1"/>
        <n v="129.02000000000001" u="1"/>
        <n v="679.6" u="1"/>
        <n v="99.77" u="1"/>
        <n v="137.97999999999999" u="1"/>
        <n v="166.53" u="1"/>
        <n v="114.92" u="1"/>
        <n v="155.11000000000001" u="1"/>
        <n v="89.24" u="1"/>
        <n v="113.69" u="1"/>
        <n v="228.75" u="1"/>
        <n v="91.99" u="1"/>
        <n v="104.24" u="1"/>
        <n v="80.14" u="1"/>
        <n v="46.8" u="1"/>
        <n v="104.69" u="1"/>
        <n v="119.99" u="1"/>
        <n v="564.71249999999998" u="1"/>
        <n v="873.19680000000005" u="1"/>
        <n v="337.54" u="1"/>
        <n v="455.91750000000002" u="1"/>
        <n v="465.39" u="1"/>
        <n v="301.83999999999997" u="1"/>
        <n v="828.3" u="1"/>
        <n v="906.88800000000003" u="1"/>
        <n v="613.29989999999998" u="1"/>
        <n v="536.06010000000003" u="1"/>
        <n v="262.42" u="1"/>
        <n v="242.66" u="1"/>
        <n v="2153.6999999999998" u="1"/>
        <n v="267.02999999999997" u="1"/>
        <n v="584.29999999999995" u="1"/>
        <n v="450.39" u="1"/>
        <n v="871.28" u="1"/>
        <n v="204.61500000000001" u="1"/>
        <n v="1132.71" u="1"/>
        <n v="722.64" u="1"/>
        <n v="689.52" u="1"/>
        <n v="523.87" u="1"/>
        <n v="1596.81" u="1"/>
        <n v="695.42010000000005" u="1"/>
        <n v="188.82" u="1"/>
        <n v="183.37" u="1"/>
        <n v="4620.768" u="1"/>
        <n v="3010" u="1"/>
        <n v="350.55" u="1"/>
        <n v="212.26" u="1"/>
        <n v="2103.8236999999999" u="1"/>
        <n v="431.9" u="1"/>
        <n v="601.16250000000002" u="1"/>
        <n v="606.64499999999998" u="1"/>
        <n v="335.29340000000002" u="1"/>
        <n v="716.4" u="1"/>
        <n v="268.33" u="1"/>
        <n v="599.38" u="1"/>
        <n v="489.72750000000002" u="1"/>
        <n v="681.17" u="1"/>
        <n v="1848.78" u="1"/>
        <n v="1073.1500000000001" u="1"/>
        <n v="267.98" u="1"/>
        <n v="668.61" u="1"/>
        <n v="256.89" u="1"/>
        <n v="407.58" u="1"/>
        <n v="456.5" u="1"/>
        <n v="858.52" u="1"/>
        <n v="1336.08" u="1"/>
        <n v="1028.3499999999999" u="1"/>
        <n v="1181.8499999999999" u="1"/>
        <n v="1068" u="1"/>
        <n v="1793.4" u="1"/>
        <n v="145.04499999999999" u="1"/>
        <n v="526.16010000000006" u="1"/>
        <n v="393.14" u="1"/>
        <n v="847.92" u="1"/>
        <n v="507.6" u="1"/>
        <n v="987.14" u="1"/>
        <n v="908.15" u="1"/>
        <n v="508.08" u="1"/>
        <n v="857.02" u="1"/>
        <n v="1416.48" u="1"/>
        <n v="568.5" u="1"/>
        <n v="1309.72" u="1"/>
        <n v="535.28" u="1"/>
        <n v="2681.94" u="1"/>
        <n v="572.96" u="1"/>
        <n v="976.72" u="1"/>
        <n v="1484.9" u="1"/>
        <n v="1139.1600000000001" u="1"/>
        <n v="1243.3599999999999" u="1"/>
        <n v="1430.75" u="1"/>
        <n v="918.76689999999996" u="1"/>
        <n v="1536.36" u="1"/>
        <n v="1975.16" u="1"/>
        <n v="760.88" u="1"/>
        <n v="314" u="1"/>
        <n v="687.78" u="1"/>
        <n v="2012.46" u="1"/>
        <n v="512" u="1"/>
        <n v="215.53" u="1"/>
        <n v="2350.7730000000001" u="1"/>
        <n v="393.85919999999999" u="1"/>
        <n v="5086.3233" u="1"/>
        <n v="1106.4004" u="1"/>
        <n v="2493.5174999999999" u="1"/>
        <n v="3053.84" u="1"/>
        <n v="3654.72" u="1"/>
        <n v="560.11" u="1"/>
        <n v="188.51" u="1"/>
        <n v="658.54" u="1"/>
        <n v="607.61599999999999" u="1"/>
        <n v="1116.3" u="1"/>
        <n v="531.21" u="1"/>
        <n v="359.64" u="1"/>
        <n v="405.89920000000001" u="1"/>
        <n v="2829.2" u="1"/>
        <n v="379.3" u="1"/>
        <n v="139.99" u="1"/>
        <n v="129.99" u="1"/>
        <n v="503.2944" u="1"/>
        <n v="414.44479999999999" u="1"/>
        <n v="428.31040000000002" u="1"/>
        <n v="547.01009999999997" u="1"/>
        <n v="351" u="1"/>
        <n v="746" u="1"/>
        <n v="314.56" u="1"/>
        <n v="306.7" u="1"/>
        <n v="1871.3" u="1"/>
        <n v="1583.82" u="1"/>
        <n v="1681.51" u="1"/>
        <n v="763.08" u="1"/>
        <n v="626.38" u="1"/>
        <n v="41327.03" u="1"/>
        <n v="53109.21" u="1"/>
        <n v="1483.57" u="1"/>
        <n v="3107.59" u="1"/>
        <n v="530.32000000000005" u="1"/>
        <n v="1464.44" u="1"/>
        <n v="2354.38" u="1"/>
        <n v="4963.6899999999996" u="1"/>
        <n v="1806.1" u="1"/>
        <n v="1291.92" u="1"/>
        <n v="3934.12" u="1"/>
        <n v="2117.29" u="1"/>
        <n v="1006.92" u="1"/>
        <n v="1015.28" u="1"/>
        <n v="901.48" u="1"/>
        <n v="447.48" u="1"/>
        <n v="5044.53" u="1"/>
        <n v="17574.849999999999" u="1"/>
        <n v="2705.79" u="1"/>
        <n v="1040.81" u="1"/>
        <n v="5474.6189999999997" u="1"/>
        <n v="2135.154" u="1"/>
        <n v="20652.093000000001" u="1"/>
        <n v="270.60000000000002" u="1"/>
        <n v="736.54" u="1"/>
        <n v="809.82" u="1"/>
        <n v="158.22" u="1"/>
        <n v="261.99" u="1"/>
        <n v="2320.7199999999998" u="1"/>
        <n v="957.02" u="1"/>
        <n v="268.8" u="1"/>
        <n v="2627.28" u="1"/>
        <n v="3528" u="1"/>
        <n v="1139.28" u="1"/>
        <n v="1441.65" u="1"/>
        <n v="2755.86" u="1"/>
        <n v="3444.8249999999998" u="1"/>
        <n v="333.72" u="1"/>
        <n v="1195.83" u="1"/>
        <n v="1960" u="1"/>
        <n v="1802.08" u="1"/>
        <n v="6274.2240000000002" u="1"/>
        <n v="280.78399999999999" u="1"/>
        <n v="197.2432" u="1"/>
        <n v="1408.47" u="1"/>
        <n v="537.88" u="1"/>
        <n v="287.27999999999997" u="1"/>
        <n v="356.5" u="1"/>
        <n v="278.42" u="1"/>
        <n v="985.5" u="1"/>
        <n v="3510" u="1"/>
        <n v="1080.23" u="1"/>
        <n v="3253.5" u="1"/>
        <n v="1524.42" u="1"/>
        <n v="543.65" u="1"/>
        <n v="454.03" u="1"/>
        <n v="450.22" u="1"/>
        <n v="302.02999999999997" u="1"/>
        <n v="2007.02" u="1"/>
        <n v="1239.75" u="1"/>
        <n v="664.72" u="1"/>
        <n v="457.44" u="1"/>
        <n v="290.14999999999998" u="1"/>
        <n v="35819.910000000003" u="1"/>
        <n v="8368" u="1"/>
        <n v="1435.74" u="1"/>
        <n v="1774.47" u="1"/>
        <n v="577.48" u="1"/>
        <n v="16805.38" u="1"/>
        <n v="709.70010000000002" u="1"/>
        <n v="431.76" u="1"/>
        <n v="746.63" u="1"/>
        <n v="194.47" u="1"/>
        <n v="1249.808" u="1"/>
        <n v="886.68" u="1"/>
        <n v="3179.41" u="1"/>
        <n v="4456.2" u="1"/>
        <n v="221.05" u="1"/>
        <n v="2867.8047999999999" u="1"/>
        <n v="3703.056" u="1"/>
        <n v="1054.8607999999999" u="1"/>
        <n v="906.86" u="1"/>
        <n v="3887.38" u="1"/>
        <n v="381.62" u="1"/>
        <n v="249.07679999999999" u="1"/>
        <n v="175.99" u="1"/>
        <n v="170.35" u="1"/>
        <n v="55.2" u="1"/>
        <n v="247.2" u="1"/>
        <n v="1384.4901" u="1"/>
        <n v="6953.52" u="1"/>
        <n v="437.9" u="1"/>
        <n v="4452.25" u="1"/>
        <n v="8441.43" u="1"/>
        <n v="7282.68" u="1"/>
        <n v="6989.49" u="1"/>
        <n v="4477.74" u="1"/>
        <n v="711.2" u="1"/>
        <n v="10121.219999999999" u="1"/>
        <n v="3099.9935999999998" u="1"/>
        <n v="2051.6831999999999" u="1"/>
        <n v="861.87360000000001" u="1"/>
        <n v="590.78880000000004" u="1"/>
        <n v="403.71519999999998" u="1"/>
        <n v="182.0112" u="1"/>
        <n v="790.88" u="1"/>
        <n v="752" u="1"/>
        <n v="935.14400000000001" u="1"/>
        <n v="739.2" u="1"/>
        <n v="1529.1" u="1"/>
        <n v="1004.11" u="1"/>
        <n v="2814" u="1"/>
        <n v="9350" u="1"/>
        <n v="6600" u="1"/>
        <n v="4260" u="1"/>
        <n v="960.82" u="1"/>
        <n v="986.92" u="1"/>
        <n v="2740" u="1"/>
        <n v="1233" u="1"/>
        <n v="1324" u="1"/>
        <n v="1368" u="1"/>
        <n v="1352.91" u="1"/>
        <n v="523.88" u="1"/>
        <n v="217.36" u="1"/>
        <n v="797.76239999999996" u="1"/>
        <n v="270.76" u="1"/>
        <n v="2275.58" u="1"/>
        <n v="1457.1" u="1"/>
        <n v="827.4" u="1"/>
        <n v="890.29920000000004" u="1"/>
        <n v="741.24" u="1"/>
        <n v="190.9264" u="1"/>
        <n v="289.20639999999997" u="1"/>
        <n v="755.28319999999997" u="1"/>
        <n v="442.2208" u="1"/>
        <n v="575.93759999999997" u="1"/>
        <n v="780.55039999999997" u="1"/>
        <n v="580.50720000000001" u="1"/>
        <n v="577.74080000000004" u="1"/>
        <n v="455.91840000000002" u="1"/>
        <n v="49.56" u="1"/>
        <n v="143.09" u="1"/>
        <n v="154.97999999999999" u="1"/>
        <n v="144.41" u="1"/>
        <n v="136.93" u="1"/>
        <n v="122.42" u="1"/>
        <n v="122.04" u="1"/>
        <n v="426.96" u="1"/>
        <n v="727.00319999999999" u="1"/>
        <n v="778.44" u="1"/>
        <n v="284.89999999999998" u="1"/>
        <n v="1664.7" u="1"/>
        <n v="418.26400000000001" u="1"/>
        <n v="569.62080000000003" u="1"/>
        <n v="346.11" u="1"/>
        <n v="513.33000000000004" u="1"/>
        <n v="122.7" u="1"/>
        <n v="835.3" u="1"/>
        <n v="1770" u="1"/>
        <n v="647.49" u="1"/>
        <n v="468.14" u="1"/>
        <n v="222.87" u="1"/>
        <n v="8864.0400000000009" u="1"/>
        <n v="424.94" u="1"/>
        <n v="658.15" u="1"/>
        <n v="234.03" u="1"/>
        <n v="496.44" u="1"/>
        <n v="343.56" u="1"/>
        <n v="282.24" u="1"/>
        <n v="627.76" u="1"/>
        <n v="588.82000000000005" u="1"/>
        <n v="600.9" u="1"/>
        <n v="665.38" u="1"/>
        <n v="1475.83" u="1"/>
        <n v="1786.69" u="1"/>
        <n v="1311.68" u="1"/>
        <n v="708.16" u="1"/>
        <n v="1020.7359" u="1"/>
        <n v="663.9" u="1"/>
        <n v="1090.76" u="1"/>
        <n v="1339.03" u="1"/>
        <n v="1399.78" u="1"/>
        <n v="490.69439999999997" u="1"/>
        <n v="84.442400000000006" u="1"/>
        <n v="462.11" u="1"/>
        <n v="888.42" u="1"/>
        <n v="319.31" u="1"/>
        <n v="1310.4000000000001" u="1"/>
        <n v="44.85" u="1"/>
        <n v="52.3" u="1"/>
        <n v="1109.3399999999999" u="1"/>
        <n v="387.91" u="1"/>
        <n v="381.63" u="1"/>
        <n v="1331.01" u="1"/>
        <n v="743.26" u="1"/>
        <n v="779.78" u="1"/>
        <n v="1044.2" u="1"/>
        <n v="276.36" u="1"/>
        <n v="196.92959999999999" u="1"/>
        <n v="372.57" u="1"/>
        <n v="1106.0672" u="1"/>
        <n v="1915.03" u="1"/>
        <n v="1722.8300999999999" u="1"/>
        <n v="277.56" u="1"/>
        <n v="1067.3152" u="1"/>
        <n v="226.36320000000001" u="1"/>
        <n v="287.2912" u="1"/>
        <n v="170.96799999999999" u="1"/>
        <n v="533.6576" u="1"/>
        <n v="1092.0672" u="1"/>
        <n v="2047.4" u="1"/>
        <n v="436.96800000000002" u="1"/>
        <n v="904.34400000000005" u="1"/>
        <n v="1881" u="1"/>
        <n v="279.70499999999998" u="1"/>
        <n v="1825.5440000000001" u="1"/>
        <n v="953.4" u="1"/>
        <n v="607.15200000000004" u="1"/>
        <n v="733.85760000000005" u="1"/>
        <n v="607.16" u="1"/>
        <n v="2554.88" u="1"/>
        <n v="3096.28" u="1"/>
        <n v="654.30999999999995" u="1"/>
        <n v="3563.8847999999998" u="1"/>
        <n v="476.33600000000001" u="1"/>
        <n v="2124" u="1"/>
        <n v="157.08000000000001" u="1"/>
        <n v="683.73" u="1"/>
        <n v="1178.31" u="1"/>
        <n v="253.73" u="1"/>
        <n v="156.46" u="1"/>
        <n v="156.53" u="1"/>
        <n v="161.74" u="1"/>
        <n v="191.03" u="1"/>
        <n v="163.34" u="1"/>
        <n v="320.60000000000002" u="1"/>
        <n v="285.3" u="1"/>
        <n v="793.75" u="1"/>
        <n v="406.74" u="1"/>
        <n v="222.75" u="1"/>
        <n v="15253.2608" u="1"/>
        <n v="491.46390000000002" u="1"/>
        <n v="403.34" u="1"/>
        <n v="654.54" u="1"/>
        <n v="318.95" u="1"/>
        <n v="431.09" u="1"/>
        <n v="791.58" u="1"/>
        <n v="252.49" u="1"/>
        <n v="732.59199999999998" u="1"/>
        <n v="209.86" u="1"/>
        <n v="257.22000000000003" u="1"/>
        <n v="338.27" u="1"/>
        <n v="146.51840000000001" u="1"/>
        <n v="1069.6400000000001" u="1"/>
        <n v="654.25919999999996" u="1"/>
        <n v="3289.4704000000002" u="1"/>
        <n v="594.04999999999995" u="1"/>
        <n v="537.89" u="1"/>
        <n v="684.56" u="1"/>
        <n v="630.49" u="1"/>
        <n v="351.58" u="1"/>
        <n v="567.47" u="1"/>
        <n v="1767.6848" u="1"/>
        <n v="163.56479999999999" u="1"/>
        <n v="400.33280000000002" u="1"/>
        <n v="721.45920000000001" u="1"/>
        <n v="666.6576" u="1"/>
        <n v="964" u="1"/>
        <n v="760.54" u="1"/>
        <n v="774.03" u="1"/>
        <n v="1034.3399999999999" u="1"/>
        <n v="911.85" u="1"/>
        <n v="1963.95" u="1"/>
        <n v="1411.64" u="1"/>
        <n v="943.2" u="1"/>
        <n v="628.79999999999995" u="1"/>
        <n v="1866.75" u="1"/>
        <n v="1493.4" u="1"/>
        <n v="2557.11" u="1"/>
        <n v="841.02" u="1"/>
        <n v="1370.6" u="1"/>
        <n v="601.62" u="1"/>
        <n v="907.28" u="1"/>
        <n v="486.77440000000001" u="1"/>
        <n v="320.79039999999998" u="1"/>
        <n v="777.84" u="1"/>
        <n v="574.74" u="1"/>
        <n v="287.37" u="1"/>
        <n v="770" u="1"/>
        <n v="1045.0999999999999" u="1"/>
        <n v="546.03359999999998" u="1"/>
        <n v="525.7056" u="1"/>
        <n v="783.92160000000001" u="1"/>
        <n v="592.56200000000001" u="1"/>
        <n v="209" u="1"/>
        <n v="518.55999999999995" u="1"/>
        <n v="533.6" u="1"/>
        <n v="197.89" u="1"/>
        <n v="247.5" u="1"/>
        <n v="265.5" u="1"/>
        <n v="795" u="1"/>
        <n v="208.89" u="1"/>
        <n v="753.84960000000001" u="1"/>
        <n v="8417.5" u="1"/>
        <n v="1344" u="1"/>
        <n v="350.2688" u="1"/>
        <n v="802.03200000000004" u="1"/>
        <n v="682.01279999999997" u="1"/>
      </sharedItems>
    </cacheField>
    <cacheField name="Taxa" numFmtId="0">
      <sharedItems containsString="0" containsBlank="1" containsNumber="1" minValue="0" maxValue="494819"/>
    </cacheField>
    <cacheField name="Outras Taxas" numFmtId="0">
      <sharedItems containsString="0" containsBlank="1" containsNumber="1" minValue="0" maxValue="5816.84"/>
    </cacheField>
    <cacheField name="Taxa DU" numFmtId="0">
      <sharedItems containsString="0" containsBlank="1" containsNumber="1" containsInteger="1" minValue="0" maxValue="0"/>
    </cacheField>
    <cacheField name="Taxa BR" numFmtId="0">
      <sharedItems containsString="0" containsBlank="1" containsNumber="1" minValue="0" maxValue="159.93"/>
    </cacheField>
    <cacheField name="Taxa Extra" numFmtId="0">
      <sharedItems containsString="0" containsBlank="1" containsNumber="1" minValue="0" maxValue="1648.3"/>
    </cacheField>
    <cacheField name="Fee" numFmtId="0">
      <sharedItems containsString="0" containsBlank="1" containsNumber="1" minValue="0" maxValue="977.41"/>
    </cacheField>
    <cacheField name="Observação" numFmtId="0">
      <sharedItems containsBlank="1"/>
    </cacheField>
    <cacheField name="Mensagem Erro" numFmtId="0">
      <sharedItems containsBlank="1"/>
    </cacheField>
    <cacheField name="OBTS" numFmtId="0">
      <sharedItems containsBlank="1" count="10">
        <s v="ARGO(TMS)"/>
        <s v="SABRE"/>
        <s v="MANUAL"/>
        <s v="GOVER"/>
        <s v="KONTRIP"/>
        <s v="LEMONTECH"/>
        <s v="WOOBA"/>
        <s v="ZUPPER"/>
        <m/>
        <s v="EBOOKING" u="1"/>
      </sharedItems>
    </cacheField>
    <cacheField name="CAMPO" numFmtId="0">
      <sharedItems containsBlank="1" count="48">
        <s v="Configuração de Administradora"/>
        <s v="Falta de Fornecedor"/>
        <s v="Pagamento não permitido para cobrança"/>
        <s v="Email do passageiro"/>
        <s v="Matrícula"/>
        <s v="Mais de um campo não preenchido"/>
        <s v="Caractere inválido"/>
        <s v="Empenho/departamento"/>
        <s v="Não identificado"/>
        <s v="Contrato de fornecedor"/>
        <s v="Tarifa mínima"/>
        <s v="Documento fora do período financeiro"/>
        <s v="Falha de comunicação"/>
        <s v="Cliente"/>
        <s v="Finalidade"/>
        <s v="Venda sem bilhete"/>
        <s v="Falta informação nos trechos"/>
        <s v="Centro de custo"/>
        <s v="Conciliação de Cartão"/>
        <s v="Canal de venda"/>
        <s v="Projeto"/>
        <s v="Enriquecimento de dados pendente"/>
        <s v="Cadastro enviado errado no Benner"/>
        <m/>
        <s v="Falta de informação Gerencial" u="1"/>
        <s v="OS" u="1"/>
        <s v="Soma das tarifas dos registros múltiplos" u="1"/>
        <s v="Duplicidade de RLOC" u="1"/>
        <s v="Bilhete duplicado" u="1"/>
        <s v="Bilhete conciliado" u="1"/>
        <s v="Forma de Pagamento indevida" u="1"/>
        <s v="Administradora Cartão Fee incorreta" u="1"/>
        <s v="Motivo" u="1"/>
        <s v="Controle de comissão pós paga" u="1"/>
        <s v="Requisição" u="1"/>
        <s v="Informação de controle" u="1"/>
        <s v="Departamento" u="1"/>
        <s v="Justificativa" u="1"/>
        <s v="Nível funcionário" u="1"/>
        <s v="Solicitante" u="1"/>
        <s v="Tarifa máxima" u="1"/>
        <s v="Autorização do cartão da forma de pagamento" u="1"/>
        <s v="Falha no processo de integração" u="1"/>
        <s v="Contrato de fornecedor/cliente" u="1"/>
        <s v="Valores da Tarifa" u="1"/>
        <s v="Bilhete incompleto" u="1"/>
        <s v="Reprocessar Venda" u="1"/>
        <s v="Autorização do cartão" u="1"/>
      </sharedItems>
    </cacheField>
    <cacheField name="ORIGEM DO ERRO" numFmtId="0">
      <sharedItems containsBlank="1"/>
    </cacheField>
    <cacheField name="TIPO DE ERRO" numFmtId="0">
      <sharedItems containsBlank="1" count="6">
        <s v="Dados do Fornecedor"/>
        <s v="Dados Gerenciais"/>
        <s v="Sistema"/>
        <s v="Edição não Permitida"/>
        <m/>
        <s v="Duplicidade de Contabilização" u="1"/>
      </sharedItems>
    </cacheField>
    <cacheField name="CATEGORIA DE ERRO" numFmtId="0">
      <sharedItems containsBlank="1"/>
    </cacheField>
    <cacheField name="EMPRESA" numFmtId="0">
      <sharedItems containsBlank="1"/>
    </cacheField>
    <cacheField name="RESPONSÁVEL" numFmtId="0">
      <sharedItems containsBlank="1" count="11">
        <s v="Central de Emissão"/>
        <s v="Suporte Benner"/>
        <s v="Operações - FCM"/>
        <s v="Operações - CORP"/>
        <s v="Suporte KCS"/>
        <s v="Operações - KONTRIP"/>
        <s v="Operações - ZUPPER"/>
        <m/>
        <s v="INOVENTS" u="1"/>
        <s v="Conciliação aérea" u="1"/>
        <s v="Operações CORP" u="1"/>
      </sharedItems>
    </cacheField>
    <cacheField name="Dias (Data Inclusão)" numFmtId="0" databaseField="0">
      <fieldGroup base="3">
        <rangePr groupBy="days" startDate="2026-04-01T23:22:48" endDate="2026-07-06T00:39:13"/>
        <groupItems count="368">
          <s v="&lt;01/04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06/07/2026"/>
        </groupItems>
      </fieldGroup>
    </cacheField>
    <cacheField name="Meses (Data Inclusão)" numFmtId="0" databaseField="0">
      <fieldGroup base="3">
        <rangePr groupBy="months" startDate="2026-04-01T23:22:48" endDate="2026-07-06T00:39:13"/>
        <groupItems count="14">
          <s v="&lt;01/04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6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3">
  <r>
    <n v="24390618"/>
    <n v="25188918"/>
    <s v="ACC01"/>
    <x v="0"/>
    <d v="2026-05-11T17:45:21"/>
    <s v="31 dias ou +"/>
    <s v="31 dias ou +"/>
    <s v="OPQOIS"/>
    <s v="TMS"/>
    <s v="NATHALLE PERES"/>
    <s v="Tms"/>
    <s v="Tms"/>
    <x v="0"/>
    <n v="312"/>
    <s v="-"/>
    <s v="ON LINE"/>
    <s v="Faturado"/>
    <s v="Cartão convênio"/>
    <s v="Aéreo"/>
    <s v="N"/>
    <s v="Grupo Neon"/>
    <s v="Neon Pagamentos Sa Instituicao de Pagamento"/>
    <s v="-"/>
    <s v="Latam Airlines Brasil"/>
    <n v="2280569687"/>
    <s v="KON-OPE-RIO-PVI-BTC RJ"/>
    <s v="-"/>
    <x v="0"/>
    <n v="109.16"/>
    <n v="0"/>
    <n v="0"/>
    <n v="0"/>
    <n v="0"/>
    <n v="0"/>
    <s v="Reserva importada do Sistema TMS. OS: 312"/>
    <s v="Não foi possível encontrar configuração válida para Administradora de código 1 e Data transação 01/04/2026"/>
    <s v="ARGO(TMS)"/>
    <s v="Configuração de Administradora"/>
    <s v="Validação de Dados"/>
    <s v="Dados do Fornecedor"/>
    <s v="Qualidade dos dados"/>
    <s v="GRUPO KONTIK"/>
  </r>
  <r>
    <n v="24392297"/>
    <n v="25190644"/>
    <s v="ACC01"/>
    <x v="1"/>
    <d v="2026-05-11T17:42:29"/>
    <s v="31 dias ou +"/>
    <s v="31 dias ou +"/>
    <s v="GFLQEYT"/>
    <s v="SABRE"/>
    <s v="SANTACROCE/RENATO"/>
    <s v="WS"/>
    <s v="WS"/>
    <x v="1"/>
    <s v="GFLQEY"/>
    <s v="-"/>
    <s v="ON LINE"/>
    <s v="Cartão de crédito"/>
    <s v="Cartão de crédito"/>
    <s v="Hotel"/>
    <s v="N"/>
    <s v="Grupo Honeywell"/>
    <s v="Honeywell"/>
    <s v="Cliente FEE no POS"/>
    <s v="Hilton Mexico City Santa Fe"/>
    <s v="-"/>
    <s v="FCM-OPE-SAO-PVI-BTC-CONCUR-HONEYWELL"/>
    <s v="-"/>
    <x v="1"/>
    <n v="50.7"/>
    <n v="0"/>
    <n v="0"/>
    <n v="0"/>
    <n v="0"/>
    <n v="13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392297"/>
    <n v="25190645"/>
    <s v="ACC02"/>
    <x v="1"/>
    <d v="2026-05-11T17:42:29"/>
    <s v="31 dias ou +"/>
    <s v="31 dias ou +"/>
    <s v="GFLQEYT"/>
    <s v="SABRE"/>
    <s v="SANTACROCE/RENATO"/>
    <s v="WS"/>
    <s v="WS"/>
    <x v="1"/>
    <s v="GFLQEY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2"/>
    <n v="54.22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394827"/>
    <n v="25193439"/>
    <s v="ACC01"/>
    <x v="2"/>
    <d v="2026-05-11T17:45:29"/>
    <s v="31 dias ou +"/>
    <s v="31 dias ou +"/>
    <s v="UMNBHJ"/>
    <s v="TMS"/>
    <s v="BRUNO SOUZA"/>
    <s v="Tms"/>
    <s v="Tms"/>
    <x v="2"/>
    <n v="6655"/>
    <s v="-"/>
    <s v="ON LINE"/>
    <s v="Faturado"/>
    <s v="Cartão convênio"/>
    <s v="Aéreo"/>
    <s v="N"/>
    <s v="Grupo Track e Field"/>
    <s v="Track e Field Co Sa Matriz"/>
    <s v="-"/>
    <s v="Gol Linhas Aereas"/>
    <n v="2301058749"/>
    <s v="KON-OPE-SAO-PVI-BTC-ARGO"/>
    <s v="-"/>
    <x v="3"/>
    <n v="96.25"/>
    <n v="0"/>
    <n v="0"/>
    <n v="0"/>
    <n v="0"/>
    <n v="0"/>
    <s v="Reserva importada do Sistema TMS. OS: 6655"/>
    <s v="Não foi possível encontrar configuração válida para Administradora de código 1 e Data transação 02/04/2026"/>
    <s v="ARGO(TMS)"/>
    <s v="Configuração de Administradora"/>
    <s v="Validação de Dados"/>
    <s v="Dados do Fornecedor"/>
    <s v="Qualidade dos dados"/>
    <s v="GRUPO KONTIK"/>
  </r>
  <r>
    <n v="24394828"/>
    <n v="25193440"/>
    <s v="ACC01"/>
    <x v="3"/>
    <d v="2026-07-02T12:59:15"/>
    <s v="03 a 05 dias"/>
    <s v="31 dias ou +"/>
    <s v="JMIUDE"/>
    <s v="TMS"/>
    <s v="GUSTAVO MENDES"/>
    <s v="Tms"/>
    <s v="Tms"/>
    <x v="3"/>
    <n v="6652"/>
    <s v="-"/>
    <s v="ON LINE"/>
    <s v="Invoice"/>
    <s v="Cartão convênio"/>
    <s v="Aéreo"/>
    <s v="N"/>
    <s v="Grupo Track e Field"/>
    <s v="Track e Field Co Sa Matriz"/>
    <s v="-"/>
    <s v="Gol Linhas Aereas"/>
    <n v="2301056216"/>
    <s v="KON-OPE-SAO-PVI-BTC-ARGO"/>
    <s v="-"/>
    <x v="4"/>
    <n v="116.1"/>
    <n v="0"/>
    <n v="0"/>
    <n v="0"/>
    <n v="0"/>
    <n v="0"/>
    <s v="Reserva importada do Sistema TMS. OS: 6652"/>
    <s v="Não foi possível encontrar configuração válida para Administradora de código 1 e Data transação 02/07/2026"/>
    <s v="ARGO(TMS)"/>
    <s v="Configuração de Administradora"/>
    <s v="Validação de Dados"/>
    <s v="Dados do Fornecedor"/>
    <s v="Qualidade dos dados"/>
    <s v="GRUPO KONTIK"/>
  </r>
  <r>
    <n v="24392516"/>
    <n v="25190873"/>
    <s v="ACC01"/>
    <x v="4"/>
    <d v="2026-05-11T17:45:27"/>
    <s v="31 dias ou +"/>
    <s v="31 dias ou +"/>
    <s v="KZVDFU"/>
    <s v="TMS"/>
    <s v="KEVIN SANTOS"/>
    <s v="Tms"/>
    <s v="Tms"/>
    <x v="4"/>
    <n v="6648"/>
    <s v="-"/>
    <s v="ON LINE"/>
    <s v="Faturado"/>
    <s v="Cartão convênio"/>
    <s v="Aéreo"/>
    <s v="N"/>
    <s v="Grupo Track e Field"/>
    <s v="Track e Field Co Sa Matriz"/>
    <s v="-"/>
    <s v="Latam Airlines Brasil"/>
    <n v="2280742820"/>
    <s v="KON-OPE-SAO-PVI-BTC-ARGO"/>
    <s v="-"/>
    <x v="5"/>
    <n v="112.56"/>
    <n v="0"/>
    <n v="0"/>
    <n v="0"/>
    <n v="0"/>
    <n v="0"/>
    <s v="Reserva importada do Sistema TMS. OS: 6648"/>
    <s v="Não foi possível encontrar configuração válida para Administradora de código 1 e Data transação 02/04/2026"/>
    <s v="ARGO(TMS)"/>
    <s v="Configuração de Administradora"/>
    <s v="Validação de Dados"/>
    <s v="Dados do Fornecedor"/>
    <s v="Qualidade dos dados"/>
    <s v="GRUPO KONTIK"/>
  </r>
  <r>
    <n v="24406174"/>
    <n v="25206837"/>
    <s v="ACC02"/>
    <x v="5"/>
    <d v="2026-05-15T15:36:57"/>
    <s v="31 dias ou +"/>
    <s v="31 dias ou +"/>
    <s v="KXZLZIT"/>
    <s v="SABRE"/>
    <s v="BRAGA/VITOR NUNES MR"/>
    <s v="WS"/>
    <s v="WS"/>
    <x v="5"/>
    <s v="KXZLZI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6"/>
    <n v="882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445252"/>
    <n v="25250733"/>
    <s v="ACC02"/>
    <x v="6"/>
    <d v="2026-05-11T17:42:39"/>
    <s v="31 dias ou +"/>
    <s v="31 dias ou +"/>
    <s v="USFPJAT"/>
    <s v="SABRE"/>
    <s v="MOREIRA/RODRIGO MR"/>
    <s v="CT"/>
    <s v="CT"/>
    <x v="6"/>
    <s v="USFPJA"/>
    <s v="-"/>
    <s v="ON LINE"/>
    <s v="Cartão de crédito"/>
    <s v="Cartão de crédito"/>
    <s v="Hotel"/>
    <s v="N"/>
    <s v="Grupo Innomotics"/>
    <s v="Innomotics Motores e Grandes Conversores Ltda"/>
    <s v="-"/>
    <s v="-"/>
    <s v="-"/>
    <s v="FCM-OPE-SAO-PVI-BTC"/>
    <s v="-"/>
    <x v="7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452444"/>
    <n v="25258566"/>
    <s v="ACC01"/>
    <x v="7"/>
    <d v="2026-07-03T17:10:25"/>
    <s v="03 a 05 dias"/>
    <s v="31 dias ou +"/>
    <s v="DJNSRA"/>
    <s v="SABRE"/>
    <s v="HIRANOBE/LUCAS"/>
    <s v="VANESSA ARAUJO ALVES"/>
    <s v="VANESSA ARAUJO ALVES"/>
    <x v="7"/>
    <s v="DJNSRA"/>
    <s v="-"/>
    <s v="ON LINE"/>
    <s v="?"/>
    <s v="?"/>
    <s v="Aéreo"/>
    <s v="N"/>
    <s v="Grupo Sep"/>
    <s v="Standard And Poors Ratings do Brasil Ltda"/>
    <s v="Cliente FEE no POS"/>
    <s v="Gol Linhas Aereas"/>
    <s v="-"/>
    <s v="FCM-OPE-SAO-PVI-BTC-CYTRIC-S&amp;P"/>
    <s v="-"/>
    <x v="8"/>
    <n v="0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4409098"/>
    <n v="25210041"/>
    <s v="ACC01"/>
    <x v="8"/>
    <d v="2026-05-11T17:45:43"/>
    <s v="31 dias ou +"/>
    <s v="31 dias ou +"/>
    <s v="JIHIAF"/>
    <s v="TMS"/>
    <s v="WILLIAM NEVER"/>
    <s v="Tms"/>
    <s v="Tms"/>
    <x v="8"/>
    <n v="106435"/>
    <s v="-"/>
    <s v="ON LINE"/>
    <s v="Invoice"/>
    <s v="Cartão convênio"/>
    <s v="Aéreo"/>
    <s v="N"/>
    <s v="Grupo Ocean Pact"/>
    <s v="Oceanpact Marau Navegacao"/>
    <s v="-"/>
    <s v="Latam Airlines Brasil"/>
    <n v="2281245127"/>
    <s v="KON-OPE-RIO-POS-OCEANPACT"/>
    <s v="-"/>
    <x v="9"/>
    <n v="62.14"/>
    <n v="0"/>
    <n v="0"/>
    <n v="0"/>
    <n v="0"/>
    <n v="0"/>
    <s v="Reserva importada do Sistema TMS. OS: 106435"/>
    <s v="Não foi possível encontrar configuração válida para Administradora de código 1 e Data transação 06/04/2026"/>
    <s v="ARGO(TMS)"/>
    <s v="Configuração de Administradora"/>
    <s v="Validação de Dados"/>
    <s v="Dados do Fornecedor"/>
    <s v="Qualidade dos dados"/>
    <s v="GRUPO KONTIK"/>
  </r>
  <r>
    <n v="24424868"/>
    <n v="25227226"/>
    <s v="ACC01"/>
    <x v="9"/>
    <d v="2026-07-03T17:06:14"/>
    <s v="03 a 05 dias"/>
    <s v="31 dias ou +"/>
    <s v="LUQMIXC"/>
    <s v="SABRE"/>
    <s v="ROSSOLINO/ANTONIO MR"/>
    <s v="VANESSA ARAUJO ALVES"/>
    <s v="VANESSA ARAUJO ALVES"/>
    <x v="9"/>
    <s v="LUQMIX"/>
    <s v="CGR"/>
    <s v="ON LINE"/>
    <s v="Invoice"/>
    <s v="Faturado"/>
    <s v="Carro"/>
    <s v="N"/>
    <s v="Grupo Sep"/>
    <s v="Sep Global Informacoes do Brasil Ltda"/>
    <s v="Cliente FEE no POS"/>
    <s v="Localiza - Br - Ms - Campo Grande - Santo Antonio"/>
    <s v="-"/>
    <s v="FCM-OPE-SAO-PVI-BTC"/>
    <s v="-"/>
    <x v="10"/>
    <n v="98.38"/>
    <n v="0"/>
    <n v="0"/>
    <n v="0"/>
    <n v="0"/>
    <n v="0"/>
    <s v="Reserva importada por HubTravel"/>
    <s v="Email do passageiro não preenchido! (ACC01)"/>
    <s v="SABRE"/>
    <s v="Email do passageiro"/>
    <s v="Falta de informação Gerencial"/>
    <s v="Dados do Fornecedor"/>
    <s v="Qualidade dos dados"/>
    <s v="KONTIK BUSINESS TRAVEL"/>
  </r>
  <r>
    <n v="24493184"/>
    <n v="25304501"/>
    <s v="ACC01"/>
    <x v="10"/>
    <d v="2026-05-11T17:45:41"/>
    <s v="31 dias ou +"/>
    <s v="31 dias ou +"/>
    <s v="GDSXAZNP-F1"/>
    <s v="MANUAL"/>
    <s v="ISABELLA PEREIRA ALVES"/>
    <s v="DIEGO FERNANDES ROCHA"/>
    <s v="DIEGO FERNANDES ROCHA"/>
    <x v="10"/>
    <n v="4656877"/>
    <s v="Localiza - Br - Am - Manaus - Aeroporto de Manaus Endereço: Av.santos Dumont, 1350 Centro"/>
    <s v="OFF LINE"/>
    <s v="Invoice"/>
    <s v="Faturado"/>
    <s v="Carro"/>
    <s v="N"/>
    <s v="Grupo Fm Global"/>
    <s v="Fm Global - Servicos"/>
    <s v="Cliente FEE no POS"/>
    <s v="Localiza - Br - Mg - Belo Horizonte - Cachoeirinha"/>
    <s v="-"/>
    <s v="FCM-OPE-SAO-PVI-BTC-FM GLOBAL"/>
    <s v="-"/>
    <x v="11"/>
    <n v="0"/>
    <n v="0"/>
    <n v="0"/>
    <n v="0"/>
    <n v="0"/>
    <n v="0"/>
    <s v="Reserva importada do sistema Gover. Id: 4656877"/>
    <s v="Este cliente não possui permissão para usar este tipo de pagamento e recebimento para este produto."/>
    <s v="MANUAL"/>
    <s v="Pagamento não permitido para cobrança"/>
    <s v="Forma PG. e REC."/>
    <s v="Dados do Fornecedor"/>
    <s v="Qualidade dos dados"/>
    <s v="KONTIK BUSINESS TRAVEL"/>
  </r>
  <r>
    <n v="24445252"/>
    <n v="25250732"/>
    <s v="ACC01"/>
    <x v="6"/>
    <d v="2026-05-11T17:42:39"/>
    <s v="31 dias ou +"/>
    <s v="31 dias ou +"/>
    <s v="USFPJAT"/>
    <s v="SABRE"/>
    <s v="MOREIRA/RODRIGO MR"/>
    <s v="CT"/>
    <s v="CT"/>
    <x v="6"/>
    <s v="USFPJA"/>
    <s v="-"/>
    <s v="ON LINE"/>
    <s v="Cartão de crédito"/>
    <s v="Cartão de crédito"/>
    <s v="Hotel"/>
    <s v="N"/>
    <s v="Grupo Innomotics"/>
    <s v="Innomotics Motores e Grandes Conversores Ltda"/>
    <s v="-"/>
    <s v="Nh Erlangen"/>
    <s v="-"/>
    <s v="FCM-OPE-SAO-PVI-BTC"/>
    <s v="-"/>
    <x v="12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406174"/>
    <n v="25206836"/>
    <s v="ACC01"/>
    <x v="5"/>
    <d v="2026-05-15T15:36:57"/>
    <s v="31 dias ou +"/>
    <s v="31 dias ou +"/>
    <s v="KXZLZIT"/>
    <s v="SABRE"/>
    <s v="BRAGA/VITOR NUNES MR"/>
    <s v="WS"/>
    <s v="WS"/>
    <x v="5"/>
    <s v="KXZLZI"/>
    <s v="-"/>
    <s v="ON LINE"/>
    <s v="Cartão de crédito"/>
    <s v="Cartão de crédito"/>
    <s v="Hotel"/>
    <s v="N"/>
    <s v="Grupo Honeywell"/>
    <s v="Honeywell"/>
    <s v="Cliente FEE no POS"/>
    <s v="Hilton Garden Inn Monterey"/>
    <s v="-"/>
    <s v="FCM-OPE-SAO-PVI-BTC-CONCUR-HONEYWELL"/>
    <s v="-"/>
    <x v="6"/>
    <n v="8820"/>
    <n v="0"/>
    <n v="0"/>
    <n v="0"/>
    <n v="0"/>
    <n v="13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520473"/>
    <n v="25337403"/>
    <s v="ACC02"/>
    <x v="11"/>
    <d v="2026-05-15T15:49:20"/>
    <s v="31 dias ou +"/>
    <s v="31 dias ou +"/>
    <s v="YDBHKXT"/>
    <s v="SABRE"/>
    <s v="ALVES DE SOUZA/JARDEL"/>
    <s v="WS"/>
    <s v="WS"/>
    <x v="11"/>
    <s v="YDBHKX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13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493290"/>
    <n v="25304642"/>
    <s v="ACC02"/>
    <x v="12"/>
    <d v="2026-05-12T15:06:34"/>
    <s v="31 dias ou +"/>
    <s v="31 dias ou +"/>
    <s v="UIGHEJT"/>
    <s v="SABRE"/>
    <s v="DALANEZE/MARCIO MR"/>
    <s v="VANESSA ARAUJO ALVES"/>
    <s v="VANESSA ARAUJO ALVES"/>
    <x v="12"/>
    <s v="UIGHEJ"/>
    <s v="-"/>
    <s v="ON LINE"/>
    <s v="Invoice"/>
    <s v="Faturado"/>
    <s v="Hotel"/>
    <s v="N"/>
    <s v="Grupo Weir Group"/>
    <s v="Weir do Brasil Ltda"/>
    <s v="-"/>
    <s v="-"/>
    <s v="-"/>
    <s v="FCM-OPE-SAO-PVI-BTC-CONCUR"/>
    <s v="-"/>
    <x v="14"/>
    <n v="0"/>
    <n v="0"/>
    <n v="0"/>
    <n v="0"/>
    <n v="0"/>
    <n v="0"/>
    <s v="Reserva importada por HubTravel"/>
    <s v="Matrícula não preenchida! (ACC02)"/>
    <s v="SABRE"/>
    <s v="Matrícula"/>
    <s v="Falta de informação Gerencial"/>
    <s v="Dados do Fornecedor"/>
    <s v="Qualidade dos dados"/>
    <s v="KONTIK BUSINESS TRAVEL"/>
  </r>
  <r>
    <n v="24555720"/>
    <n v="25378740"/>
    <s v="ACC02"/>
    <x v="13"/>
    <d v="2026-05-11T13:54:48"/>
    <s v="31 dias ou +"/>
    <s v="31 dias ou +"/>
    <s v="KMDJVAT"/>
    <s v="SABRE"/>
    <s v="GUIMARAES/RICARDO COELHO MR"/>
    <s v="VANESSA ARAUJO ALVES"/>
    <s v="VANESSA ARAUJO ALVES"/>
    <x v="13"/>
    <s v="KMDJVA"/>
    <s v="-"/>
    <s v="ON LINE"/>
    <s v="Invoice"/>
    <s v="Faturado"/>
    <s v="Hotel"/>
    <s v="N"/>
    <s v="Grupo Weir Group"/>
    <s v="Weir do Brasil Ltda"/>
    <s v="-"/>
    <s v="-"/>
    <s v="-"/>
    <s v="FCM-OPE-SAO-PVI-BTC-CONCUR"/>
    <s v="-"/>
    <x v="15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21768"/>
    <n v="25338853"/>
    <s v="ACC02"/>
    <x v="14"/>
    <d v="2026-05-11T13:48:56"/>
    <s v="31 dias ou +"/>
    <s v="31 dias ou +"/>
    <s v="QRLGIQT"/>
    <s v="SABRE"/>
    <s v="VALADAO/MARCUS NANTES MR"/>
    <s v="VANESSA ARAUJO ALVES"/>
    <s v="VANESSA ARAUJO ALVES"/>
    <x v="14"/>
    <s v="QRLGIQ"/>
    <s v="-"/>
    <s v="ON LINE"/>
    <s v="Invoice"/>
    <s v="Faturado"/>
    <s v="Hotel"/>
    <s v="N"/>
    <s v="Grupo Weir Group"/>
    <s v="Weir do Brasil Ltda"/>
    <s v="-"/>
    <s v="-"/>
    <s v="-"/>
    <s v="FCM-OPE-SAO-PVI-BTC-CONCUR"/>
    <s v="-"/>
    <x v="16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10624"/>
    <n v="25325541"/>
    <s v="ACC01"/>
    <x v="15"/>
    <d v="2026-07-03T17:10:25"/>
    <s v="03 a 05 dias"/>
    <s v="31 dias ou +"/>
    <s v="WNIBQQ"/>
    <s v="SABRE"/>
    <s v="BRAZIL/TEST"/>
    <s v="Aline Gabriela Casaro"/>
    <s v="Aline Gabriela Casaro"/>
    <x v="15"/>
    <s v="WNIBQQ"/>
    <s v="-"/>
    <s v="OFF LINE"/>
    <s v="?"/>
    <s v="?"/>
    <s v="Aéreo"/>
    <s v="S"/>
    <s v="Grupo Nielseniq"/>
    <s v="Nielseniq do Brasil"/>
    <s v="Cliente FEE no POS"/>
    <s v="Gol Linhas Aereas"/>
    <s v="-"/>
    <s v="FCM-OPE-SAO-PVI-BTC-CONCUR-NIELSENIQ"/>
    <s v="-"/>
    <x v="8"/>
    <n v="0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4576799"/>
    <n v="25400183"/>
    <s v="ACC01"/>
    <x v="16"/>
    <d v="2026-07-03T17:10:26"/>
    <s v="03 a 05 dias"/>
    <s v="31 dias ou +"/>
    <s v="NTNZZK"/>
    <s v="SABRE"/>
    <s v="BRAZIL/TEST"/>
    <s v="Aline Gabriela Casaro"/>
    <s v="Aline Gabriela Casaro"/>
    <x v="16"/>
    <s v="NTNZZK"/>
    <s v="-"/>
    <s v="ON LINE"/>
    <s v="Cartão de crédito"/>
    <s v="Cartão de crédito"/>
    <s v="Aéreo"/>
    <s v="S"/>
    <s v="Grupo Nielseniq"/>
    <s v="Gfk Brasil"/>
    <s v="-"/>
    <s v="Gol Linhas Aereas"/>
    <n v="7700088287"/>
    <s v="-"/>
    <s v="-"/>
    <x v="8"/>
    <n v="0"/>
    <n v="0"/>
    <n v="0"/>
    <n v="0"/>
    <n v="0"/>
    <n v="0"/>
    <s v="Reserva importada por HubTravel"/>
    <s v="Matrícula não preenchida! (ACC01) Canal de venda não preenchido! (ACC01)"/>
    <s v="SABRE"/>
    <s v="Mais de um campo não preenchido"/>
    <s v="Falta de informação Gerencial"/>
    <s v="Dados do Fornecedor"/>
    <s v="Qualidade dos dados"/>
    <s v="KONTIK BUSINESS TRAVEL"/>
  </r>
  <r>
    <n v="24554567"/>
    <n v="25377579"/>
    <s v="ACC01"/>
    <x v="17"/>
    <d v="2026-07-03T17:10:25"/>
    <s v="03 a 05 dias"/>
    <s v="31 dias ou +"/>
    <s v="AILTIR"/>
    <s v="SABRE"/>
    <s v="MELLO/RICARDO CHRISTANTE DE"/>
    <s v="DS"/>
    <s v="WS"/>
    <x v="17"/>
    <s v="AILTIR"/>
    <s v="-"/>
    <s v="ON LINE"/>
    <s v="?"/>
    <s v="TKT"/>
    <s v="Aéreo"/>
    <s v="N"/>
    <s v="Grupo Honeywell"/>
    <s v="Honeywell"/>
    <s v="Cliente FEE no POS"/>
    <s v="Latam Airlines Brasil"/>
    <n v="2615162872"/>
    <s v="FCM-OPE-SAO-PVI-BTC-CONCUR-HONEYWELL"/>
    <s v="-"/>
    <x v="8"/>
    <n v="0"/>
    <n v="50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4523313"/>
    <n v="25340752"/>
    <s v="ACC01"/>
    <x v="18"/>
    <d v="2026-04-30T21:13:52"/>
    <s v="31 dias ou +"/>
    <s v="31 dias ou +"/>
    <s v="6FETRR"/>
    <s v="TMS"/>
    <s v="LUANA OLIVEIRA DA SILVA"/>
    <s v="Herbert Amancio de Santana"/>
    <s v="Herbert Amancio de Santana"/>
    <x v="18"/>
    <n v="142425"/>
    <s v="-"/>
    <s v="OFF LINE"/>
    <s v="Cartão de crédito"/>
    <s v="Cartão de crédito"/>
    <s v="Hotel"/>
    <s v="N"/>
    <s v="Grupo Claro Sa"/>
    <s v="Claro S/a"/>
    <s v="-"/>
    <s v="Mercure Curitiba Batel"/>
    <s v="-"/>
    <s v="KON-OPE-SAO-POS-CLARO"/>
    <s v="-"/>
    <x v="17"/>
    <n v="0"/>
    <n v="0"/>
    <n v="0"/>
    <n v="0"/>
    <n v="0"/>
    <n v="0"/>
    <s v="Reserva importada do Sistema TMS. OS: 142425"/>
    <s v="Matrícula não preenchida! (ACC01)"/>
    <s v="ARGO(TMS)"/>
    <s v="Matrícula"/>
    <s v="Falta de informação Gerencial"/>
    <s v="Dados do Fornecedor"/>
    <s v="Qualidade dos dados"/>
    <s v="KONTIK BUSINESS TRAVEL"/>
  </r>
  <r>
    <n v="24555720"/>
    <n v="25378739"/>
    <s v="ACC01"/>
    <x v="13"/>
    <d v="2026-05-11T13:54:48"/>
    <s v="31 dias ou +"/>
    <s v="31 dias ou +"/>
    <s v="KMDJVAT"/>
    <s v="SABRE"/>
    <s v="GUIMARAES/RICARDO COELHO MR"/>
    <s v="VANESSA ARAUJO ALVES"/>
    <s v="VANESSA ARAUJO ALVES"/>
    <x v="13"/>
    <s v="KMDJVA"/>
    <s v="-"/>
    <s v="ON LINE"/>
    <s v="Invoice"/>
    <s v="Faturado"/>
    <s v="Hotel"/>
    <s v="N"/>
    <s v="Grupo Weir Group"/>
    <s v="Weir do Brasil Ltda"/>
    <s v="-"/>
    <s v="Hotel Nacional Inn Previdencia Araxa"/>
    <s v="-"/>
    <s v="FCM-OPE-SAO-PVI-BTC-CONCUR"/>
    <s v="-"/>
    <x v="18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55720"/>
    <n v="25378741"/>
    <s v="ACC03"/>
    <x v="13"/>
    <d v="2026-05-11T13:54:48"/>
    <s v="31 dias ou +"/>
    <s v="31 dias ou +"/>
    <s v="KMDJVAT"/>
    <s v="SABRE"/>
    <s v="GUIMARAES/RICARDO COELHO MR"/>
    <s v="VANESSA ARAUJO ALVES"/>
    <s v="VANESSA ARAUJO ALVES"/>
    <x v="13"/>
    <s v="KMDJVA"/>
    <s v="-"/>
    <s v="ON LINE"/>
    <s v="Cartão de crédito"/>
    <s v="Cartão de crédito"/>
    <s v="Hotel"/>
    <s v="N"/>
    <s v="Grupo Weir Group"/>
    <s v="Weir do Brasil Ltda"/>
    <s v="-"/>
    <s v="Hotel Nacional Inn Previdencia Araxa"/>
    <s v="-"/>
    <s v="FCM-OPE-SAO-PVI-BTC-CONCUR"/>
    <s v="-"/>
    <x v="19"/>
    <n v="39.44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21768"/>
    <n v="25338852"/>
    <s v="ACC01"/>
    <x v="14"/>
    <d v="2026-05-11T13:48:56"/>
    <s v="31 dias ou +"/>
    <s v="31 dias ou +"/>
    <s v="QRLGIQT"/>
    <s v="SABRE"/>
    <s v="VALADAO/MARCUS NANTES MR"/>
    <s v="VANESSA ARAUJO ALVES"/>
    <s v="VANESSA ARAUJO ALVES"/>
    <x v="14"/>
    <s v="QRLGIQ"/>
    <s v="-"/>
    <s v="ON LINE"/>
    <s v="Invoice"/>
    <s v="Faturado"/>
    <s v="Hotel"/>
    <s v="N"/>
    <s v="Grupo Weir Group"/>
    <s v="Weir do Brasil Ltda"/>
    <s v="-"/>
    <s v="Ibis Arapiraca"/>
    <s v="-"/>
    <s v="FCM-OPE-SAO-PVI-BTC-CONCUR"/>
    <s v="-"/>
    <x v="20"/>
    <n v="38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20473"/>
    <n v="25337402"/>
    <s v="ACC01"/>
    <x v="11"/>
    <d v="2026-05-15T15:49:20"/>
    <s v="31 dias ou +"/>
    <s v="31 dias ou +"/>
    <s v="YDBHKXT"/>
    <s v="SABRE"/>
    <s v="ALVES DE SOUZA/JARDEL"/>
    <s v="WS"/>
    <s v="WS"/>
    <x v="11"/>
    <s v="YDBHKX"/>
    <s v="-"/>
    <s v="ON LINE"/>
    <s v="Cartão de crédito"/>
    <s v="Cartão de crédito"/>
    <s v="Hotel"/>
    <s v="N"/>
    <s v="Grupo Honeywell"/>
    <s v="Honeywell"/>
    <s v="Cliente FEE no POS"/>
    <s v="The Z Hotel Piccadilly"/>
    <s v="-"/>
    <s v="FCM-OPE-SAO-PVI-BTC-CONCUR-HONEYWELL"/>
    <s v="-"/>
    <x v="21"/>
    <n v="0"/>
    <n v="0"/>
    <n v="0"/>
    <n v="0"/>
    <n v="0"/>
    <n v="13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493290"/>
    <n v="25304641"/>
    <s v="ACC01"/>
    <x v="12"/>
    <d v="2026-05-12T15:06:34"/>
    <s v="31 dias ou +"/>
    <s v="31 dias ou +"/>
    <s v="UIGHEJT"/>
    <s v="SABRE"/>
    <s v="DALANEZE/MARCIO MR"/>
    <s v="VANESSA ARAUJO ALVES"/>
    <s v="VANESSA ARAUJO ALVES"/>
    <x v="12"/>
    <s v="UIGHEJ"/>
    <s v="-"/>
    <s v="ON LINE"/>
    <s v="Cartão de crédito"/>
    <s v="Cartão de crédito"/>
    <s v="Hotel"/>
    <s v="N"/>
    <s v="Grupo Weir Group"/>
    <s v="Weir do Brasil Ltda"/>
    <s v="-"/>
    <s v="Ibis Budget Parauapebas"/>
    <s v="-"/>
    <s v="FCM-OPE-SAO-PVI-BTC-CONCUR"/>
    <s v="-"/>
    <x v="22"/>
    <n v="31.77"/>
    <n v="0"/>
    <n v="0"/>
    <n v="0"/>
    <n v="0"/>
    <n v="0"/>
    <s v="Reserva importada por HubTravel"/>
    <s v="Matrícula não preenchida! (ACC02)"/>
    <s v="SABRE"/>
    <s v="Matrícula"/>
    <s v="Falta de informação Gerencial"/>
    <s v="Dados do Fornecedor"/>
    <s v="Qualidade dos dados"/>
    <s v="KONTIK BUSINESS TRAVEL"/>
  </r>
  <r>
    <n v="24555179"/>
    <n v="25378142"/>
    <s v="ACC01"/>
    <x v="19"/>
    <d v="2026-05-08T11:05:40"/>
    <s v="31 dias ou +"/>
    <s v="31 dias ou +"/>
    <s v="6GXVCG"/>
    <s v="TMS"/>
    <s v="LURIAN RAMOS"/>
    <s v="Tms"/>
    <s v="Tms"/>
    <x v="19"/>
    <n v="120419"/>
    <s v="-"/>
    <s v="ON LINE"/>
    <s v="Pagamento direto"/>
    <s v="Pagamento direto"/>
    <s v="Hotel"/>
    <s v="N"/>
    <s v="Grupo Ache"/>
    <s v="Ache Laboratorios Farmaceuticos Sa"/>
    <s v="-"/>
    <s v="Acdw Gestao de Hoteis"/>
    <s v="-"/>
    <s v="KON-OPE-SAO-PVI-ACHE"/>
    <s v="-"/>
    <x v="23"/>
    <n v="0"/>
    <n v="0"/>
    <n v="0"/>
    <n v="0"/>
    <n v="0"/>
    <n v="0"/>
    <s v="Reserva importada do Sistema TMS. OS: 120419"/>
    <s v="Consolidador é obrigatório para este fornecedor &quot;Acdw Gestao de Hoteis&quot;, porém não está preenchido! (ACC01)"/>
    <s v="ARGO(TMS)"/>
    <s v="Caractere inválido"/>
    <s v="Caractere invalido em campo gerencial"/>
    <s v="Dados Gerenciais"/>
    <s v="Qualidade dos dados"/>
    <s v="KONTIK BUSINESS TRAVEL"/>
  </r>
  <r>
    <n v="24533095"/>
    <n v="25354182"/>
    <s v="ACC01"/>
    <x v="20"/>
    <d v="2026-05-04T15:48:07"/>
    <s v="31 dias ou +"/>
    <s v="31 dias ou +"/>
    <s v="6FGIYY"/>
    <s v="TMS"/>
    <s v="GUILHERME JAYME"/>
    <s v="Tms"/>
    <s v="Tms"/>
    <x v="20"/>
    <n v="119301"/>
    <s v="-"/>
    <s v="ON LINE"/>
    <s v="Pagamento direto"/>
    <s v="Pagamento direto"/>
    <s v="Hotel"/>
    <s v="N"/>
    <s v="Grupo Ache"/>
    <s v="Ache Laboratorios Farmaceuticos Sa"/>
    <s v="-"/>
    <s v="Acdw Gestao de Hoteis"/>
    <s v="-"/>
    <s v="KON-OPE-SAO-PVI-ACHE"/>
    <s v="-"/>
    <x v="24"/>
    <n v="0"/>
    <n v="0"/>
    <n v="0"/>
    <n v="0"/>
    <n v="0"/>
    <n v="0"/>
    <s v="Reserva importada do Sistema TMS. OS: 119301"/>
    <s v="Consolidador é obrigatório para este fornecedor &quot;Acdw Gestao de Hoteis&quot;, porém não está preenchido! (ACC01)"/>
    <s v="ARGO(TMS)"/>
    <s v="Caractere inválido"/>
    <s v="Caractere invalido em campo gerencial"/>
    <s v="Dados Gerenciais"/>
    <s v="Qualidade dos dados"/>
    <s v="KONTIK BUSINESS TRAVEL"/>
  </r>
  <r>
    <n v="24493879"/>
    <n v="25305327"/>
    <s v="ACC01"/>
    <x v="21"/>
    <d v="2026-07-03T17:06:14"/>
    <s v="03 a 05 dias"/>
    <s v="31 dias ou +"/>
    <s v="FXNPFRT"/>
    <s v="SABRE"/>
    <s v="SCHMIDT/SERGIO LUIS MR"/>
    <s v="WY"/>
    <s v="WY"/>
    <x v="21"/>
    <s v="FXNPFR"/>
    <s v="-"/>
    <s v="ON LINE"/>
    <s v="Cartão de crédito"/>
    <s v="Cartão de crédito"/>
    <s v="Hotel"/>
    <s v="N"/>
    <s v="Grupo Jti"/>
    <s v="Jti Processadora"/>
    <s v="-"/>
    <s v="Courtyard Aruba Resort"/>
    <s v="-"/>
    <s v="FCM-OPE-POA-PVI-BTC CONCUR"/>
    <s v="-"/>
    <x v="25"/>
    <n v="171.64"/>
    <n v="0"/>
    <n v="0"/>
    <n v="0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714763"/>
    <n v="25553301"/>
    <s v="ACC01"/>
    <x v="22"/>
    <d v="2026-06-05T20:56:22"/>
    <s v="31 dias ou +"/>
    <s v="31 dias ou +"/>
    <s v="6LRNU9"/>
    <s v="TMS"/>
    <s v="LUCAS SILVA"/>
    <s v="Elivani Souza de Araujo Angi"/>
    <s v="Elivani Souza de Araujo Angi"/>
    <x v="22"/>
    <n v="325193"/>
    <s v="Curacao, Antilhas Holandesas (CUR)"/>
    <s v="OFF LINE"/>
    <s v="Invoice"/>
    <s v="Faturado"/>
    <s v="Carro"/>
    <s v="N"/>
    <s v="Grupo Kpmg"/>
    <s v="Kpmg"/>
    <s v="-"/>
    <s v="-"/>
    <s v="-"/>
    <s v="KON-OPE-SAO-PVI-KPMG"/>
    <s v="-"/>
    <x v="26"/>
    <n v="0"/>
    <n v="0"/>
    <n v="0"/>
    <n v="0"/>
    <n v="0"/>
    <n v="0"/>
    <s v="Reserva importada do Sistema TMS. OS: 325193"/>
    <s v="Fornecedor não preenchido! (ACC01)"/>
    <s v="ARGO(TMS)"/>
    <s v="Falta de Fornecedor"/>
    <s v="Campo Fornecedor"/>
    <s v="Dados do Fornecedor"/>
    <s v="Qualidade dos dados"/>
    <s v="KONTIK BUSINESS TRAVEL"/>
  </r>
  <r>
    <n v="24714769"/>
    <n v="25553308"/>
    <s v="ACC01"/>
    <x v="23"/>
    <d v="2026-06-05T20:56:57"/>
    <s v="31 dias ou +"/>
    <s v="31 dias ou +"/>
    <s v="6LN979"/>
    <s v="TMS"/>
    <s v="IGOR SILVA"/>
    <s v="Tuane Cristina Alves de Oliveira"/>
    <s v="Tuane Cristina Alves de Oliveira"/>
    <x v="23"/>
    <n v="324839"/>
    <s v="Pelotas / RS, Brasil (PET)"/>
    <s v="OFF LINE"/>
    <s v="Invoice"/>
    <s v="Faturado"/>
    <s v="Carro"/>
    <s v="N"/>
    <s v="Grupo Kpmg"/>
    <s v="Kpmg Consultoria"/>
    <s v="-"/>
    <s v="-"/>
    <s v="-"/>
    <s v="KON-OPE-SAO-PVI-KPMG"/>
    <s v="-"/>
    <x v="27"/>
    <n v="0"/>
    <n v="0"/>
    <n v="0"/>
    <n v="0"/>
    <n v="0"/>
    <n v="0"/>
    <s v="Reserva importada do Sistema TMS. OS: 324839"/>
    <s v="Fornecedor não preenchido! (ACC01)"/>
    <s v="ARGO(TMS)"/>
    <s v="Falta de Fornecedor"/>
    <s v="Campo Fornecedor"/>
    <s v="Dados do Fornecedor"/>
    <s v="Qualidade dos dados"/>
    <s v="KONTIK BUSINESS TRAVEL"/>
  </r>
  <r>
    <n v="24714784"/>
    <n v="25553324"/>
    <s v="ACC01"/>
    <x v="24"/>
    <d v="2026-06-05T21:05:27"/>
    <s v="31 dias ou +"/>
    <s v="31 dias ou +"/>
    <s v="6L2ZKO"/>
    <s v="TMS"/>
    <s v="EVERSON FERREIRA"/>
    <s v="BRUNO ALVARENGA MELONI"/>
    <s v="BRUNO ALVARENGA MELONI"/>
    <x v="24"/>
    <n v="323713"/>
    <s v="Sao Gabriel / RS, Brasil (PFB)"/>
    <s v="OFF LINE"/>
    <s v="Invoice"/>
    <s v="Faturado"/>
    <s v="Carro"/>
    <s v="N"/>
    <s v="Grupo Kpmg"/>
    <s v="Kpmg Consultoria"/>
    <s v="-"/>
    <s v="-"/>
    <s v="-"/>
    <s v="KON-OPE-SAO-PVI-KPMG"/>
    <s v="-"/>
    <x v="28"/>
    <n v="0"/>
    <n v="0"/>
    <n v="0"/>
    <n v="0"/>
    <n v="0"/>
    <n v="0"/>
    <s v="Reserva importada do Sistema TMS. OS: 323713"/>
    <s v="Fornecedor não preenchido! (ACC01)"/>
    <s v="ARGO(TMS)"/>
    <s v="Falta de Fornecedor"/>
    <s v="Campo Fornecedor"/>
    <s v="Dados do Fornecedor"/>
    <s v="Qualidade dos dados"/>
    <s v="KONTIK BUSINESS TRAVEL"/>
  </r>
  <r>
    <n v="24706569"/>
    <n v="25545356"/>
    <s v="ACC01"/>
    <x v="25"/>
    <d v="2026-06-04T01:35:32"/>
    <s v="31 dias ou +"/>
    <s v="31 dias ou +"/>
    <s v="6LJ736"/>
    <s v="TMS"/>
    <s v="THAIS CARNEIRO"/>
    <s v="Tuane Cristina Alves de Oliveira"/>
    <s v="Tuane Cristina Alves de Oliveira"/>
    <x v="25"/>
    <n v="324836"/>
    <s v="Pelotas / RS, Brasil (PET)"/>
    <s v="OFF LINE"/>
    <s v="Invoice"/>
    <s v="Faturado"/>
    <s v="Carro"/>
    <s v="N"/>
    <s v="Grupo Kpmg"/>
    <s v="Kpmg Consultoria"/>
    <s v="-"/>
    <s v="-"/>
    <s v="-"/>
    <s v="KON-OPE-SAO-PVI-KPMG"/>
    <s v="-"/>
    <x v="29"/>
    <n v="0"/>
    <n v="0"/>
    <n v="0"/>
    <n v="0"/>
    <n v="0"/>
    <n v="0"/>
    <s v="Reserva importada do Sistema TMS. OS: 324836"/>
    <s v="Fornecedor não preenchido! (ACC01)"/>
    <s v="ARGO(TMS)"/>
    <s v="Falta de Fornecedor"/>
    <s v="Campo Fornecedor"/>
    <s v="Dados do Fornecedor"/>
    <s v="Qualidade dos dados"/>
    <s v="KONTIK BUSINESS TRAVEL"/>
  </r>
  <r>
    <n v="24583451"/>
    <n v="25407581"/>
    <s v="ACC01"/>
    <x v="26"/>
    <d v="2026-05-13T00:21:57"/>
    <s v="31 dias ou +"/>
    <s v="31 dias ou +"/>
    <s v="6H7W4H"/>
    <s v="TMS"/>
    <s v="CAROLINA TEIXEIRA"/>
    <s v="Tuane Cristina Alves de Oliveira"/>
    <s v="Tuane Cristina Alves de Oliveira"/>
    <x v="26"/>
    <n v="315773"/>
    <s v="Campo Mourão / PR, Brasil (CBW)"/>
    <s v="OFF LINE"/>
    <s v="Invoice"/>
    <s v="Faturado"/>
    <s v="Carro"/>
    <s v="N"/>
    <s v="Grupo Kpmg"/>
    <s v="Kpmg Consultoria"/>
    <s v="-"/>
    <s v="-"/>
    <s v="-"/>
    <s v="KON-OPE-SAO-PVI-KPMG"/>
    <s v="-"/>
    <x v="30"/>
    <n v="0"/>
    <n v="0"/>
    <n v="0"/>
    <n v="0"/>
    <n v="0"/>
    <n v="0"/>
    <s v="Reserva importada do Sistema TMS. OS: 315773"/>
    <s v="Fornecedor não preenchido! (ACC01)"/>
    <s v="ARGO(TMS)"/>
    <s v="Falta de Fornecedor"/>
    <s v="Campo Fornecedor"/>
    <s v="Dados do Fornecedor"/>
    <s v="Qualidade dos dados"/>
    <s v="KONTIK BUSINESS TRAVEL"/>
  </r>
  <r>
    <n v="24583453"/>
    <n v="25407583"/>
    <s v="ACC01"/>
    <x v="27"/>
    <d v="2026-05-13T00:21:57"/>
    <s v="31 dias ou +"/>
    <s v="31 dias ou +"/>
    <s v="6HM3VY"/>
    <s v="TMS"/>
    <s v="MARCOS OLIVEIRA"/>
    <s v="Tuane Cristina Alves de Oliveira"/>
    <s v="Tuane Cristina Alves de Oliveira"/>
    <x v="27"/>
    <n v="315759"/>
    <s v="Querencia / MT, Brasil"/>
    <s v="OFF LINE"/>
    <s v="Invoice"/>
    <s v="Faturado"/>
    <s v="Carro"/>
    <s v="N"/>
    <s v="Grupo Kpmg"/>
    <s v="Kpmg Consultoria"/>
    <s v="-"/>
    <s v="-"/>
    <s v="-"/>
    <s v="KON-OPE-SAO-PVI-KPMG"/>
    <s v="-"/>
    <x v="31"/>
    <n v="0"/>
    <n v="0"/>
    <n v="0"/>
    <n v="0"/>
    <n v="0"/>
    <n v="0"/>
    <s v="Reserva importada do Sistema TMS. OS: 315759"/>
    <s v="Fornecedor não preenchido! (ACC01)"/>
    <s v="ARGO(TMS)"/>
    <s v="Falta de Fornecedor"/>
    <s v="Campo Fornecedor"/>
    <s v="Dados do Fornecedor"/>
    <s v="Qualidade dos dados"/>
    <s v="KONTIK BUSINESS TRAVEL"/>
  </r>
  <r>
    <n v="24668983"/>
    <n v="25504725"/>
    <s v="ACC02"/>
    <x v="28"/>
    <d v="2026-06-01T17:13:17"/>
    <s v="31 dias ou +"/>
    <s v="31 dias ou +"/>
    <s v="GJZNZCT"/>
    <s v="SABRE"/>
    <s v="MORENO/FABIO CAMPOS MR"/>
    <s v="MARIA CECILIA PEREIRA SILVA"/>
    <s v="MARIA CECILIA PEREIRA SILVA"/>
    <x v="28"/>
    <s v="GJZNZC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32"/>
    <n v="34.619999999999997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713006"/>
    <n v="25551262"/>
    <s v="ACC01"/>
    <x v="29"/>
    <d v="2026-07-06T06:50:24"/>
    <s v="0 a 02 dias"/>
    <s v="31 dias ou +"/>
    <s v="AYSESM"/>
    <s v="TMS"/>
    <s v="MICHAEL FERMOSELLES FANTI"/>
    <s v="Tms"/>
    <s v="Tms"/>
    <x v="29"/>
    <n v="149403"/>
    <s v="-"/>
    <s v="ON LINE"/>
    <s v="Cartão de crédito"/>
    <s v="Cartão AMEX"/>
    <s v="Aéreo"/>
    <s v="N"/>
    <s v="Grupo Claro Sa"/>
    <s v="Claro Sao Paulo (santo Amaro)"/>
    <s v="-"/>
    <s v="Gol Linhas Aereas"/>
    <n v="2305290931"/>
    <s v="KON-OPE-SAO-POS-CLARO"/>
    <s v="-"/>
    <x v="33"/>
    <n v="124.76"/>
    <n v="0"/>
    <n v="0"/>
    <n v="0"/>
    <n v="0"/>
    <n v="0"/>
    <s v="Reserva importada do Sistema TMS. OS: 149403"/>
    <s v="Erro não localizado"/>
    <s v="ARGO(TMS)"/>
    <s v="Não identificado"/>
    <s v="Análise Benner"/>
    <s v="Sistema"/>
    <s v="Qualidade dos dados"/>
    <s v="KONTIK BUSINESS TRAVEL"/>
  </r>
  <r>
    <n v="24713008"/>
    <n v="25551264"/>
    <s v="ACC01"/>
    <x v="30"/>
    <d v="2026-07-06T06:50:25"/>
    <s v="0 a 02 dias"/>
    <s v="31 dias ou +"/>
    <s v="UJKVZO"/>
    <s v="TMS"/>
    <s v="CAIO SANTOS"/>
    <s v="Tms"/>
    <s v="Tms"/>
    <x v="30"/>
    <n v="149394"/>
    <s v="-"/>
    <s v="ON LINE"/>
    <s v="Cartão de crédito"/>
    <s v="Cartão AMEX"/>
    <s v="Aéreo"/>
    <s v="N"/>
    <s v="Grupo Claro Sa"/>
    <s v="Claro Sao Paulo (santo Amaro)"/>
    <s v="-"/>
    <s v="Gol Linhas Aereas"/>
    <n v="2305290301"/>
    <s v="KON-OPE-SAO-POS-CLARO"/>
    <s v="-"/>
    <x v="34"/>
    <n v="124.76"/>
    <n v="0"/>
    <n v="0"/>
    <n v="0"/>
    <n v="0"/>
    <n v="0"/>
    <s v="Reserva importada do Sistema TMS. OS: 149394"/>
    <s v="Erro não localizado"/>
    <s v="ARGO(TMS)"/>
    <s v="Não identificado"/>
    <s v="Análise Benner"/>
    <s v="Sistema"/>
    <s v="Qualidade dos dados"/>
    <s v="KONTIK BUSINESS TRAVEL"/>
  </r>
  <r>
    <n v="24717148"/>
    <n v="25555303"/>
    <s v="ACC01"/>
    <x v="31"/>
    <d v="2026-07-03T17:10:28"/>
    <s v="03 a 05 dias"/>
    <s v="24 a 31 dias"/>
    <s v="HRDVNH"/>
    <s v="SABRE"/>
    <s v="HILARIO/RENATA"/>
    <s v="VANESSA ARAUJO ALVES"/>
    <s v="VANESSA ARAUJO ALVES"/>
    <x v="31"/>
    <s v="HPMECX"/>
    <s v="-"/>
    <s v="ON LINE"/>
    <s v="Invoice"/>
    <s v="Faturado"/>
    <s v="Aéreo"/>
    <s v="N"/>
    <s v="Grupo Rhenus"/>
    <s v="Freight Logistics International do Brasil Ltda - Inativo"/>
    <s v="-"/>
    <s v="Gol Linhas Aereas"/>
    <n v="2305320078"/>
    <s v="FCM-OPE-POA-BTC FCM"/>
    <s v="-"/>
    <x v="35"/>
    <n v="62.14"/>
    <n v="0"/>
    <n v="0"/>
    <n v="0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KONTIK BUSINESS TRAVEL"/>
  </r>
  <r>
    <n v="24593378"/>
    <n v="25418491"/>
    <s v="ACC01"/>
    <x v="32"/>
    <d v="2026-05-14T13:35:31"/>
    <s v="31 dias ou +"/>
    <s v="31 dias ou +"/>
    <s v="DPADCR"/>
    <s v="TMS"/>
    <s v="WILLIAM NEVER"/>
    <s v="Tms"/>
    <s v="Tms"/>
    <x v="32"/>
    <n v="4210"/>
    <s v="-"/>
    <s v="ON LINE"/>
    <s v="Outros"/>
    <s v="Cartão convênio"/>
    <s v="Aéreo"/>
    <s v="N"/>
    <s v="Grupo Orizon"/>
    <s v="Orizon"/>
    <s v="-"/>
    <s v="Latam Airlines Brasil"/>
    <n v="2286719971"/>
    <s v="KON-OPE-SAO-PVI-BTC-ARGO-CIELO"/>
    <s v="-"/>
    <x v="36"/>
    <n v="33.64"/>
    <n v="0"/>
    <n v="0"/>
    <n v="0"/>
    <n v="0"/>
    <n v="0"/>
    <s v="Reserva importada do Sistema TMS. OS: 4210"/>
    <s v="Matrícula não preenchida! (ACC01)"/>
    <s v="ARGO(TMS)"/>
    <s v="Matrícula"/>
    <s v="Falta de informação Gerencial"/>
    <s v="Dados do Fornecedor"/>
    <s v="Qualidade dos dados"/>
    <s v="GRUPO KONTIK"/>
  </r>
  <r>
    <n v="24599612"/>
    <n v="25425648"/>
    <s v="ACC01"/>
    <x v="33"/>
    <d v="2026-07-03T17:10:26"/>
    <s v="03 a 05 dias"/>
    <s v="31 dias ou +"/>
    <s v="QEGSTH"/>
    <s v="SABRE"/>
    <s v="AMPUDIA/GIULIANNO"/>
    <s v="Wellington Ribeiro da Silva"/>
    <s v="Lila Beatriz Medeiros"/>
    <x v="33"/>
    <s v="QEGSTH"/>
    <s v="-"/>
    <s v="OFF LINE"/>
    <s v="Cartão de crédito"/>
    <s v="Cartão AMEX"/>
    <s v="Aéreo"/>
    <s v="N"/>
    <s v="Grupo Bosch"/>
    <s v="Cap1 - Planta Campinas Bosch - 9080"/>
    <s v="Cliente FEE no POS"/>
    <s v="Latam Airlines Brasil"/>
    <n v="9751493047"/>
    <s v="FCM-OPE-SAO-PVI-BOSCH"/>
    <s v="-"/>
    <x v="8"/>
    <n v="0"/>
    <n v="0"/>
    <n v="0"/>
    <n v="0"/>
    <n v="0"/>
    <n v="21.9"/>
    <s v="Reserva importada por HubTravel"/>
    <s v="Tarifa mínima não preenchida! (ACC01)"/>
    <s v="SABRE"/>
    <s v="Tarifa mínima"/>
    <s v="Falta de informação Gerencial"/>
    <s v="Dados do Fornecedor"/>
    <s v="Qualidade dos dados"/>
    <s v="GRUPO KONTIK"/>
  </r>
  <r>
    <n v="24696661"/>
    <n v="25540976"/>
    <s v="ACC02"/>
    <x v="34"/>
    <d v="2026-07-03T17:10:27"/>
    <s v="03 a 05 dias"/>
    <s v="31 dias ou +"/>
    <s v="UPBZIK"/>
    <s v="SABRE"/>
    <s v="GOMES DE OLIVEIRA JUNIOR/ADAL"/>
    <s v="DS"/>
    <s v="WY"/>
    <x v="34"/>
    <s v="UPBZIK"/>
    <s v="-"/>
    <s v="ON LINE"/>
    <s v="Invoice"/>
    <s v="Faturado"/>
    <s v="Aéreo"/>
    <s v="N"/>
    <s v="Grupo Bosch"/>
    <s v="Bosch Home Comfort do Brasil Ltda"/>
    <s v="-"/>
    <s v="Latam Airlines Brasil"/>
    <n v="2615507914"/>
    <s v="FCM-OPE-SAO-PVI-BOSCH"/>
    <s v="-"/>
    <x v="37"/>
    <n v="88.81"/>
    <n v="0"/>
    <n v="0"/>
    <n v="88.81"/>
    <n v="0"/>
    <n v="0"/>
    <s v="Reserva importada por HubTravel"/>
    <s v="Matrícula não preenchida! (ACC02)"/>
    <s v="SABRE"/>
    <s v="Matrícula"/>
    <s v="Falta de informação Gerencial"/>
    <s v="Dados do Fornecedor"/>
    <s v="Qualidade dos dados"/>
    <s v="KONTIK BUSINESS TRAVEL"/>
  </r>
  <r>
    <n v="24626620"/>
    <n v="25455982"/>
    <s v="ACC01"/>
    <x v="35"/>
    <d v="2026-06-11T15:00:58"/>
    <s v="24 a 31 dias"/>
    <s v="31 dias ou +"/>
    <s v="CWKUYJ-1"/>
    <s v="MANUAL"/>
    <s v="FLAVIA DA SILVA"/>
    <s v="Tms"/>
    <s v="Tms"/>
    <x v="35"/>
    <n v="6777"/>
    <s v="-"/>
    <s v="OFF LINE"/>
    <s v="Cartão de crédito"/>
    <s v="Faturado"/>
    <s v="Aéreo"/>
    <s v="S"/>
    <s v="Grupo Track e Field"/>
    <s v="Track e Field Co Sa Matriz"/>
    <s v="-"/>
    <s v="Latam Airlines Brasil"/>
    <n v="8800001828"/>
    <s v="KON-OPE-SAO-PVI-BTC-ARGO"/>
    <s v="-"/>
    <x v="8"/>
    <n v="0"/>
    <n v="62.9"/>
    <n v="0"/>
    <n v="0"/>
    <n v="0"/>
    <n v="0"/>
    <s v="Reserva importada do Sistema TMS. OS: 6777"/>
    <s v="Problema ocorrido ao cancelar o documento: Problema ao contabilizar o cancelamento:  Não é possível efetuar esta contabilização!  Societário Débitos: "/>
    <s v="MANUAL"/>
    <s v="Não identificado"/>
    <s v="Análise Benner"/>
    <s v="Sistema"/>
    <s v="Qualidade dos dados"/>
    <s v="KONTIK BUSINESS TRAVEL"/>
  </r>
  <r>
    <n v="24612982"/>
    <n v="25441457"/>
    <s v="ACC01"/>
    <x v="36"/>
    <d v="2026-07-03T17:10:26"/>
    <s v="03 a 05 dias"/>
    <s v="31 dias ou +"/>
    <s v="IMPGKK"/>
    <s v="SABRE"/>
    <s v="DA SILVA/MESSIAS EDUARDO"/>
    <s v="V7"/>
    <s v="Raquel Ribeiro Pinto Villarreal"/>
    <x v="36"/>
    <s v="IMPGKK"/>
    <s v="-"/>
    <s v="ON LINE"/>
    <s v="Cartão de crédito"/>
    <s v="Cartão AMEX"/>
    <s v="Aéreo"/>
    <s v="S"/>
    <s v="Grupo Livanova"/>
    <s v="Livanova Brasil"/>
    <s v="-"/>
    <s v="Latam Airlines Brasil"/>
    <s v="-"/>
    <s v="FCM-OPE-SAO-PVI-BTC"/>
    <s v="-"/>
    <x v="38"/>
    <n v="64.56"/>
    <n v="229.99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587408"/>
    <n v="25411692"/>
    <s v="ACC01"/>
    <x v="37"/>
    <d v="2026-07-03T17:06:14"/>
    <s v="03 a 05 dias"/>
    <s v="31 dias ou +"/>
    <s v="OGOGNPT"/>
    <s v="SABRE"/>
    <s v="MORAES/MARCOS  MR"/>
    <s v="VANESSA ARAUJO ALVES"/>
    <s v="VANESSA ARAUJO ALVES"/>
    <x v="37"/>
    <s v="OGOGNP"/>
    <s v="-"/>
    <s v="OFF LINE"/>
    <s v="Invoice"/>
    <s v="Faturado"/>
    <s v="Hotel"/>
    <s v="N"/>
    <s v="Grupo Weir Group"/>
    <s v="Weir do Brasil Ltda"/>
    <s v="-"/>
    <s v="Ilheus Praia Hotel"/>
    <s v="-"/>
    <s v="FCM-OPE-SAO-PVI-BTC-CONCUR"/>
    <s v="-"/>
    <x v="39"/>
    <n v="0"/>
    <n v="0"/>
    <n v="0"/>
    <n v="0"/>
    <n v="0"/>
    <n v="0"/>
    <s v="Reserva importada por HubTravel"/>
    <s v="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4659877"/>
    <n v="25493953"/>
    <s v="ACC01"/>
    <x v="38"/>
    <d v="2026-07-03T17:06:15"/>
    <s v="03 a 05 dias"/>
    <s v="31 dias ou +"/>
    <s v="QOYOBYT"/>
    <s v="SABRE"/>
    <s v="SOUTO/MARCIO"/>
    <s v="VANESSA ARAUJO ALVES"/>
    <s v="VANESSA ARAUJO ALVES"/>
    <x v="38"/>
    <s v="QOYOBY"/>
    <s v="-"/>
    <s v="OFF LINE"/>
    <s v="Invoice"/>
    <s v="Faturado"/>
    <s v="Hotel"/>
    <s v="N"/>
    <s v="Grupo Iron Mountain"/>
    <s v="Iron Mountain"/>
    <s v="-"/>
    <s v="Rigo Hotel Santa Rosa"/>
    <s v="-"/>
    <s v="FCM-OPE-SAO-PVI-BTC-CONCUR-IRON "/>
    <s v="-"/>
    <x v="40"/>
    <n v="0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718971"/>
    <n v="25556998"/>
    <s v="ACC01"/>
    <x v="39"/>
    <d v="2026-07-03T17:06:15"/>
    <s v="03 a 05 dias"/>
    <s v="24 a 31 dias"/>
    <s v="OREBFZC"/>
    <s v="SABRE"/>
    <s v="MOURA/JONNI"/>
    <s v="Andreia de Alencar Alves"/>
    <s v="Andreia de Alencar Alves"/>
    <x v="39"/>
    <s v="OREBFZ"/>
    <s v="BEL"/>
    <s v="OFF LINE"/>
    <s v="Pagamento direto"/>
    <s v="Faturado"/>
    <s v="Carro"/>
    <s v="N"/>
    <s v="Grupo Honeywell"/>
    <s v="Honeywell"/>
    <s v="Cliente FEE no POS"/>
    <s v="Localiza - Br - Pa - Belem - Val de Canf"/>
    <s v="-"/>
    <s v="EMERGENCIAL"/>
    <s v="-"/>
    <x v="41"/>
    <n v="787.53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Sistêmico"/>
    <s v="GRUPO KONTIK"/>
  </r>
  <r>
    <n v="24731930"/>
    <n v="25569446"/>
    <s v="ACC01"/>
    <x v="40"/>
    <d v="2026-07-03T17:06:15"/>
    <s v="03 a 05 dias"/>
    <s v="24 a 31 dias"/>
    <s v="AWBSNCT"/>
    <s v="SABRE"/>
    <s v="RODRIGUES/ANDRE PAES MR"/>
    <s v="VANESSA ARAUJO ALVES"/>
    <s v="VANESSA ARAUJO ALVES"/>
    <x v="40"/>
    <s v="AWBSNC"/>
    <s v="-"/>
    <s v="ON LINE"/>
    <s v="Invoice"/>
    <s v="Faturado"/>
    <s v="Hotel"/>
    <s v="N"/>
    <s v="Grupo Innomotics"/>
    <s v="Innomotics Motores e Grandes Conversores Ltda"/>
    <s v="-"/>
    <s v="Hotel Palmares -  Para"/>
    <s v="-"/>
    <s v="FCM-OPE-SAO-PVI-BTC"/>
    <s v="-"/>
    <x v="42"/>
    <n v="0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646482"/>
    <n v="25478485"/>
    <s v="ACC01"/>
    <x v="41"/>
    <d v="2026-06-01T18:01:18"/>
    <s v="31 dias ou +"/>
    <s v="31 dias ou +"/>
    <s v="AWMQ2K"/>
    <s v="MANUAL"/>
    <s v="DOUGLAS SANTANA SANTOS"/>
    <s v="RAYSSA MARTINS FERREIRA"/>
    <s v="Alexander Perez Alves"/>
    <x v="41"/>
    <n v="4693437"/>
    <s v="-"/>
    <s v="OFF LINE"/>
    <s v="Invoice"/>
    <s v="Cartão convênio"/>
    <s v="Aéreo"/>
    <s v="S"/>
    <s v="Grupo Aspen Pharma"/>
    <s v="Aspen Pharma"/>
    <s v="-"/>
    <s v="Azul Linhas Aereas"/>
    <n v="3025478510"/>
    <s v="KON-OPE-RIO-PVI-BTC-ASPEN PHARMA"/>
    <s v="-"/>
    <x v="43"/>
    <n v="48.63"/>
    <n v="0"/>
    <n v="0"/>
    <n v="0"/>
    <n v="0"/>
    <n v="0"/>
    <s v="Reserva importada do sistema Gover. Id: 4693437"/>
    <s v="Matrícula não preenchida! (ACC02)"/>
    <s v="MANUAL"/>
    <s v="Matrícula"/>
    <s v="Falta de informação Gerencial"/>
    <s v="Dados do Fornecedor"/>
    <s v="Qualidade dos dados"/>
    <s v="GRUPO KONTIK"/>
  </r>
  <r>
    <n v="24646482"/>
    <n v="25526733"/>
    <s v="ACC02"/>
    <x v="41"/>
    <d v="2026-06-01T18:01:18"/>
    <s v="31 dias ou +"/>
    <s v="31 dias ou +"/>
    <s v="AWMQ2K"/>
    <s v="MANUAL"/>
    <s v="Douglas Santana Santos"/>
    <s v="RAYSSA MARTINS FERREIRA"/>
    <s v="Alexander Perez Alves"/>
    <x v="41"/>
    <n v="4693437"/>
    <s v="-"/>
    <s v="OFF LINE"/>
    <s v="Cartão de crédito"/>
    <s v="Cartão de crédito"/>
    <s v="Aéreo"/>
    <s v="N"/>
    <s v="Grupo Aspen Pharma"/>
    <s v="Aspen Pharma"/>
    <s v="-"/>
    <s v="Azul Linhas Aereas"/>
    <n v="3025526731"/>
    <s v="KON-OPE-RIO-PVI-BTC-ASPEN PHARMA"/>
    <s v="-"/>
    <x v="44"/>
    <n v="48.63"/>
    <n v="0"/>
    <n v="0"/>
    <n v="0"/>
    <n v="0"/>
    <n v="0"/>
    <s v="Reserva importada do sistema Gover. Id: 4693437"/>
    <s v="Matrícula não preenchida! (ACC02)"/>
    <s v="MANUAL"/>
    <s v="Matrícula"/>
    <s v="Falta de informação Gerencial"/>
    <s v="Dados do Fornecedor"/>
    <s v="Qualidade dos dados"/>
    <s v="GRUPO KONTIK"/>
  </r>
  <r>
    <n v="24732536"/>
    <n v="25570071"/>
    <s v="ACC01"/>
    <x v="42"/>
    <d v="2026-07-03T17:10:29"/>
    <s v="03 a 05 dias"/>
    <s v="24 a 31 dias"/>
    <s v="FQIUZV"/>
    <s v="SABRE"/>
    <s v="RAMOS PAIVA/LEONARDO"/>
    <s v="VITOR TEICHMANN"/>
    <s v="VITOR TEICHMANN"/>
    <x v="42"/>
    <s v="FQIUZV_1"/>
    <s v="-"/>
    <s v="ON LINE"/>
    <s v="Cartão de crédito"/>
    <s v="Cartão de crédito"/>
    <s v="Aéreo"/>
    <s v="N"/>
    <s v="Grupo Nielseniq"/>
    <s v="Nielseniq do Brasil"/>
    <s v="Cliente FEE no POS"/>
    <s v="Azul Linhas Aereas"/>
    <n v="7700089417"/>
    <s v="FCM-OPE-SAO-PVI-BTC-CONCUR-NIELSENIQ"/>
    <s v="-"/>
    <x v="8"/>
    <n v="0"/>
    <n v="0"/>
    <n v="0"/>
    <n v="0"/>
    <n v="0"/>
    <n v="36.700000000000003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724740"/>
    <n v="25561996"/>
    <s v="ACC01"/>
    <x v="43"/>
    <d v="2026-06-08T13:05:59"/>
    <s v="24 a 31 dias"/>
    <s v="24 a 31 dias"/>
    <s v="6M6I5D"/>
    <s v="MANUAL"/>
    <s v="LUIZ PAULO HITOSHI HIMENO"/>
    <s v="Juliana dos Santos Pinto"/>
    <s v="Juliana dos Santos Pinto"/>
    <x v="43"/>
    <n v="4639544"/>
    <s v="-"/>
    <s v="OFF LINE"/>
    <s v="Invoice"/>
    <s v="Cartão convênio"/>
    <s v="Aéreo"/>
    <s v="S"/>
    <s v="Grupo Energisa"/>
    <s v="Energisa Rondonia - Distribuidora de Energia S.a."/>
    <s v="-"/>
    <s v="Azul Linhas Aereas"/>
    <n v="3025562072"/>
    <s v="KON-OPE-SAO-PVI-ENERGISA"/>
    <s v="-"/>
    <x v="45"/>
    <n v="0"/>
    <n v="0"/>
    <n v="0"/>
    <n v="0"/>
    <n v="0"/>
    <n v="0"/>
    <s v="Reserva importada do sistema Gover. Id: 4639544"/>
    <s v="Validação do documento: Documento está dentro de um período financeiro já fechado!"/>
    <s v="MANUAL"/>
    <s v="Documento fora do período financeiro"/>
    <s v="Financeiro Conciliado"/>
    <s v="Dados Gerenciais"/>
    <s v="Qualidade dos dados"/>
    <s v="GRUPO KONTIK"/>
  </r>
  <r>
    <n v="24724740"/>
    <n v="25561997"/>
    <s v="ACC02"/>
    <x v="43"/>
    <d v="2026-06-08T13:05:59"/>
    <s v="24 a 31 dias"/>
    <s v="24 a 31 dias"/>
    <s v="6M6I5D"/>
    <s v="MANUAL"/>
    <s v="GABRIEL TAKESHI ARAKAKI HIMENO"/>
    <s v="Juliana dos Santos Pinto"/>
    <s v="Juliana dos Santos Pinto"/>
    <x v="43"/>
    <n v="4639544"/>
    <s v="-"/>
    <s v="OFF LINE"/>
    <s v="Invoice"/>
    <s v="Cartão convênio"/>
    <s v="Aéreo"/>
    <s v="S"/>
    <s v="Grupo Energisa"/>
    <s v="Energisa Rondonia - Distribuidora de Energia S.a."/>
    <s v="-"/>
    <s v="Azul Linhas Aereas"/>
    <n v="3024425518"/>
    <s v="KON-OPE-SAO-PVI-ENERGISA"/>
    <s v="-"/>
    <x v="45"/>
    <n v="0"/>
    <n v="0"/>
    <n v="0"/>
    <n v="0"/>
    <n v="0"/>
    <n v="0"/>
    <s v="Reserva importada do sistema Gover. Id: 4639544"/>
    <s v="Validação do documento: Documento está dentro de um período financeiro já fechado!"/>
    <s v="MANUAL"/>
    <s v="Documento fora do período financeiro"/>
    <s v="Financeiro Conciliado"/>
    <s v="Dados Gerenciais"/>
    <s v="Qualidade dos dados"/>
    <s v="GRUPO KONTIK"/>
  </r>
  <r>
    <n v="24724740"/>
    <n v="25561998"/>
    <s v="ACC03"/>
    <x v="43"/>
    <d v="2026-06-08T13:05:59"/>
    <s v="24 a 31 dias"/>
    <s v="24 a 31 dias"/>
    <s v="6M6I5D"/>
    <s v="MANUAL"/>
    <s v="DANIELA YURI ARAKAKI"/>
    <s v="Juliana dos Santos Pinto"/>
    <s v="Juliana dos Santos Pinto"/>
    <x v="43"/>
    <n v="4639544"/>
    <s v="-"/>
    <s v="OFF LINE"/>
    <s v="Invoice"/>
    <s v="Cartão convênio"/>
    <s v="Aéreo"/>
    <s v="S"/>
    <s v="Grupo Energisa"/>
    <s v="Energisa Rondonia - Distribuidora de Energia S.a."/>
    <s v="-"/>
    <s v="Azul Linhas Aereas"/>
    <n v="3024425519"/>
    <s v="KON-OPE-SAO-PVI-ENERGISA"/>
    <s v="-"/>
    <x v="45"/>
    <n v="0"/>
    <n v="0"/>
    <n v="0"/>
    <n v="0"/>
    <n v="0"/>
    <n v="0"/>
    <s v="Reserva importada do sistema Gover. Id: 4639544"/>
    <s v="Validação do documento: Documento está dentro de um período financeiro já fechado!"/>
    <s v="MANUAL"/>
    <s v="Documento fora do período financeiro"/>
    <s v="Financeiro Conciliado"/>
    <s v="Dados Gerenciais"/>
    <s v="Qualidade dos dados"/>
    <s v="GRUPO KONTIK"/>
  </r>
  <r>
    <n v="24724740"/>
    <n v="25561999"/>
    <s v="ACC04"/>
    <x v="43"/>
    <d v="2026-06-08T13:05:59"/>
    <s v="24 a 31 dias"/>
    <s v="24 a 31 dias"/>
    <s v="6M6I5D"/>
    <s v="MANUAL"/>
    <s v="LARISSA NATSUMI ARAKAKI HIMENO"/>
    <s v="Juliana dos Santos Pinto"/>
    <s v="Juliana dos Santos Pinto"/>
    <x v="43"/>
    <n v="4639544"/>
    <s v="-"/>
    <s v="OFF LINE"/>
    <s v="Invoice"/>
    <s v="Cartão convênio"/>
    <s v="Aéreo"/>
    <s v="S"/>
    <s v="Grupo Energisa"/>
    <s v="Energisa Rondonia - Distribuidora de Energia S.a."/>
    <s v="-"/>
    <s v="Azul Linhas Aereas"/>
    <n v="3024425520"/>
    <s v="KON-OPE-SAO-PVI-ENERGISA"/>
    <s v="-"/>
    <x v="45"/>
    <n v="0"/>
    <n v="0"/>
    <n v="0"/>
    <n v="0"/>
    <n v="0"/>
    <n v="0"/>
    <s v="Reserva importada do sistema Gover. Id: 4639544"/>
    <s v="Validação do documento: Documento está dentro de um período financeiro já fechado!"/>
    <s v="MANUAL"/>
    <s v="Documento fora do período financeiro"/>
    <s v="Financeiro Conciliado"/>
    <s v="Dados Gerenciais"/>
    <s v="Qualidade dos dados"/>
    <s v="GRUPO KONTIK"/>
  </r>
  <r>
    <n v="24658999"/>
    <n v="25492925"/>
    <s v="ACC01"/>
    <x v="44"/>
    <d v="2026-06-24T10:01:20"/>
    <s v="09 a 15 dias"/>
    <s v="31 dias ou +"/>
    <s v="6J95LH"/>
    <s v="MANUAL"/>
    <s v="ANDREA CRISTINA MOREIRA ABREU DE PAULA"/>
    <s v="Patricia Pinato Ferreira Lima"/>
    <s v="Patricia Pinato Ferreira Lima"/>
    <x v="44"/>
    <s v="-"/>
    <s v="-"/>
    <s v="OFF LINE"/>
    <s v="Cartão de crédito"/>
    <s v="Cartão de crédito"/>
    <s v="Aéreo"/>
    <s v="N"/>
    <s v="Grupo Lazer Kontik"/>
    <s v="Vendas Lazer - Pessoa Fisica"/>
    <s v="-"/>
    <s v="Tap Air Portugal"/>
    <n v="2615164148"/>
    <s v="EMERGENCIAL"/>
    <s v="-"/>
    <x v="46"/>
    <n v="1471.95"/>
    <n v="0"/>
    <n v="0"/>
    <n v="0"/>
    <n v="0"/>
    <n v="0"/>
    <s v="atendimento emergencial tkt 1276204"/>
    <s v="Erro excluindo PNR: Ocorrência no método TBSistemaWrapper.MyException. Mensagem: Exclusão cancelada devido a vínculo(s) com registros(s) da "/>
    <s v="MANUAL"/>
    <s v="Falha de comunicação"/>
    <s v="Falha de Integração"/>
    <s v="Sistema"/>
    <s v="Sistêmico"/>
    <s v="KONTIK BUSINESS TRAVEL"/>
  </r>
  <r>
    <n v="24666060"/>
    <n v="25501310"/>
    <s v="ACC01"/>
    <x v="45"/>
    <d v="2026-07-03T17:10:27"/>
    <s v="03 a 05 dias"/>
    <s v="31 dias ou +"/>
    <s v="SNFXYX"/>
    <s v="SABRE"/>
    <s v="MITRE/MARCOS PEDROSA"/>
    <s v="5I"/>
    <s v="VITOR TEICHMANN"/>
    <x v="45"/>
    <s v="SNFXYX"/>
    <s v="-"/>
    <s v="ON LINE"/>
    <s v="Cartão de crédito"/>
    <s v="Cartão de crédito"/>
    <s v="Aéreo"/>
    <s v="N"/>
    <s v="Grupo Axa"/>
    <s v="Axa Cs - Inativo"/>
    <s v="Cliente FEE no POS"/>
    <s v="Air Canada"/>
    <n v="2615424878"/>
    <s v="FCM-OPE-SAO-PVI-BTC-CONCUR-AXA"/>
    <s v="-"/>
    <x v="47"/>
    <n v="64.56"/>
    <n v="349.3"/>
    <n v="0"/>
    <n v="64.56"/>
    <n v="0"/>
    <n v="21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693392"/>
    <n v="25532306"/>
    <s v="ACC01"/>
    <x v="46"/>
    <d v="2026-06-02T11:55:52"/>
    <s v="31 dias ou +"/>
    <s v="31 dias ou +"/>
    <s v="6L59R0"/>
    <s v="MANUAL"/>
    <s v="RAMIREZ/LUIS ESTEBAN"/>
    <s v="5I"/>
    <s v="Clayton Alves de Rezende"/>
    <x v="46"/>
    <s v="OFFLINE"/>
    <s v="-"/>
    <s v="OFF LINE"/>
    <s v="Pagamento direto"/>
    <s v="Pagamento direto"/>
    <s v="Hotel"/>
    <s v="N"/>
    <s v="Grupo Axa"/>
    <s v="Axa Xl Resseguros Sa"/>
    <s v="Cliente FEE no POS"/>
    <s v="Movich Hotel Las Lomas"/>
    <s v="-"/>
    <s v="FCM-OPE-SAO-PVI-BTC-CONCUR-AXA"/>
    <s v="-"/>
    <x v="48"/>
    <n v="1131.81"/>
    <n v="0"/>
    <n v="0"/>
    <n v="0"/>
    <n v="0"/>
    <n v="0"/>
    <s v="Reserva importada por HubTravel"/>
    <s v="Este cliente não possui permissão para usar este tipo de pagamento e recebimento para este produto."/>
    <s v="MANUAL"/>
    <s v="Pagamento não permitido para cobrança"/>
    <s v="Forma PG. e REC."/>
    <s v="Dados do Fornecedor"/>
    <s v="Qualidade dos dados"/>
    <s v="GRUPO KONTIK"/>
  </r>
  <r>
    <n v="24625588"/>
    <n v="25454872"/>
    <s v="ACC01"/>
    <x v="47"/>
    <d v="2026-05-20T15:41:57"/>
    <s v="31 dias ou +"/>
    <s v="31 dias ou +"/>
    <s v="6II3B9"/>
    <s v="TMS"/>
    <s v="AUGUSTO ALMEIDA"/>
    <s v="Tms"/>
    <s v="Tms"/>
    <x v="47"/>
    <n v="7607"/>
    <s v="-"/>
    <s v="ON LINE"/>
    <s v="Cartão de crédito"/>
    <s v="Cartão de crédito"/>
    <s v="Hotel"/>
    <s v="N"/>
    <s v="-"/>
    <s v="-"/>
    <s v="-"/>
    <s v="Ibis Natal"/>
    <s v="-"/>
    <s v="-"/>
    <s v="-"/>
    <x v="49"/>
    <n v="0"/>
    <n v="0"/>
    <n v="0"/>
    <n v="0"/>
    <n v="16.899999999999999"/>
    <n v="0"/>
    <s v="Reserva importada do Sistema TMS. OS: 7607"/>
    <s v="Cliente não preenchido! (ACC01)"/>
    <s v="ARGO(TMS)"/>
    <s v="Cliente"/>
    <s v="Falta de informação Gerencial"/>
    <s v="Dados do Fornecedor"/>
    <s v="Qualidade dos dados"/>
    <s v="KONTIK BUSINESS TRAVEL"/>
  </r>
  <r>
    <n v="24668983"/>
    <n v="25504724"/>
    <s v="ACC01"/>
    <x v="28"/>
    <d v="2026-06-01T17:13:17"/>
    <s v="31 dias ou +"/>
    <s v="31 dias ou +"/>
    <s v="GJZNZCT"/>
    <s v="SABRE"/>
    <s v="MORENO/FABIO CAMPOS MR"/>
    <s v="MARIA CECILIA PEREIRA SILVA"/>
    <s v="MARIA CECILIA PEREIRA SILVA"/>
    <x v="28"/>
    <s v="GJZNZC"/>
    <s v="-"/>
    <s v="ON LINE"/>
    <s v="Cartão de crédito"/>
    <s v="Cartão de crédito"/>
    <s v="Hotel"/>
    <s v="N"/>
    <s v="Grupo Honeywell"/>
    <s v="Honeywell"/>
    <s v="Cliente FEE no POS"/>
    <s v="Staybridge Stes Dfw Arpt"/>
    <s v="-"/>
    <s v="FCM-OPE-SAO-PVI-BTC-CONCUR-HONEYWELL"/>
    <s v="-"/>
    <x v="50"/>
    <n v="51.51"/>
    <n v="0"/>
    <n v="0"/>
    <n v="0"/>
    <n v="0"/>
    <n v="13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666061"/>
    <n v="25501311"/>
    <s v="ACC01"/>
    <x v="48"/>
    <d v="2026-07-03T17:06:15"/>
    <s v="03 a 05 dias"/>
    <s v="31 dias ou +"/>
    <s v="SNFXYXT"/>
    <s v="SABRE"/>
    <s v="MITRE/MARCOS PEDROSA MR"/>
    <s v="VITOR TEICHMANN"/>
    <s v="VITOR TEICHMANN"/>
    <x v="45"/>
    <s v="SNFXYX"/>
    <s v="-"/>
    <s v="OFF LINE"/>
    <s v="Invoice"/>
    <s v="Faturado"/>
    <s v="Hotel"/>
    <s v="N"/>
    <s v="Grupo Axa"/>
    <s v="Axa Cs - Inativo"/>
    <s v="Cliente FEE no POS"/>
    <s v="Delta Hotels Saguenay Conference Centre"/>
    <s v="-"/>
    <s v="FCM-OPE-SAO-PVI-BTC-CONCUR-AXA"/>
    <s v="-"/>
    <x v="51"/>
    <n v="0"/>
    <n v="0"/>
    <n v="0"/>
    <n v="0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782703"/>
    <n v="25624590"/>
    <s v="ACC01"/>
    <x v="49"/>
    <d v="2026-06-19T10:25:50"/>
    <s v="16 a 23 dias"/>
    <s v="16 a 23 dias"/>
    <n v="202606190891"/>
    <s v="GOVER"/>
    <s v="Karla Barbosa"/>
    <s v="Gover"/>
    <s v="Gover"/>
    <x v="48"/>
    <n v="4712740"/>
    <s v="-"/>
    <s v="ON LINE"/>
    <s v="Invoice"/>
    <s v="Faturado"/>
    <s v="Hotel"/>
    <s v="N"/>
    <s v="Grupo Benner"/>
    <s v="Benner Sistemas - Blumenau"/>
    <s v="-"/>
    <s v="-"/>
    <s v="-"/>
    <s v="KON-OPE-RIO-PVI-BTC RJ"/>
    <s v="-"/>
    <x v="52"/>
    <n v="11.68"/>
    <n v="0"/>
    <n v="0"/>
    <n v="0"/>
    <n v="0"/>
    <n v="0"/>
    <s v="Reserva importada do sistema Gover. Id: 4712740"/>
    <s v="Fornecedor não preenchido! (ACC01)"/>
    <s v="GOVER"/>
    <s v="Falta de Fornecedor"/>
    <s v="Campo Fornecedor"/>
    <s v="Dados do Fornecedor"/>
    <s v="Sistêmico"/>
    <s v="GRUPO KONTIK"/>
  </r>
  <r>
    <n v="24797288"/>
    <n v="25638339"/>
    <s v="ACC01"/>
    <x v="50"/>
    <d v="2026-06-22T13:47:12"/>
    <s v="09 a 15 dias"/>
    <s v="09 a 15 dias"/>
    <s v="6OGDTK"/>
    <s v="TMS"/>
    <s v="VINICIUS ROMEIRO"/>
    <s v="Tms"/>
    <s v="Tms"/>
    <x v="49"/>
    <n v="329371"/>
    <s v="Dourados / DOU"/>
    <s v="ON LINE"/>
    <s v="Invoice"/>
    <s v="Faturado"/>
    <s v="Carro"/>
    <s v="N"/>
    <s v="Grupo Kpmg"/>
    <s v="Kpmg"/>
    <s v="-"/>
    <s v="-"/>
    <s v="-"/>
    <s v="KON-OPE-SAO-PVI-KPMG"/>
    <s v="-"/>
    <x v="53"/>
    <n v="0"/>
    <n v="0"/>
    <n v="0"/>
    <n v="0"/>
    <n v="0"/>
    <n v="0"/>
    <s v="Reserva importada do Sistema TMS. OS: 329371"/>
    <s v="Fornecedor não preenchido! (ACC01)"/>
    <s v="ARGO(TMS)"/>
    <s v="Falta de Fornecedor"/>
    <s v="Campo Fornecedor"/>
    <s v="Dados do Fornecedor"/>
    <s v="Qualidade dos dados"/>
    <s v="KONTIK BUSINESS TRAVEL"/>
  </r>
  <r>
    <n v="24772733"/>
    <n v="25614728"/>
    <s v="ACC01"/>
    <x v="51"/>
    <d v="2026-06-17T18:36:04"/>
    <s v="16 a 23 dias"/>
    <s v="16 a 23 dias"/>
    <s v="6NFLRL"/>
    <s v="TMS"/>
    <s v="MARIANA SILVA"/>
    <s v="BRUNO ALVARENGA MELONI"/>
    <s v="BRUNO ALVARENGA MELONI"/>
    <x v="50"/>
    <n v="328272"/>
    <s v="Ibiruba / RS, Brasil (PFB)"/>
    <s v="OFF LINE"/>
    <s v="Invoice"/>
    <s v="Faturado"/>
    <s v="Carro"/>
    <s v="N"/>
    <s v="Grupo Kpmg"/>
    <s v="Kpmg Consultoria"/>
    <s v="-"/>
    <s v="-"/>
    <s v="-"/>
    <s v="KON-OPE-SAO-PVI-KPMG"/>
    <s v="-"/>
    <x v="54"/>
    <n v="0"/>
    <n v="0"/>
    <n v="0"/>
    <n v="0"/>
    <n v="0"/>
    <n v="0"/>
    <s v="Reserva importada do Sistema TMS. OS: 328272"/>
    <s v="Fornecedor não preenchido! (ACC01)"/>
    <s v="ARGO(TMS)"/>
    <s v="Falta de Fornecedor"/>
    <s v="Campo Fornecedor"/>
    <s v="Dados do Fornecedor"/>
    <s v="Qualidade dos dados"/>
    <s v="KONTIK BUSINESS TRAVEL"/>
  </r>
  <r>
    <n v="24747713"/>
    <n v="25586716"/>
    <s v="ACC02"/>
    <x v="52"/>
    <d v="2026-07-03T17:06:16"/>
    <s v="03 a 05 dias"/>
    <s v="24 a 31 dias"/>
    <s v="NPLPZXT"/>
    <s v="SABRE"/>
    <s v="VESPERO/JOAO FORTUNATO PEDROTTI MR"/>
    <s v="CT"/>
    <s v="CT"/>
    <x v="51"/>
    <s v="NPLPZX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55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784332"/>
    <n v="25626279"/>
    <s v="ACC01"/>
    <x v="53"/>
    <d v="2026-06-19T14:35:25"/>
    <s v="16 a 23 dias"/>
    <s v="16 a 23 dias"/>
    <s v="H4712429"/>
    <s v="GOVER"/>
    <s v="Ana ROXO OLIVEIRA"/>
    <s v="Sergio Henrique Mendes"/>
    <s v="Sergio Henrique Mendes"/>
    <x v="52"/>
    <n v="4712429"/>
    <s v="-"/>
    <s v="OFF LINE"/>
    <s v="Pagamento direto"/>
    <s v="Pagamento direto"/>
    <s v="Hotel"/>
    <s v="N"/>
    <s v="Grupo Arcadis"/>
    <s v="Arcadis"/>
    <s v="-"/>
    <s v="-"/>
    <s v="-"/>
    <s v="FCM-OPE-SAO-PVI-ARCADIS"/>
    <s v="-"/>
    <x v="56"/>
    <n v="0"/>
    <n v="0"/>
    <n v="0"/>
    <n v="0"/>
    <n v="0"/>
    <n v="0"/>
    <s v="Reserva importada do sistema Gover. Id: 4712429"/>
    <s v="Fornecedor não preenchido! (ACC01)"/>
    <s v="GOVER"/>
    <s v="Falta de Fornecedor"/>
    <s v="Campo Fornecedor"/>
    <s v="Dados do Fornecedor"/>
    <s v="Sistêmico"/>
    <s v="GRUPO KONTIK"/>
  </r>
  <r>
    <n v="24769631"/>
    <n v="25611166"/>
    <s v="ACC01"/>
    <x v="54"/>
    <d v="2026-06-17T09:05:09"/>
    <s v="16 a 23 dias"/>
    <s v="16 a 23 dias"/>
    <s v="H4707120"/>
    <s v="GOVER"/>
    <s v="Roberio ACIOLE"/>
    <s v="Sergio Henrique Mendes"/>
    <s v="Sergio Henrique Mendes"/>
    <x v="53"/>
    <n v="4707120"/>
    <s v="-"/>
    <s v="OFF LINE"/>
    <s v="Pagamento direto"/>
    <s v="Pagamento direto"/>
    <s v="Hotel"/>
    <s v="N"/>
    <s v="Grupo Arcadis"/>
    <s v="Arcadis"/>
    <s v="-"/>
    <s v="-"/>
    <s v="-"/>
    <s v="FCM-OPE-SAO-PVI-ARCADIS"/>
    <s v="-"/>
    <x v="57"/>
    <n v="0"/>
    <n v="0"/>
    <n v="0"/>
    <n v="0"/>
    <n v="0"/>
    <n v="0"/>
    <s v="Reserva importada do sistema Gover. Id: 4707120"/>
    <s v="Fornecedor não preenchido! (ACC01)"/>
    <s v="GOVER"/>
    <s v="Falta de Fornecedor"/>
    <s v="Campo Fornecedor"/>
    <s v="Dados do Fornecedor"/>
    <s v="Sistêmico"/>
    <s v="GRUPO KONTIK"/>
  </r>
  <r>
    <n v="24775834"/>
    <n v="25617916"/>
    <s v="ACC01"/>
    <x v="55"/>
    <d v="2026-06-18T06:20:46"/>
    <s v="16 a 23 dias"/>
    <s v="16 a 23 dias"/>
    <s v="6OUG6P"/>
    <s v="TMS"/>
    <s v="MARIELLE SILVA"/>
    <s v="Tms"/>
    <s v="Tms"/>
    <x v="54"/>
    <n v="127567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58"/>
    <n v="0"/>
    <n v="0"/>
    <n v="0"/>
    <n v="0"/>
    <n v="0"/>
    <n v="0"/>
    <s v="Reserva importada do Sistema TMS. OS: 127567"/>
    <s v="Fornecedor não preenchido! (ACC01)"/>
    <s v="ARGO(TMS)"/>
    <s v="Falta de Fornecedor"/>
    <s v="Campo Fornecedor"/>
    <s v="Dados do Fornecedor"/>
    <s v="Sistêmico"/>
    <s v="GRUPO KONTIK"/>
  </r>
  <r>
    <n v="24802917"/>
    <n v="25644278"/>
    <s v="ACC01"/>
    <x v="56"/>
    <d v="2026-06-24T03:36:31"/>
    <s v="09 a 15 dias"/>
    <s v="09 a 15 dias"/>
    <s v="OFHFEU"/>
    <s v="GOVER"/>
    <s v="Marcondes Muniz de Jesus"/>
    <s v="Gover"/>
    <s v="Gover"/>
    <x v="55"/>
    <n v="4713573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59"/>
    <n v="96.36"/>
    <n v="0"/>
    <n v="0"/>
    <n v="0"/>
    <n v="0"/>
    <n v="0"/>
    <s v="Reserva importada do sistema Gover. Id: 4713573"/>
    <s v="Fornecedor não preenchido! (ACC01)"/>
    <s v="GOVER"/>
    <s v="Falta de Fornecedor"/>
    <s v="Campo Fornecedor"/>
    <s v="Dados do Fornecedor"/>
    <s v="Sistêmico"/>
    <s v="GRUPO KONTIK"/>
  </r>
  <r>
    <n v="24770140"/>
    <n v="25611730"/>
    <s v="ACC01"/>
    <x v="57"/>
    <d v="2026-06-17T11:06:31"/>
    <s v="16 a 23 dias"/>
    <s v="16 a 23 dias"/>
    <s v="FJLAFMT"/>
    <s v="SABRE"/>
    <s v="SILVA/FLAVIO"/>
    <s v="Rafaela Leitao Oliveira"/>
    <s v="Rafaela Leitao Oliveira"/>
    <x v="56"/>
    <s v="FJLAFM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6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0141"/>
    <n v="25611731"/>
    <s v="ACC01"/>
    <x v="58"/>
    <d v="2026-06-17T11:06:32"/>
    <s v="16 a 23 dias"/>
    <s v="16 a 23 dias"/>
    <s v="IRKXKKT"/>
    <s v="SABRE"/>
    <s v="SILVA/JOSE"/>
    <s v="Rafaela Leitao Oliveira"/>
    <s v="Rafaela Leitao Oliveira"/>
    <x v="57"/>
    <s v="IRKXKK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6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3814"/>
    <n v="25615861"/>
    <s v="ACC01"/>
    <x v="59"/>
    <d v="2026-06-17T19:30:35"/>
    <s v="16 a 23 dias"/>
    <s v="16 a 23 dias"/>
    <s v="DNOEUST"/>
    <s v="SABRE"/>
    <s v="BARBOSA/ITALO"/>
    <s v="Rafaela Leitao Oliveira"/>
    <s v="Rafaela Leitao Oliveira"/>
    <x v="58"/>
    <s v="DNOEUS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6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3815"/>
    <n v="25615862"/>
    <s v="ACC01"/>
    <x v="60"/>
    <d v="2026-06-17T19:30:35"/>
    <s v="16 a 23 dias"/>
    <s v="16 a 23 dias"/>
    <s v="YKCTVET"/>
    <s v="SABRE"/>
    <s v="SILVA/JOAO"/>
    <s v="Rafaela Leitao Oliveira"/>
    <s v="Rafaela Leitao Oliveira"/>
    <x v="59"/>
    <s v="YKCTVE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6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73816"/>
    <n v="25615867"/>
    <s v="ACC01"/>
    <x v="61"/>
    <d v="2026-06-17T19:30:36"/>
    <s v="16 a 23 dias"/>
    <s v="16 a 23 dias"/>
    <s v="DOJYQET"/>
    <s v="SABRE"/>
    <s v="LEAO/LUCIANA"/>
    <s v="Rafaela Leitao Oliveira"/>
    <s v="Rafaela Leitao Oliveira"/>
    <x v="60"/>
    <s v="DOJYQE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6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798196"/>
    <n v="25639258"/>
    <s v="ACC02"/>
    <x v="62"/>
    <d v="2026-06-22T14:48:38"/>
    <s v="09 a 15 dias"/>
    <s v="09 a 15 dias"/>
    <s v="JLBGFST"/>
    <s v="SABRE"/>
    <s v="SANTOS/MILSON"/>
    <s v="WU"/>
    <s v="WU"/>
    <x v="61"/>
    <s v="JLBGFS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62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798196"/>
    <n v="25639259"/>
    <s v="ACC03"/>
    <x v="62"/>
    <d v="2026-06-22T14:48:38"/>
    <s v="09 a 15 dias"/>
    <s v="09 a 15 dias"/>
    <s v="JLBGFST"/>
    <s v="SABRE"/>
    <s v="SANTOS/MILSON"/>
    <s v="WU"/>
    <s v="WU"/>
    <x v="61"/>
    <s v="JLBGFS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63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782129"/>
    <n v="25624098"/>
    <s v="ACC01"/>
    <x v="63"/>
    <d v="2026-06-19T06:35:37"/>
    <s v="16 a 23 dias"/>
    <s v="16 a 23 dias"/>
    <s v="6OZYWD"/>
    <s v="TMS"/>
    <s v="PORCINO/ANA"/>
    <s v="Maria Eugenia Oliva"/>
    <s v="Maria Eugenia Oliva"/>
    <x v="62"/>
    <n v="127851"/>
    <s v="-"/>
    <s v="OFF LINE"/>
    <s v="Cartão de crédito"/>
    <s v="Cartão de crédito"/>
    <s v="Aéreo"/>
    <s v="N"/>
    <s v="Grupo Ache"/>
    <s v="Ache Laboratorios Farmaceuticos Sa"/>
    <s v="-"/>
    <s v="Gol Linhas Aereas"/>
    <n v="3025624093"/>
    <s v="KON-OPE-SAO-PVI-ACHE"/>
    <s v="-"/>
    <x v="8"/>
    <n v="121"/>
    <n v="0"/>
    <n v="0"/>
    <n v="0"/>
    <n v="0"/>
    <n v="0"/>
    <s v="Reserva importada do Sistema TMS. OS: 127851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733866"/>
    <n v="25571473"/>
    <s v="ACC01"/>
    <x v="64"/>
    <d v="2026-07-03T17:10:29"/>
    <s v="03 a 05 dias"/>
    <s v="24 a 31 dias"/>
    <s v="GXSXTU"/>
    <s v="SABRE"/>
    <s v="DA SILVA/AMANDA PEREIRA"/>
    <s v="WY"/>
    <s v="WY"/>
    <x v="63"/>
    <s v="GXSXTU"/>
    <s v="-"/>
    <s v="OFF LINE"/>
    <s v="Cartão de crédito"/>
    <s v="Cartão AMEX"/>
    <s v="Aéreo"/>
    <s v="N"/>
    <s v="Grupo Basf"/>
    <s v="Basf Sa"/>
    <s v="-"/>
    <s v="Gol Linhas Aereas"/>
    <n v="7700089421"/>
    <s v="FCM-OPE-SAO-PVI-BASF"/>
    <s v="-"/>
    <x v="64"/>
    <n v="97.29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4800365"/>
    <n v="25641666"/>
    <s v="ACC01"/>
    <x v="65"/>
    <d v="2026-06-24T10:05:37"/>
    <s v="09 a 15 dias"/>
    <s v="09 a 15 dias"/>
    <s v="WLCHGO0"/>
    <s v="TMS"/>
    <s v="DANILLA SOUZA"/>
    <s v="Juliana dos Santos Pinto"/>
    <s v="Juliana dos Santos Pinto"/>
    <x v="64"/>
    <n v="7006"/>
    <s v="-"/>
    <s v="OFF LINE"/>
    <s v="Cartão de crédito"/>
    <s v="Faturado"/>
    <s v="Aéreo"/>
    <s v="N"/>
    <s v="Grupo Track e Field"/>
    <s v="Track e Field Co Sa Matriz"/>
    <s v="-"/>
    <s v="Gol Linhas Aereas"/>
    <n v="2306392847"/>
    <s v="KON-OPE-SAO-PVI-BTC-ARGO"/>
    <s v="-"/>
    <x v="65"/>
    <n v="0"/>
    <n v="0"/>
    <n v="0"/>
    <n v="0"/>
    <n v="0"/>
    <n v="0"/>
    <s v="Reserva importada do Sistema TMS. OS: 7006"/>
    <s v="Erro excluindo PNR: Ocorrência no método TBSistemaWrapper.MyException. Mensagem: Exclusão cancelada devido a vínculo(s) com registros(s) da "/>
    <s v="ARGO(TMS)"/>
    <s v="Falha de comunicação"/>
    <s v="Falha de Integração"/>
    <s v="Sistema"/>
    <s v="Qualidade dos dados"/>
    <s v="GRUPO KONTIK"/>
  </r>
  <r>
    <n v="24789523"/>
    <n v="25631156"/>
    <s v="ACC01"/>
    <x v="66"/>
    <d v="2026-07-03T17:10:33"/>
    <s v="03 a 05 dias"/>
    <s v="16 a 23 dias"/>
    <s v="IFEYML"/>
    <s v="SABRE"/>
    <s v="MORENO SAVARIS/QUELI"/>
    <s v="Maria Eugenia Oliva"/>
    <s v="Maria Eugenia Oliva"/>
    <x v="65"/>
    <s v="IFEYML"/>
    <s v="-"/>
    <s v="ON LINE"/>
    <s v="Cartão de crédito"/>
    <s v="Cartão AMEX"/>
    <s v="Aéreo"/>
    <s v="N"/>
    <s v="Grupo Basf"/>
    <s v="Basf Sa"/>
    <s v="-"/>
    <s v="Latam Airlines Brasil"/>
    <n v="5232120003"/>
    <s v="FCM-OPE-SAO-PVI-BASF"/>
    <s v="-"/>
    <x v="66"/>
    <n v="33.64"/>
    <n v="0"/>
    <n v="0"/>
    <n v="33.64"/>
    <n v="0"/>
    <n v="0"/>
    <s v="Reserva importada por HubTravel"/>
    <s v="Finalidade não preenchida! (ACC01)"/>
    <s v="SABRE"/>
    <s v="Finalidade"/>
    <s v="Falta de informação Gerencial"/>
    <s v="Dados do Fornecedor"/>
    <s v="Qualidade dos dados"/>
    <s v="KONTIK BUSINESS TRAVEL"/>
  </r>
  <r>
    <n v="24779709"/>
    <n v="25621970"/>
    <s v="ACC01"/>
    <x v="67"/>
    <d v="2026-06-18T20:01:35"/>
    <s v="16 a 23 dias"/>
    <s v="16 a 23 dias"/>
    <s v="6OCM2W"/>
    <s v="MANUAL"/>
    <s v="CACHIONI TEIXEIRA/VINICIUS"/>
    <s v="DS"/>
    <s v="Itamar de Souza"/>
    <x v="66"/>
    <s v="KGWFCT_1_1"/>
    <s v="-"/>
    <s v="OFF LINE"/>
    <s v="Invoice"/>
    <s v="Cartão convênio"/>
    <s v="Aéreo"/>
    <s v="N"/>
    <s v="Grupo Nielseniq"/>
    <s v="Nielseniq do Brasil"/>
    <s v="Cliente FEE no POS"/>
    <s v="Latam Airlines Brasil"/>
    <n v="9552474476"/>
    <s v="FCM-OPE-SAO-PVI-BTC-CONCUR-NIELSENIQ"/>
    <s v="-"/>
    <x v="67"/>
    <n v="50.57"/>
    <n v="0"/>
    <n v="0"/>
    <n v="0"/>
    <n v="0"/>
    <n v="62.03"/>
    <s v="Reserva importada por HubTravel"/>
    <s v="Este cliente não possui permissão para usar este tipo de pagamento e recebimento para este produto."/>
    <s v="MANUAL"/>
    <s v="Pagamento não permitido para cobrança"/>
    <s v="Forma PG. e REC."/>
    <s v="Dados do Fornecedor"/>
    <s v="Qualidade dos dados"/>
    <s v="GRUPO KONTIK"/>
  </r>
  <r>
    <n v="24779709"/>
    <n v="25622308"/>
    <s v="ACC"/>
    <x v="67"/>
    <d v="2026-06-18T20:01:35"/>
    <s v="16 a 23 dias"/>
    <s v="16 a 23 dias"/>
    <s v="6OCM2W"/>
    <s v="MANUAL"/>
    <s v="VINICIUS CACHIONI TEIXEIRA"/>
    <s v="DS"/>
    <s v="Itamar de Souza"/>
    <x v="66"/>
    <s v="6OCM2W"/>
    <s v="-"/>
    <s v="OFF LINE"/>
    <s v="Cartão de crédito"/>
    <s v="Pagamento direto"/>
    <s v="Aéreo"/>
    <s v="N"/>
    <s v="Grupo Nielseniq"/>
    <s v="Nielseniq do Brasil"/>
    <s v="Cliente FEE no POS"/>
    <s v="Latam Airlines Brasil"/>
    <n v="9552474487"/>
    <s v="EMERGENCIAL"/>
    <s v="-"/>
    <x v="68"/>
    <n v="0"/>
    <n v="0"/>
    <n v="0"/>
    <n v="0"/>
    <n v="0"/>
    <n v="0"/>
    <s v="Reserva importada por HubTravel"/>
    <s v="Este cliente não possui permissão para usar este tipo de pagamento e recebimento para este produto."/>
    <s v="MANUAL"/>
    <s v="Pagamento não permitido para cobrança"/>
    <s v="Forma PG. e REC."/>
    <s v="Dados do Fornecedor"/>
    <s v="Qualidade dos dados"/>
    <s v="GRUPO KONTIK"/>
  </r>
  <r>
    <n v="24781654"/>
    <n v="25623914"/>
    <s v="ACC01"/>
    <x v="68"/>
    <d v="2026-06-19T03:01:40"/>
    <s v="16 a 23 dias"/>
    <s v="16 a 23 dias"/>
    <s v="6OKHOS"/>
    <s v="MANUAL"/>
    <s v="HERNANDO ALLUE/SERGIO"/>
    <s v="EVA SILVA FERREIRA"/>
    <s v="EVA SILVA FERREIRA"/>
    <x v="67"/>
    <s v="KPYAAL_3_1"/>
    <s v="-"/>
    <s v="OFF LINE"/>
    <s v="Invoice"/>
    <s v="Cartão convênio"/>
    <s v="Aéreo"/>
    <s v="N"/>
    <s v="Grupo Nielseniq"/>
    <s v="Nielseniq do Brasil"/>
    <s v="Cliente FEE no POS"/>
    <s v="Latam Airlines Brasil"/>
    <n v="9552474477"/>
    <s v="FCM-OPE-SAO-PVI-BTC-CONCUR-NIELSENIQ"/>
    <s v="-"/>
    <x v="69"/>
    <n v="50.57"/>
    <n v="0"/>
    <n v="0"/>
    <n v="0"/>
    <n v="0"/>
    <n v="62.03"/>
    <s v="Atendimento emergencial"/>
    <s v="Este cliente não possui permissão para usar este tipo de pagamento e recebimento para este produto."/>
    <s v="MANUAL"/>
    <s v="Pagamento não permitido para cobrança"/>
    <s v="Forma PG. e REC."/>
    <s v="Dados do Fornecedor"/>
    <s v="Qualidade dos dados"/>
    <s v="KONTIK BUSINESS TRAVEL"/>
  </r>
  <r>
    <n v="24781654"/>
    <n v="25623932"/>
    <s v="ACC"/>
    <x v="68"/>
    <d v="2026-06-19T03:01:40"/>
    <s v="16 a 23 dias"/>
    <s v="16 a 23 dias"/>
    <s v="6OKHOS"/>
    <s v="MANUAL"/>
    <s v="SERGIO HERNANDO ALLUE"/>
    <s v="EVA SILVA FERREIRA"/>
    <s v="EVA SILVA FERREIRA"/>
    <x v="67"/>
    <s v="6OKHOS"/>
    <s v="-"/>
    <s v="OFF LINE"/>
    <s v="Cartão de crédito"/>
    <s v="Pagamento direto"/>
    <s v="Aéreo"/>
    <s v="N"/>
    <s v="Grupo Nielseniq"/>
    <s v="Nielseniq do Brasil"/>
    <s v="Cliente FEE no POS"/>
    <s v="Latam Airlines Brasil"/>
    <n v="7955247448"/>
    <s v="EMERGENCIAL"/>
    <s v="-"/>
    <x v="68"/>
    <n v="0"/>
    <n v="0"/>
    <n v="0"/>
    <n v="0"/>
    <n v="0"/>
    <n v="0"/>
    <s v="Atendimento emergencial"/>
    <s v="Este cliente não possui permissão para usar este tipo de pagamento e recebimento para este produto."/>
    <s v="MANUAL"/>
    <s v="Pagamento não permitido para cobrança"/>
    <s v="Forma PG. e REC."/>
    <s v="Dados do Fornecedor"/>
    <s v="Qualidade dos dados"/>
    <s v="KONTIK BUSINESS TRAVEL"/>
  </r>
  <r>
    <n v="24778304"/>
    <n v="25620460"/>
    <s v="ACC01"/>
    <x v="69"/>
    <d v="2026-06-24T12:01:19"/>
    <s v="09 a 15 dias"/>
    <s v="16 a 23 dias"/>
    <s v="6OTD6Z"/>
    <s v="MANUAL"/>
    <s v="MIGUEL NUNO SIMOES NUNES FERREIRA SETAS"/>
    <s v="Gover"/>
    <s v="Gover"/>
    <x v="68"/>
    <n v="4711199"/>
    <s v="-"/>
    <s v="OFF LINE"/>
    <s v="Cartão de crédito"/>
    <s v="Cartão de crédito"/>
    <s v="Aéreo"/>
    <s v="N"/>
    <s v="Grupo Energisa"/>
    <s v="Energisa S.a."/>
    <s v="-"/>
    <s v="Latam Airlines Brasil"/>
    <n v="4473358374"/>
    <s v="KON-OPE-SAO-SUP-KONTIK ONE"/>
    <s v="-"/>
    <x v="70"/>
    <n v="0"/>
    <n v="0"/>
    <n v="0"/>
    <n v="0"/>
    <n v="0"/>
    <n v="0"/>
    <s v="Reserva importada do sistema Gover. Id: 4711199"/>
    <s v="Problema ocorrido ao bloquear o documento: Existem remessas associadas ao documento!"/>
    <s v="MANUAL"/>
    <s v="Não identificado"/>
    <s v="Análise Benner"/>
    <s v="Sistema"/>
    <s v="Qualidade dos dados"/>
    <s v="KONTIK BUSINESS TRAVEL"/>
  </r>
  <r>
    <n v="24796956"/>
    <n v="25637968"/>
    <s v="ACC01"/>
    <x v="70"/>
    <d v="2026-07-03T17:10:33"/>
    <s v="03 a 05 dias"/>
    <s v="09 a 15 dias"/>
    <s v="YUZPTB"/>
    <s v="SABRE"/>
    <s v="BUTTON/PAULO ALVARO NANTES"/>
    <s v="Juliana dos Santos Pinto"/>
    <s v="WS"/>
    <x v="69"/>
    <s v="YUZPTB"/>
    <s v="-"/>
    <s v="ON LINE"/>
    <s v="?"/>
    <s v="TKT"/>
    <s v="Aéreo"/>
    <s v="N"/>
    <s v="Grupo Axa"/>
    <s v="Axa Cs - Inativo"/>
    <s v="Cliente FEE no POS"/>
    <s v="Latam Airlines Brasil"/>
    <n v="2615238248"/>
    <s v="FCM-OPE-SAO-PVI-BTC-CONCUR-AXA"/>
    <s v="-"/>
    <x v="8"/>
    <n v="0"/>
    <n v="500"/>
    <n v="0"/>
    <n v="2.12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GRUPO KONTIK"/>
  </r>
  <r>
    <n v="24796956"/>
    <n v="25637969"/>
    <s v="ACC02"/>
    <x v="70"/>
    <d v="2026-07-03T17:10:33"/>
    <s v="03 a 05 dias"/>
    <s v="09 a 15 dias"/>
    <s v="YUZPTB"/>
    <s v="SABRE"/>
    <s v="BUTTON/PAULO ALVARO NANTES"/>
    <s v="Juliana dos Santos Pinto"/>
    <s v="WS"/>
    <x v="69"/>
    <s v="YUZPTB"/>
    <s v="-"/>
    <s v="ON LINE"/>
    <s v="?"/>
    <s v="TKT"/>
    <s v="Aéreo"/>
    <s v="N"/>
    <s v="Grupo Axa"/>
    <s v="Axa Cs - Inativo"/>
    <s v="Cliente FEE no POS"/>
    <s v="Latam Airlines Brasil"/>
    <n v="2615238248"/>
    <s v="FCM-OPE-SAO-PVI-BTC-CONCUR-AXA"/>
    <s v="-"/>
    <x v="8"/>
    <n v="0"/>
    <n v="447.38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GRUPO KONTIK"/>
  </r>
  <r>
    <n v="24783537"/>
    <n v="25625459"/>
    <s v="ACC01"/>
    <x v="71"/>
    <d v="2026-06-19T12:51:08"/>
    <s v="16 a 23 dias"/>
    <s v="16 a 23 dias"/>
    <s v="6O7A8D"/>
    <s v="TMS"/>
    <s v="FONSECA JUNIOR/UIRSON MIRANDA"/>
    <s v="Cintya Cocco Figueiredo"/>
    <s v="Cintya Cocco Figueiredo"/>
    <x v="70"/>
    <n v="50263"/>
    <s v="-"/>
    <s v="OFF LINE"/>
    <s v="Cartão de crédito"/>
    <s v="Cartão AMEX"/>
    <s v="Aéreo"/>
    <s v="N"/>
    <s v="Grupo Htb"/>
    <s v="Htb Construcoes"/>
    <s v="-"/>
    <s v="Latam Airlines Brasil"/>
    <n v="4473400126"/>
    <s v="KON-OPE-SAO-PVI-BTC-ARGO-HTB"/>
    <s v="-"/>
    <x v="8"/>
    <n v="178"/>
    <n v="0"/>
    <n v="0"/>
    <n v="0"/>
    <n v="0"/>
    <n v="0"/>
    <s v="Reserva importada do Sistema TMS. OS: 50263"/>
    <s v="Tarifa mínima não preenchida! (ACC01)"/>
    <s v="ARGO(TMS)"/>
    <s v="Tarifa mínima"/>
    <s v="Falta de informação Gerencial"/>
    <s v="Dados do Fornecedor"/>
    <s v="Qualidade dos dados"/>
    <s v="KONTIK BUSINESS TRAVEL"/>
  </r>
  <r>
    <n v="24797955"/>
    <n v="25639063"/>
    <s v="ACC"/>
    <x v="72"/>
    <d v="2026-07-01T13:55:48"/>
    <s v="03 a 05 dias"/>
    <s v="09 a 15 dias"/>
    <s v="6OMTO8"/>
    <s v="MANUAL"/>
    <s v="STELLA BRANDAO"/>
    <s v="Marcelo da Silva"/>
    <s v="Marcelo da Silva"/>
    <x v="71"/>
    <s v="WATTSAPP"/>
    <s v="-"/>
    <s v="OFF LINE"/>
    <s v="Invoice"/>
    <s v="Cartão de crédito"/>
    <s v="Aéreo"/>
    <s v="N"/>
    <s v="Kontik"/>
    <s v="Venda Particular - Cartao - Koncept"/>
    <s v="-"/>
    <s v="Latam Airlines Brasil"/>
    <n v="2280492609"/>
    <s v="KON-OPE-SAO-SUP-KONTIK ONE"/>
    <s v="-"/>
    <x v="71"/>
    <n v="52.72"/>
    <n v="0"/>
    <n v="0"/>
    <n v="0"/>
    <n v="0"/>
    <n v="0"/>
    <s v="KONCEPT SELETO"/>
    <s v=" Módulo Operações    -&gt; Configurações      -&gt; Configurações do sistema turismo        -&gt; Importação das vendas          -&gt; Entradas/Saídas  Para o "/>
    <s v="MANUAL"/>
    <s v="Pagamento não permitido para cobrança"/>
    <s v="Forma PG. e REC."/>
    <s v="Dados do Fornecedor"/>
    <s v="Qualidade dos dados"/>
    <s v="KONTIK BUSINESS TRAVEL"/>
  </r>
  <r>
    <n v="24748380"/>
    <n v="25587511"/>
    <s v="ACC01"/>
    <x v="73"/>
    <d v="2026-07-03T17:10:30"/>
    <s v="03 a 05 dias"/>
    <s v="24 a 31 dias"/>
    <s v="YPLCRA"/>
    <s v="SABRE"/>
    <s v="MONTEIRO/HELOISA ALCANTARA"/>
    <s v="WS"/>
    <s v="WS"/>
    <x v="72"/>
    <s v="YPLCRA"/>
    <s v="-"/>
    <s v="ON LINE"/>
    <s v="Cartão de crédito"/>
    <s v="Cartão de crédito"/>
    <s v="Aéreo"/>
    <s v="N"/>
    <s v="Grupo Parexel"/>
    <s v="Parexel International Pesquisas Clinicas Ltda"/>
    <s v="-"/>
    <s v="Latam Airlines Brasil"/>
    <s v="-"/>
    <s v="FCM-OPE-SAO-PVI-BTC-CONCUR"/>
    <s v="-"/>
    <x v="72"/>
    <n v="50.42"/>
    <n v="0"/>
    <n v="0"/>
    <n v="0"/>
    <n v="0"/>
    <n v="0"/>
    <s v="Reserva importada por HubTravel"/>
    <s v="Necessário informar o bilhete"/>
    <s v="SABRE"/>
    <s v="Venda sem bilhete"/>
    <s v="Validação de Dados"/>
    <s v="Dados do Fornecedor"/>
    <s v="Qualidade dos dados"/>
    <s v="KONTIK BUSINESS TRAVEL"/>
  </r>
  <r>
    <n v="24765182"/>
    <n v="25606757"/>
    <s v="ACC01"/>
    <x v="74"/>
    <d v="2026-07-03T17:10:31"/>
    <s v="03 a 05 dias"/>
    <s v="16 a 23 dias"/>
    <s v="CCPQDJ"/>
    <s v="SABRE"/>
    <s v="PERRELLI/LAIS"/>
    <s v="Wellington Ribeiro da Silva"/>
    <s v="Wellington Ribeiro da Silva"/>
    <x v="73"/>
    <s v="CCPQDJ"/>
    <s v="-"/>
    <s v="ON LINE"/>
    <s v="Cartão de crédito"/>
    <s v="Cartão de crédito"/>
    <s v="Aéreo"/>
    <s v="N"/>
    <s v="Kontik"/>
    <s v="Kontik Franstur - Sao Paulo"/>
    <s v="-"/>
    <s v="Latam Airlines Brasil"/>
    <s v="-"/>
    <s v="KON-OPE-SAO-SUP-CENTRAL DE EMISSAO"/>
    <s v="-"/>
    <x v="73"/>
    <n v="64.56"/>
    <n v="1110.57"/>
    <n v="0"/>
    <n v="0"/>
    <n v="0"/>
    <n v="0"/>
    <s v="Reserva importada por HubTravel"/>
    <s v="Necessário informar o bilhete"/>
    <s v="SABRE"/>
    <s v="Venda sem bilhete"/>
    <s v="Validação de Dados"/>
    <s v="Dados do Fornecedor"/>
    <s v="Qualidade dos dados"/>
    <s v="GRUPO KONTIK"/>
  </r>
  <r>
    <n v="24757645"/>
    <n v="25598207"/>
    <s v="ACC01"/>
    <x v="75"/>
    <d v="2026-06-19T11:00:38"/>
    <s v="16 a 23 dias"/>
    <s v="16 a 23 dias"/>
    <s v="DKMIAF-1"/>
    <s v="MANUAL"/>
    <s v="GUILHERME  PIMENTEL"/>
    <s v="Cristiane Santos Pio Memoria"/>
    <s v="Cristiane Santos Pio Memoria"/>
    <x v="74"/>
    <n v="4710457"/>
    <s v="-"/>
    <s v="OFF LINE"/>
    <s v="Cartão de crédito"/>
    <s v="Cartão AMEX"/>
    <s v="Aéreo"/>
    <s v="N"/>
    <s v="Grupo British American Tobacco"/>
    <s v="Bat | Souza Cruz - Matriz"/>
    <s v="-"/>
    <s v="Latam Airlines Brasil"/>
    <n v="1952736315"/>
    <s v="FCM-OPE-SAO-PVI-BAT"/>
    <s v="-"/>
    <x v="74"/>
    <n v="0"/>
    <n v="0"/>
    <n v="0"/>
    <n v="0"/>
    <n v="0"/>
    <n v="0"/>
    <s v="Reserva importada do sistema Gover. Id: 4710457"/>
    <s v="Erro excluindo PNR: Ocorrência no método TBSistemaWrapper.MyException. Mensagem: Exclusão cancelada devido a vínculo(s) com registros(s) da "/>
    <s v="MANUAL"/>
    <s v="Falha de comunicação"/>
    <s v="Falha de Integração"/>
    <s v="Sistema"/>
    <s v="Sistêmico"/>
    <s v="KONTIK BUSINESS TRAVEL"/>
  </r>
  <r>
    <n v="24748257"/>
    <n v="25587341"/>
    <s v="ACC01"/>
    <x v="76"/>
    <d v="2026-06-12T10:57:07"/>
    <s v="24 a 31 dias"/>
    <s v="24 a 31 dias"/>
    <s v="KFKEUY"/>
    <s v="GOVER"/>
    <s v="Marcelo Deble Joaquim"/>
    <s v="Gover"/>
    <s v="Gover"/>
    <x v="75"/>
    <n v="4707849"/>
    <s v="-"/>
    <s v="ON LINE"/>
    <s v="Invoice"/>
    <s v="Faturado"/>
    <s v="Aéreo"/>
    <s v="N"/>
    <s v="Grupo British American Tobacco"/>
    <s v="Bat | Souza Cruz - Matriz"/>
    <s v="-"/>
    <s v="Latam Airlines Brasil"/>
    <s v="-"/>
    <s v="FCM-OPE-SAO-PVI-BAT"/>
    <s v="-"/>
    <x v="8"/>
    <n v="62.14"/>
    <n v="0"/>
    <n v="0"/>
    <n v="0"/>
    <n v="0"/>
    <n v="0"/>
    <s v="Reserva importada do sistema Gover. Id: 4707849"/>
    <s v="Necessário informar o bilhete"/>
    <s v="GOVER"/>
    <s v="Venda sem bilhete"/>
    <s v="Validação de Dados"/>
    <s v="Dados do Fornecedor"/>
    <s v="Qualidade dos dados"/>
    <s v="KONTIK BUSINESS TRAVEL"/>
  </r>
  <r>
    <n v="24735476"/>
    <n v="25573095"/>
    <s v="ACC01"/>
    <x v="77"/>
    <d v="2026-07-03T17:10:29"/>
    <s v="03 a 05 dias"/>
    <s v="24 a 31 dias"/>
    <s v="CSVGEI"/>
    <s v="SABRE"/>
    <s v="PRESTON/JONATHAN FRANCIS"/>
    <s v="DS"/>
    <s v="VITOR TEICHMANN"/>
    <x v="76"/>
    <s v="CSVGEI"/>
    <s v="-"/>
    <s v="ON LINE"/>
    <s v="?"/>
    <s v="TKT"/>
    <s v="Aéreo"/>
    <s v="N"/>
    <s v="Grupo Nzte"/>
    <s v="Consulado Geral da Nova Zelandia"/>
    <s v="-"/>
    <s v="Latam Airlines Brasil"/>
    <n v="2615495497"/>
    <s v="FCM-OPE-SAO-PVI-BTC FCM"/>
    <s v="-"/>
    <x v="8"/>
    <n v="0"/>
    <n v="50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768035"/>
    <n v="25609799"/>
    <s v="ACC01"/>
    <x v="78"/>
    <d v="2026-07-03T17:10:33"/>
    <s v="03 a 05 dias"/>
    <s v="16 a 23 dias"/>
    <s v="HEEOHD"/>
    <s v="SABRE"/>
    <s v="CORREA/DENIS"/>
    <s v="Wellington Ribeiro da Silva"/>
    <s v="Wellington Ribeiro da Silva"/>
    <x v="77"/>
    <s v="HEEOHD"/>
    <s v="-"/>
    <s v="ON LINE"/>
    <s v="?"/>
    <s v="?"/>
    <s v="Aéreo"/>
    <s v="N"/>
    <s v="Kontik"/>
    <s v="Kontik Franstur - Sao Paulo"/>
    <s v="-"/>
    <s v="United"/>
    <s v="-"/>
    <s v="KON-OPE-SAO-SUP-CENTRAL DE EMISSAO"/>
    <s v="-"/>
    <x v="75"/>
    <n v="0"/>
    <n v="371.32"/>
    <n v="0"/>
    <n v="0"/>
    <n v="0"/>
    <n v="0"/>
    <s v="Reserva importada por HubTravel"/>
    <s v="Necessário informar o bilhete"/>
    <s v="SABRE"/>
    <s v="Venda sem bilhete"/>
    <s v="Validação de Dados"/>
    <s v="Dados do Fornecedor"/>
    <s v="Qualidade dos dados"/>
    <s v="GRUPO KONTIK"/>
  </r>
  <r>
    <n v="24736518"/>
    <n v="25574118"/>
    <s v="ACC01"/>
    <x v="79"/>
    <d v="2026-06-10T02:25:45"/>
    <s v="24 a 31 dias"/>
    <s v="24 a 31 dias"/>
    <s v="6MB8FK"/>
    <s v="TMS"/>
    <s v="VITOR BENTO"/>
    <s v="Tms"/>
    <s v="Tms"/>
    <x v="78"/>
    <n v="1544"/>
    <s v="-"/>
    <s v="ON LINE"/>
    <s v="Cartão de crédito"/>
    <s v="Cartão de crédito"/>
    <s v="Hotel"/>
    <s v="N"/>
    <s v="-"/>
    <s v="-"/>
    <s v="-"/>
    <s v="Mercure Belo Horizonte Lourdes"/>
    <s v="-"/>
    <s v="-"/>
    <s v="-"/>
    <x v="76"/>
    <n v="0"/>
    <n v="0"/>
    <n v="0"/>
    <n v="0"/>
    <n v="32.5"/>
    <n v="0"/>
    <s v="Reserva importada do Sistema TMS. OS: 1544"/>
    <s v="Cliente não preenchido! (ACC01)"/>
    <s v="ARGO(TMS)"/>
    <s v="Cliente"/>
    <s v="Falta de informação Gerencial"/>
    <s v="Dados do Fornecedor"/>
    <s v="Qualidade dos dados"/>
    <s v="KONTIK BUSINESS TRAVEL"/>
  </r>
  <r>
    <n v="24798196"/>
    <n v="25639260"/>
    <s v="ACC04"/>
    <x v="62"/>
    <d v="2026-06-22T14:48:38"/>
    <s v="09 a 15 dias"/>
    <s v="09 a 15 dias"/>
    <s v="JLBGFST"/>
    <s v="SABRE"/>
    <s v="SANTOS/MILSON"/>
    <s v="WU"/>
    <s v="WU"/>
    <x v="61"/>
    <s v="JLBGFS"/>
    <s v="-"/>
    <s v="ON LINE"/>
    <s v="Pagamento direto"/>
    <s v="Pagamento direto"/>
    <s v="Hotel"/>
    <s v="N"/>
    <s v="Grupo Casas Bahia"/>
    <s v="Grupo Casas Bahia S.a."/>
    <s v="-"/>
    <s v="Slaviero Essential Londrina Flat"/>
    <s v="-"/>
    <s v="KON-OPE-RIO-PVI-CASAS BAHIA"/>
    <s v="-"/>
    <x v="77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788725"/>
    <n v="25630389"/>
    <s v="ACC01"/>
    <x v="80"/>
    <d v="2026-06-20T10:25:12"/>
    <s v="16 a 23 dias"/>
    <s v="16 a 23 dias"/>
    <s v="6OO5IT"/>
    <s v="MANUAL"/>
    <s v="LUIS FERNANDO CARDILLO NUNES ALVES"/>
    <s v="Geovanne Costanzi Prudencio"/>
    <s v="Geovanne Costanzi Prudencio"/>
    <x v="79"/>
    <s v="EMERGENCIAL-1353510"/>
    <s v="-"/>
    <s v="OFF LINE"/>
    <s v="Pagamento direto"/>
    <s v="Cartão de crédito"/>
    <s v="Carro"/>
    <s v="N"/>
    <s v="Grupo Deloitte"/>
    <s v="Deloitte Assessoria - Sao Paulo"/>
    <s v="-"/>
    <s v="Localiza - Br - Pr - Curitiba - Sao Jose dos Pinhais"/>
    <s v="-"/>
    <s v="EMERGENCIAL"/>
    <s v="-"/>
    <x v="78"/>
    <n v="199.6"/>
    <n v="0"/>
    <n v="0"/>
    <n v="0"/>
    <n v="0"/>
    <n v="0"/>
    <s v="Emergencial 1353510"/>
    <s v=" Módulo Operações    -&gt; Configurações      -&gt; Configurações do sistema turismo        -&gt; Importação das vendas          -&gt; Entradas/Saídas  Para o "/>
    <s v="MANUAL"/>
    <s v="Pagamento não permitido para cobrança"/>
    <s v="Forma PG. e REC."/>
    <s v="Dados do Fornecedor"/>
    <s v="Qualidade dos dados"/>
    <s v="KONTIK BUSINESS TRAVEL"/>
  </r>
  <r>
    <n v="24779473"/>
    <n v="25621742"/>
    <s v="ACC01"/>
    <x v="81"/>
    <d v="2026-06-18T18:51:26"/>
    <s v="16 a 23 dias"/>
    <s v="16 a 23 dias"/>
    <s v="VMSMKW0"/>
    <s v="TMS"/>
    <s v="PRISCILLA MORAES"/>
    <s v="Adriana Dias de Grano"/>
    <s v="Adriana Dias de Grano"/>
    <x v="80"/>
    <n v="133177"/>
    <s v="-"/>
    <s v="OFF LINE"/>
    <s v="Cartão de crédito"/>
    <s v="Cartão AMEX"/>
    <s v="Aéreo"/>
    <s v="N"/>
    <s v="Grupo Deloitte"/>
    <s v="Deloitte Consultores - Recife"/>
    <s v="-"/>
    <s v="Azul Linhas Aereas"/>
    <n v="3025621741"/>
    <s v="KON-OPE-SAO-PVI-BTC-ARGO-DELOITTE"/>
    <s v="-"/>
    <x v="8"/>
    <n v="0"/>
    <n v="0"/>
    <n v="0"/>
    <n v="0"/>
    <n v="0"/>
    <n v="0"/>
    <s v="Reserva importada do Sistema TMS. OS: 133177"/>
    <s v="Tarifa mínima não preenchida! (ACC01)"/>
    <s v="ARGO(TMS)"/>
    <s v="Tarifa mínima"/>
    <s v="Falta de informação Gerencial"/>
    <s v="Dados do Fornecedor"/>
    <s v="Qualidade dos dados"/>
    <s v="KONTIK BUSINESS TRAVEL"/>
  </r>
  <r>
    <n v="24774523"/>
    <n v="25616768"/>
    <s v="ACC"/>
    <x v="82"/>
    <d v="2026-06-17T22:01:05"/>
    <s v="16 a 23 dias"/>
    <s v="16 a 23 dias"/>
    <s v="6OT4QM"/>
    <s v="MANUAL"/>
    <s v="GUSTAVO MAXIMO"/>
    <s v="Maria Eugenia Oliva"/>
    <s v="Maria Eugenia Oliva"/>
    <x v="81"/>
    <s v="-"/>
    <s v="-"/>
    <s v="OFF LINE"/>
    <s v="Cartão de crédito"/>
    <s v="Cartão AMEX"/>
    <s v="Aéreo"/>
    <s v="N"/>
    <s v="Grupo Basf"/>
    <s v="Basf Sa"/>
    <s v="-"/>
    <s v="Azul Linhas Aereas"/>
    <n v="0"/>
    <s v="EMERGENCIAL"/>
    <s v="-"/>
    <x v="79"/>
    <n v="0"/>
    <n v="0"/>
    <n v="0"/>
    <n v="0"/>
    <n v="0"/>
    <n v="0"/>
    <s v="-"/>
    <s v="Accouting aérea não possui trechos (Bilhete: 0000000000)"/>
    <s v="MANUAL"/>
    <s v="Falta informação nos trechos"/>
    <s v="Atualização de Trechos"/>
    <s v="Dados do Fornecedor"/>
    <s v="Qualidade dos dados"/>
    <s v="KONTIK BUSINESS TRAVEL"/>
  </r>
  <r>
    <n v="24736517"/>
    <n v="25574117"/>
    <s v="ACC01"/>
    <x v="83"/>
    <d v="2026-06-09T23:25:58"/>
    <s v="24 a 31 dias"/>
    <s v="24 a 31 dias"/>
    <s v="OWHQTQ"/>
    <s v="TMS"/>
    <s v="VITOR BENTO"/>
    <s v="Tms"/>
    <s v="Tms"/>
    <x v="78"/>
    <n v="1544"/>
    <s v="-"/>
    <s v="ON LINE"/>
    <s v="Cartão de crédito"/>
    <s v="Cartão de crédito"/>
    <s v="Aéreo"/>
    <s v="N"/>
    <s v="-"/>
    <s v="-"/>
    <s v="-"/>
    <s v="Azul Linhas Aereas"/>
    <n v="3025574117"/>
    <s v="-"/>
    <s v="-"/>
    <x v="80"/>
    <n v="97.29"/>
    <n v="0"/>
    <n v="0"/>
    <n v="0"/>
    <n v="0"/>
    <n v="0"/>
    <s v="Reserva importada do Sistema TMS. OS: 1544"/>
    <s v="Cliente não preenchido! (ACC01)"/>
    <s v="ARGO(TMS)"/>
    <s v="Cliente"/>
    <s v="Falta de informação Gerencial"/>
    <s v="Dados do Fornecedor"/>
    <s v="Qualidade dos dados"/>
    <s v="KONTIK BUSINESS TRAVEL"/>
  </r>
  <r>
    <n v="24734275"/>
    <n v="25571911"/>
    <s v="ACC01"/>
    <x v="84"/>
    <d v="2026-07-03T17:10:29"/>
    <s v="03 a 05 dias"/>
    <s v="24 a 31 dias"/>
    <s v="LNLFFX"/>
    <s v="SABRE"/>
    <s v="RIBEIRO ANDRADE/GEOMAR"/>
    <s v="WY"/>
    <s v="WY"/>
    <x v="82"/>
    <s v="LNLFFX"/>
    <s v="-"/>
    <s v="ON LINE"/>
    <s v="?"/>
    <s v="?"/>
    <s v="Aéreo"/>
    <s v="N"/>
    <s v="Grupo Bosch"/>
    <s v="Bosch Home Comfort do Brasil Ltda"/>
    <s v="-"/>
    <s v="Azul Linhas Aereas"/>
    <s v="-"/>
    <s v="FCM-OPE-SAO-PVI-BOSCH"/>
    <s v="-"/>
    <x v="8"/>
    <n v="0"/>
    <n v="0"/>
    <n v="0"/>
    <n v="0"/>
    <n v="0"/>
    <n v="0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783536"/>
    <n v="25625458"/>
    <s v="ACC01"/>
    <x v="85"/>
    <d v="2026-06-19T12:51:08"/>
    <s v="16 a 23 dias"/>
    <s v="16 a 23 dias"/>
    <s v="6OHZ83"/>
    <s v="TMS"/>
    <s v="DOS SANTOS/IGOR"/>
    <s v="Cintya Cocco Figueiredo"/>
    <s v="Cintya Cocco Figueiredo"/>
    <x v="83"/>
    <n v="50264"/>
    <s v="-"/>
    <s v="OFF LINE"/>
    <s v="Cartão de crédito"/>
    <s v="Cartão AMEX"/>
    <s v="Aéreo"/>
    <s v="N"/>
    <s v="Grupo Htb"/>
    <s v="Htb Construcoes"/>
    <s v="-"/>
    <s v="Azul Linhas Aereas"/>
    <n v="3025625458"/>
    <s v="KON-OPE-SAO-PVI-BTC-ARGO-HTB"/>
    <s v="-"/>
    <x v="8"/>
    <n v="220"/>
    <n v="0"/>
    <n v="0"/>
    <n v="0"/>
    <n v="0"/>
    <n v="0"/>
    <s v="Reserva importada do Sistema TMS. OS: 50264"/>
    <s v="Tarifa mínima não preenchida! (ACC01)"/>
    <s v="ARGO(TMS)"/>
    <s v="Tarifa mínima"/>
    <s v="Falta de informação Gerencial"/>
    <s v="Dados do Fornecedor"/>
    <s v="Qualidade dos dados"/>
    <s v="KONTIK BUSINESS TRAVEL"/>
  </r>
  <r>
    <n v="24799956"/>
    <n v="25641236"/>
    <s v="ACC01"/>
    <x v="86"/>
    <d v="2026-06-22T20:11:46"/>
    <s v="09 a 15 dias"/>
    <s v="09 a 15 dias"/>
    <s v="EQV8NH0"/>
    <s v="TMS"/>
    <s v="RODOLFO TONI"/>
    <s v="Adriana Dias de Grano"/>
    <s v="Adriana Dias de Grano"/>
    <x v="84"/>
    <n v="3772"/>
    <s v="-"/>
    <s v="OFF LINE"/>
    <s v="Invoice"/>
    <s v="Faturado"/>
    <s v="Aéreo"/>
    <s v="N"/>
    <s v="Grupo Banco Genial Investimentos"/>
    <s v="Genial Consig"/>
    <s v="-"/>
    <s v="Azul Linhas Aereas"/>
    <n v="3025641236"/>
    <s v="KON-OPE-SAO-PVI-BTC-ARGO"/>
    <s v="-"/>
    <x v="81"/>
    <n v="0"/>
    <n v="0"/>
    <n v="0"/>
    <n v="0"/>
    <n v="0"/>
    <n v="0"/>
    <s v="Reserva importada do Sistema TMS. OS: 3772"/>
    <s v="Finalidade não preenchida! (ACC01) Convidado não preenchido! (ACC01) Solicitante não preenchido! (ACC01)"/>
    <s v="ARGO(TMS)"/>
    <s v="Caractere inválido"/>
    <s v="Caractere invalido em campo gerencial"/>
    <s v="Dados Gerenciais"/>
    <s v="Qualidade dos dados"/>
    <s v="KONTIK BUSINESS TRAVEL"/>
  </r>
  <r>
    <n v="24766558"/>
    <n v="25608236"/>
    <s v="ACC01"/>
    <x v="87"/>
    <d v="2026-07-03T17:10:32"/>
    <s v="03 a 05 dias"/>
    <s v="16 a 23 dias"/>
    <s v="GNHYLQ"/>
    <s v="SABRE"/>
    <s v="DOS SANTOS/JOSE CELIO"/>
    <s v="VANESSA ARAUJO ALVES"/>
    <s v="VANESSA ARAUJO ALVES"/>
    <x v="85"/>
    <s v="GNHYLQ"/>
    <s v="-"/>
    <s v="ON LINE"/>
    <s v="Cartão de crédito"/>
    <s v="Cartão de crédito"/>
    <s v="Aéreo"/>
    <s v="N"/>
    <s v="Grupo Innomotics"/>
    <s v="Innomotics Motores e Grandes Conversores Ltda"/>
    <s v="-"/>
    <s v="Azul Linhas Aereas"/>
    <n v="7700089713"/>
    <s v="FCM-OPE-SAO-PVI-BTC"/>
    <s v="-"/>
    <x v="82"/>
    <n v="70.33"/>
    <n v="0"/>
    <n v="0"/>
    <n v="0"/>
    <n v="0"/>
    <n v="0"/>
    <s v="Reserva importada por HubTravel"/>
    <s v="Matrícula não preenchida! (ACC01) Departamento não preenchido! (ACC01) Finalidade não preenchida! (ACC01)"/>
    <s v="SABRE"/>
    <s v="Mais de um campo não preenchido"/>
    <s v="Falta de informação Gerencial"/>
    <s v="Dados do Fornecedor"/>
    <s v="Qualidade dos dados"/>
    <s v="KONTIK BUSINESS TRAVEL"/>
  </r>
  <r>
    <n v="24778529"/>
    <n v="25620688"/>
    <s v="ACC01"/>
    <x v="88"/>
    <d v="2026-06-18T16:05:40"/>
    <s v="16 a 23 dias"/>
    <s v="16 a 23 dias"/>
    <n v="23391676"/>
    <s v="GOVER"/>
    <s v="Leonardo Teixeira"/>
    <s v="Priscilla Andrade Sobrinho"/>
    <s v="Priscilla Andrade Sobrinho"/>
    <x v="86"/>
    <n v="4712301"/>
    <s v="-"/>
    <s v="OFF LINE"/>
    <s v="Cartão de crédito"/>
    <s v="Faturado"/>
    <s v="Hotel"/>
    <s v="N"/>
    <s v="Grupo Biomerieux"/>
    <s v="Biomerieux"/>
    <s v="-"/>
    <s v="Hilton Barra Rio de Janeiro"/>
    <s v="-"/>
    <s v="KON-OPE-RIO-PVI-BTC-BIOMERIEUX"/>
    <s v="-"/>
    <x v="83"/>
    <n v="150"/>
    <n v="0"/>
    <n v="0"/>
    <n v="0"/>
    <n v="0"/>
    <n v="0"/>
    <s v="Reserva importada do sistema Gover. Id: 4712301"/>
    <s v=" Configurações        -&gt; Configurações do sistema turismo          -&gt; Importação das vendas            -&gt; Impedir vendas com data superior à atual"/>
    <s v="GOVER"/>
    <s v="Pagamento não permitido para cobrança"/>
    <s v="Forma PG. e REC."/>
    <s v="Dados do Fornecedor"/>
    <s v="Qualidade dos dados"/>
    <s v="KONTIK BUSINESS TRAVEL"/>
  </r>
  <r>
    <n v="24803447"/>
    <n v="25644787"/>
    <s v="ACC01"/>
    <x v="89"/>
    <d v="2026-07-03T17:06:51"/>
    <s v="03 a 05 dias"/>
    <s v="09 a 15 dias"/>
    <s v="GAPYNST"/>
    <s v="SABRE"/>
    <s v="DE ALMEIDA OLIVEIRA/JESSICA"/>
    <s v="MARIA CECILIA PEREIRA SILVA"/>
    <s v="MARIA CECILIA PEREIRA SILVA"/>
    <x v="87"/>
    <s v="GAPYNS"/>
    <s v="-"/>
    <s v="ON LINE"/>
    <s v="Cartão de crédito"/>
    <s v="Cartão de crédito"/>
    <s v="Hotel"/>
    <s v="N"/>
    <s v="Grupo Honeywell"/>
    <s v="Honeywell"/>
    <s v="Cliente FEE no POS"/>
    <s v="Doubletree Santiago Vitacura"/>
    <s v="-"/>
    <s v="FCM-OPE-SAO-PVI-BTC-CONCUR-HONEYWELL"/>
    <s v="-"/>
    <x v="84"/>
    <n v="0"/>
    <n v="0"/>
    <n v="0"/>
    <n v="0"/>
    <n v="0"/>
    <n v="55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770899"/>
    <n v="25612570"/>
    <s v="ACC01"/>
    <x v="90"/>
    <d v="2026-06-17T14:41:13"/>
    <s v="16 a 23 dias"/>
    <s v="16 a 23 dias"/>
    <s v="6NKIKI"/>
    <s v="TMS"/>
    <s v="JEAN RODRIGUES"/>
    <s v="Tms"/>
    <s v="Tms"/>
    <x v="88"/>
    <n v="114592"/>
    <s v="-"/>
    <s v="ON LINE"/>
    <s v="Cartão de crédito"/>
    <s v="Cartão de crédito"/>
    <s v="Hotel"/>
    <s v="N"/>
    <s v="Grupo Ultra"/>
    <s v="Neogas do Brasil Gas Natural Comprimido S.a."/>
    <s v="-"/>
    <s v="Intercity Shopping Gravatai"/>
    <s v="-"/>
    <s v="KON-OPE-SAO-PVI-BTC-ARGO"/>
    <s v="-"/>
    <x v="85"/>
    <n v="0"/>
    <n v="0"/>
    <n v="0"/>
    <n v="0"/>
    <n v="46.2"/>
    <n v="0"/>
    <s v="Reserva importada do Sistema TMS. OS: 114592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744579"/>
    <n v="25583206"/>
    <s v="ACC01"/>
    <x v="91"/>
    <d v="2026-07-03T17:06:16"/>
    <s v="03 a 05 dias"/>
    <s v="24 a 31 dias"/>
    <s v="STEDWST"/>
    <s v="SABRE"/>
    <s v="ZAMARA/RODRIGO ALBERTO MR"/>
    <s v="VANESSA ARAUJO ALVES"/>
    <s v="VANESSA ARAUJO ALVES"/>
    <x v="89"/>
    <s v="STEDWS"/>
    <s v="-"/>
    <s v="ON LINE"/>
    <s v="Cartão de crédito"/>
    <s v="Cartão de crédito"/>
    <s v="Hotel"/>
    <s v="N"/>
    <s v="Grupo Iron Mountain"/>
    <s v="Iron Mountain"/>
    <s v="-"/>
    <s v="Nh Collection Royal Hacienda (travelclick)"/>
    <s v="-"/>
    <s v="FCM-OPE-SAO-PVI-BTC-CONCUR-IRON "/>
    <s v="-"/>
    <x v="86"/>
    <n v="84.56"/>
    <n v="0"/>
    <n v="0"/>
    <n v="0"/>
    <n v="0"/>
    <n v="0"/>
    <s v="Reserva importada por HubTravel"/>
    <s v="Matrícula não preenchida! (ACC02)"/>
    <s v="SABRE"/>
    <s v="Matrícula"/>
    <s v="Falta de informação Gerencial"/>
    <s v="Dados do Fornecedor"/>
    <s v="Qualidade dos dados"/>
    <s v="KONTIK BUSINESS TRAVEL"/>
  </r>
  <r>
    <n v="24744579"/>
    <n v="25583207"/>
    <s v="ACC02"/>
    <x v="91"/>
    <d v="2026-07-03T17:06:16"/>
    <s v="03 a 05 dias"/>
    <s v="24 a 31 dias"/>
    <s v="STEDWST"/>
    <s v="SABRE"/>
    <s v="ZAMARA/RODRIGO ALBERTO MR"/>
    <s v="VANESSA ARAUJO ALVES"/>
    <s v="VANESSA ARAUJO ALVES"/>
    <x v="89"/>
    <s v="STEDWS"/>
    <s v="-"/>
    <s v="ON LINE"/>
    <s v="Cartão de crédito"/>
    <s v="Cartão de crédito"/>
    <s v="Hotel"/>
    <s v="N"/>
    <s v="Grupo Iron Mountain"/>
    <s v="Iron Mountain"/>
    <s v="-"/>
    <s v="Nh Collection Royal Hacienda (travelclick)"/>
    <s v="-"/>
    <s v="FCM-OPE-SAO-PVI-BTC-CONCUR-IRON "/>
    <s v="-"/>
    <x v="86"/>
    <n v="84.56"/>
    <n v="0"/>
    <n v="0"/>
    <n v="0"/>
    <n v="0"/>
    <n v="0"/>
    <s v="Reserva importada por HubTravel"/>
    <s v="Matrícula não preenchida! (ACC02)"/>
    <s v="SABRE"/>
    <s v="Matrícula"/>
    <s v="Falta de informação Gerencial"/>
    <s v="Dados do Fornecedor"/>
    <s v="Qualidade dos dados"/>
    <s v="KONTIK BUSINESS TRAVEL"/>
  </r>
  <r>
    <n v="24782879"/>
    <n v="25624759"/>
    <s v="ACC01"/>
    <x v="92"/>
    <d v="2026-06-20T03:15:11"/>
    <s v="16 a 23 dias"/>
    <s v="16 a 23 dias"/>
    <n v="23399707"/>
    <s v="GOVER"/>
    <s v="N/I"/>
    <s v="Jose Luiz Lace Rodrigues"/>
    <s v="Jose Luiz Lace Rodrigues"/>
    <x v="86"/>
    <n v="4712739"/>
    <s v="-"/>
    <s v="OFF LINE"/>
    <s v="Cartão de crédito"/>
    <s v="Cartão de crédito"/>
    <s v="Hotel"/>
    <s v="N"/>
    <s v="Grupo British American Tobacco"/>
    <s v="Bat | Souza Cruz - Matriz"/>
    <s v="-"/>
    <s v="Hilton Rio de Janeiro Copacabana"/>
    <s v="-"/>
    <s v="FCM-OPE-SAO-PVI-BAT"/>
    <s v="-"/>
    <x v="87"/>
    <n v="675"/>
    <n v="0"/>
    <n v="0"/>
    <n v="0"/>
    <n v="0"/>
    <n v="0"/>
    <s v="Reserva importada do sistema Gover. Id: 4712739"/>
    <s v="Centro de custo não preenchido! (ACC01)"/>
    <s v="GOVER"/>
    <s v="Centro de custo"/>
    <s v="Falta de informação Gerencial"/>
    <s v="Dados do Fornecedor"/>
    <s v="Qualidade dos dados"/>
    <s v="KONTIK BUSINESS TRAVEL"/>
  </r>
  <r>
    <n v="24782880"/>
    <n v="25624760"/>
    <s v="ACC01"/>
    <x v="92"/>
    <d v="2026-06-20T03:15:11"/>
    <s v="16 a 23 dias"/>
    <s v="16 a 23 dias"/>
    <n v="23399732"/>
    <s v="GOVER"/>
    <s v="N/I"/>
    <s v="Jose Luiz Lace Rodrigues"/>
    <s v="Jose Luiz Lace Rodrigues"/>
    <x v="86"/>
    <n v="4712739"/>
    <s v="-"/>
    <s v="OFF LINE"/>
    <s v="Cartão de crédito"/>
    <s v="Cartão de crédito"/>
    <s v="Hotel"/>
    <s v="N"/>
    <s v="Grupo British American Tobacco"/>
    <s v="Bat | Souza Cruz - Matriz"/>
    <s v="-"/>
    <s v="Hilton Rio de Janeiro Copacabana"/>
    <s v="-"/>
    <s v="FCM-OPE-SAO-PVI-BAT"/>
    <s v="-"/>
    <x v="87"/>
    <n v="675"/>
    <n v="0"/>
    <n v="0"/>
    <n v="0"/>
    <n v="0"/>
    <n v="0"/>
    <s v="Reserva importada do sistema Gover. Id: 4712739"/>
    <s v="Centro de custo não preenchido! (ACC01)"/>
    <s v="GOVER"/>
    <s v="Centro de custo"/>
    <s v="Falta de informação Gerencial"/>
    <s v="Dados do Fornecedor"/>
    <s v="Qualidade dos dados"/>
    <s v="KONTIK BUSINESS TRAVEL"/>
  </r>
  <r>
    <n v="24782933"/>
    <n v="25624806"/>
    <s v="ACC01"/>
    <x v="93"/>
    <d v="2026-06-20T03:20:47"/>
    <s v="16 a 23 dias"/>
    <s v="16 a 23 dias"/>
    <s v="h4712605a"/>
    <s v="GOVER"/>
    <s v="N/I"/>
    <s v="Gover"/>
    <s v="Gover"/>
    <x v="90"/>
    <n v="4712624"/>
    <s v="-"/>
    <s v="OFF LINE"/>
    <s v="Cartão de crédito"/>
    <s v="Cartão de crédito"/>
    <s v="Hotel"/>
    <s v="N"/>
    <s v="Grupo British American Tobacco"/>
    <s v="Bat | Souza Cruz - Matriz"/>
    <s v="-"/>
    <s v="Bartz Hotel - Camaqua"/>
    <s v="-"/>
    <s v="FCM-OPE-SAO-PVI-BAT"/>
    <s v="-"/>
    <x v="88"/>
    <n v="0"/>
    <n v="0"/>
    <n v="0"/>
    <n v="0"/>
    <n v="0"/>
    <n v="0"/>
    <s v="Reserva importada do sistema Gover. Id: 4712624"/>
    <s v="Centro de custo não preenchido! (ACC01)"/>
    <s v="GOVER"/>
    <s v="Centro de custo"/>
    <s v="Falta de informação Gerencial"/>
    <s v="Dados do Fornecedor"/>
    <s v="Qualidade dos dados"/>
    <s v="KONTIK BUSINESS TRAVEL"/>
  </r>
  <r>
    <n v="24782933"/>
    <n v="25624807"/>
    <s v="ACC02"/>
    <x v="93"/>
    <d v="2026-06-20T03:20:47"/>
    <s v="16 a 23 dias"/>
    <s v="16 a 23 dias"/>
    <s v="h4712605a"/>
    <s v="GOVER"/>
    <s v="FLUVIO  JANISCH"/>
    <s v="Gover"/>
    <s v="Gover"/>
    <x v="90"/>
    <n v="4712624"/>
    <s v="-"/>
    <s v="OFF LINE"/>
    <s v="Cartão de crédito"/>
    <s v="Cartão de crédito"/>
    <s v="Hotel"/>
    <s v="N"/>
    <s v="Grupo British American Tobacco"/>
    <s v="Bat | Souza Cruz - Matriz"/>
    <s v="-"/>
    <s v="Bartz Hotel - Camaqua"/>
    <s v="-"/>
    <s v="FCM-OPE-SAO-PVI-BAT"/>
    <s v="-"/>
    <x v="88"/>
    <n v="0"/>
    <n v="0"/>
    <n v="0"/>
    <n v="0"/>
    <n v="0"/>
    <n v="0"/>
    <s v="Reserva importada do sistema Gover. Id: 4712624"/>
    <s v="Centro de custo não preenchido! (ACC01)"/>
    <s v="GOVER"/>
    <s v="Centro de custo"/>
    <s v="Falta de informação Gerencial"/>
    <s v="Dados do Fornecedor"/>
    <s v="Qualidade dos dados"/>
    <s v="KONTIK BUSINESS TRAVEL"/>
  </r>
  <r>
    <n v="24752245"/>
    <n v="25592535"/>
    <s v="ACC01"/>
    <x v="94"/>
    <d v="2026-07-02T12:28:02"/>
    <s v="03 a 05 dias"/>
    <s v="24 a 31 dias"/>
    <s v="6NRJ3D"/>
    <s v="TMS"/>
    <s v="CARLOS AUGUSTO BRANDAO"/>
    <s v="Renato Ferreira Gomes"/>
    <s v="Renato Ferreira Gomes"/>
    <x v="91"/>
    <n v="20892"/>
    <s v="-"/>
    <s v="OFF LINE"/>
    <s v="Cartão de crédito"/>
    <s v="Faturado"/>
    <s v="Hotel"/>
    <s v="N"/>
    <s v="Grupo Braskem"/>
    <s v="Braskem - Camacari"/>
    <s v="-"/>
    <s v="Hilton Rotterdam"/>
    <s v="-"/>
    <s v="KON-OPE-SAO-PVI-BRASKEM"/>
    <s v="-"/>
    <x v="89"/>
    <n v="0"/>
    <n v="0"/>
    <n v="0"/>
    <n v="0"/>
    <n v="0"/>
    <n v="0"/>
    <s v="Reserva importada do Sistema TMS. OS: 20892"/>
    <s v="Erro excluindo PNR: Não é possivel excluir a accounting de código: 26681469. A mesma está ligada a conciliação de cartão &quot;ANTECIPAÇÃO REDE "/>
    <s v="ARGO(TMS)"/>
    <s v="Conciliação de Cartão"/>
    <s v="Financeiro Conciliado"/>
    <s v="Edição não Permitida"/>
    <s v="Processo Operacional"/>
    <s v="KONTIK BUSINESS TRAVEL"/>
  </r>
  <r>
    <n v="24798196"/>
    <n v="25639257"/>
    <s v="ACC01"/>
    <x v="62"/>
    <d v="2026-06-22T14:48:38"/>
    <s v="09 a 15 dias"/>
    <s v="09 a 15 dias"/>
    <s v="JLBGFST"/>
    <s v="SABRE"/>
    <s v="SANTOS/MILSON"/>
    <s v="WU"/>
    <s v="WU"/>
    <x v="61"/>
    <s v="JLBGFS"/>
    <s v="-"/>
    <s v="ON LINE"/>
    <s v="Pagamento direto"/>
    <s v="Pagamento direto"/>
    <s v="Hotel"/>
    <s v="N"/>
    <s v="Grupo Casas Bahia"/>
    <s v="Grupo Casas Bahia S.a."/>
    <s v="-"/>
    <s v="Bogari Hotel Foz do Iguacu"/>
    <s v="-"/>
    <s v="KON-OPE-RIO-PVI-CASAS BAHIA"/>
    <s v="-"/>
    <x v="90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782793"/>
    <n v="25624674"/>
    <s v="ACC01"/>
    <x v="95"/>
    <d v="2026-06-20T03:14:45"/>
    <s v="16 a 23 dias"/>
    <s v="16 a 23 dias"/>
    <s v="h4712632b"/>
    <s v="GOVER"/>
    <s v="N/I"/>
    <s v="Gover"/>
    <s v="Gover"/>
    <x v="92"/>
    <n v="4712632"/>
    <s v="-"/>
    <s v="OFF LINE"/>
    <s v="Cartão de crédito"/>
    <s v="Cartão de crédito"/>
    <s v="Hotel"/>
    <s v="N"/>
    <s v="Grupo British American Tobacco"/>
    <s v="Bat | Souza Cruz - Matriz"/>
    <s v="-"/>
    <s v="Bei Monti Hotel"/>
    <s v="-"/>
    <s v="FCM-OPE-SAO-PVI-BAT"/>
    <s v="-"/>
    <x v="91"/>
    <n v="920"/>
    <n v="0"/>
    <n v="0"/>
    <n v="0"/>
    <n v="0"/>
    <n v="0"/>
    <s v="Reserva importada do sistema Gover. Id: 4712632"/>
    <s v="Centro de custo não preenchido! (ACC01)"/>
    <s v="GOVER"/>
    <s v="Centro de custo"/>
    <s v="Falta de informação Gerencial"/>
    <s v="Dados do Fornecedor"/>
    <s v="Qualidade dos dados"/>
    <s v="KONTIK BUSINESS TRAVEL"/>
  </r>
  <r>
    <n v="24786034"/>
    <n v="25628135"/>
    <s v="ACC01"/>
    <x v="96"/>
    <d v="2026-06-19T19:57:39"/>
    <s v="16 a 23 dias"/>
    <s v="16 a 23 dias"/>
    <s v="6OSIHV"/>
    <s v="TMS"/>
    <s v="WILLIAM NEVER"/>
    <s v="Tms"/>
    <s v="Tms"/>
    <x v="93"/>
    <n v="77"/>
    <s v="-"/>
    <s v="OFF LINE"/>
    <s v="Invoice"/>
    <s v="Faturado"/>
    <s v="Hotel"/>
    <s v="N"/>
    <s v="-"/>
    <s v="Eduardo Augusto Pontes de Vasconcellos"/>
    <s v="-"/>
    <s v="4living Bela Vista"/>
    <s v="-"/>
    <s v="-"/>
    <s v="-"/>
    <x v="92"/>
    <n v="0"/>
    <n v="0"/>
    <n v="0"/>
    <n v="0"/>
    <n v="0"/>
    <n v="0"/>
    <s v="Reserva importada do Sistema TMS. OS: 77"/>
    <s v="Canal de venda não preenchido! (ACC01)"/>
    <s v="ARGO(TMS)"/>
    <s v="Canal de venda"/>
    <s v="Falta de informação Gerencial"/>
    <s v="Dados do Fornecedor"/>
    <s v="Qualidade dos dados"/>
    <s v="KONTIK BUSINESS TRAVEL"/>
  </r>
  <r>
    <n v="24778394"/>
    <n v="25620543"/>
    <s v="ACC01"/>
    <x v="97"/>
    <d v="2026-07-03T17:06:37"/>
    <s v="03 a 05 dias"/>
    <s v="16 a 23 dias"/>
    <s v="AIPYQKT"/>
    <s v="SABRE"/>
    <s v="HORTA DOS SANTOS/HELENA BARBOSA"/>
    <s v="JULIANE MARTINS FERREIRA"/>
    <s v="JULIANE MARTINS FERREIRA"/>
    <x v="94"/>
    <s v="IZUFQT"/>
    <s v="-"/>
    <s v="ON LINE"/>
    <s v="Cartão de crédito"/>
    <s v="Cartão de crédito"/>
    <s v="Hotel"/>
    <s v="N"/>
    <s v="Grupo Livanova"/>
    <s v="Livanova Brasil"/>
    <s v="-"/>
    <s v="Slaviero Sao Paulo Ibirapuera"/>
    <s v="-"/>
    <s v="FCM-OPE-SAO-PVI-BTC"/>
    <s v="-"/>
    <x v="93"/>
    <n v="30.9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747713"/>
    <n v="25586715"/>
    <s v="ACC01"/>
    <x v="52"/>
    <d v="2026-07-03T17:06:16"/>
    <s v="03 a 05 dias"/>
    <s v="24 a 31 dias"/>
    <s v="NPLPZXT"/>
    <s v="SABRE"/>
    <s v="VESPERO/JOAO FORTUNATO PEDROTTI MR"/>
    <s v="CT"/>
    <s v="CT"/>
    <x v="51"/>
    <s v="NPLPZX"/>
    <s v="-"/>
    <s v="OFF LINE"/>
    <s v="Pagamento direto"/>
    <s v="Pagamento direto"/>
    <s v="Hotel"/>
    <s v="N"/>
    <s v="Grupo Basf"/>
    <s v="Basf Sa"/>
    <s v="-"/>
    <s v="Hotel Palace Puebla"/>
    <s v="-"/>
    <s v="FCM-OPE-SAO-PVI-BASF"/>
    <s v="-"/>
    <x v="94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786331"/>
    <n v="25628442"/>
    <s v="ACC01"/>
    <x v="98"/>
    <d v="2026-07-03T17:06:50"/>
    <s v="03 a 05 dias"/>
    <s v="16 a 23 dias"/>
    <s v="YILGITT"/>
    <s v="SABRE"/>
    <s v="LIMA DA SILVA/RAIANE KELLY MRS"/>
    <s v="VITOR TEICHMANN"/>
    <s v="VITOR TEICHMANN"/>
    <x v="95"/>
    <s v="YILGIT"/>
    <s v="-"/>
    <s v="ON LINE"/>
    <s v="Cartão de crédito"/>
    <s v="Cartão de crédito"/>
    <s v="Hotel"/>
    <s v="N"/>
    <s v="Grupo Amway"/>
    <s v="Amway do Brasil"/>
    <s v="-"/>
    <s v="Nh Collection Bogota Terra 100 Royal"/>
    <s v="-"/>
    <s v="FCM-OPE-SAO-PVI-BTC-CYTRIC-AMWAY"/>
    <s v="-"/>
    <x v="95"/>
    <n v="113.54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794893"/>
    <n v="25636136"/>
    <s v="ACC01"/>
    <x v="99"/>
    <d v="2026-06-21T22:30:58"/>
    <s v="09 a 15 dias"/>
    <s v="09 a 15 dias"/>
    <s v="6O94J7"/>
    <s v="MANUAL"/>
    <s v="LUCAS CRUZ"/>
    <s v="EVA SILVA FERREIRA"/>
    <s v="EVA SILVA FERREIRA"/>
    <x v="96"/>
    <s v="EMAIL"/>
    <s v="-"/>
    <s v="OFF LINE"/>
    <s v="Invoice"/>
    <s v="Pagamento direto"/>
    <s v="Serviço"/>
    <s v="N"/>
    <s v="Grupo Ocean Pact"/>
    <s v="Oceanpact Servicos Maritimos"/>
    <s v="-"/>
    <s v="Paxcar Agencia de Viagem e Turismo"/>
    <s v="-"/>
    <s v="EMERGENCIAL"/>
    <s v="-"/>
    <x v="96"/>
    <n v="0"/>
    <n v="0"/>
    <n v="0"/>
    <n v="0"/>
    <n v="0"/>
    <n v="0"/>
    <s v="Atendimento emergencial"/>
    <s v=" Módulo Operações    -&gt; Configurações      -&gt; Configurações do sistema turismo        -&gt; Importação das vendas          -&gt; Entradas/Saídas  Para o "/>
    <s v="MANUAL"/>
    <s v="Pagamento não permitido para cobrança"/>
    <s v="Forma PG. e REC."/>
    <s v="Dados do Fornecedor"/>
    <s v="Qualidade dos dados"/>
    <s v="KONTIK BUSINESS TRAVEL"/>
  </r>
  <r>
    <n v="24776995"/>
    <n v="25619085"/>
    <s v="ACC01"/>
    <x v="100"/>
    <d v="2026-07-03T17:06:37"/>
    <s v="03 a 05 dias"/>
    <s v="16 a 23 dias"/>
    <s v="NJJRYKT"/>
    <s v="SABRE"/>
    <s v="CAMPOS JUNQUEIRA GRANDINO/LUANA"/>
    <s v="VANESSA ARAUJO ALVES"/>
    <s v="VANESSA ARAUJO ALVES"/>
    <x v="97"/>
    <s v="NJJRYK"/>
    <s v="-"/>
    <s v="ON LINE"/>
    <s v="Cartão de crédito"/>
    <s v="Cartão de crédito"/>
    <s v="Hotel"/>
    <s v="N"/>
    <s v="Grupo Iron Mountain"/>
    <s v="Iron Mountain"/>
    <s v="-"/>
    <s v="Hyatt House Mexico City Santa Fe"/>
    <s v="-"/>
    <s v="FCM-OPE-SAO-PVI-BTC-CONCUR-IRON "/>
    <s v="-"/>
    <x v="97"/>
    <n v="101.78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803241"/>
    <n v="25644608"/>
    <s v="ACC01"/>
    <x v="101"/>
    <d v="2026-07-03T17:06:51"/>
    <s v="03 a 05 dias"/>
    <s v="09 a 15 dias"/>
    <s v="WKIGYPT"/>
    <s v="SABRE"/>
    <s v="ZAHER/JAMIL ZEIN"/>
    <s v="BRUNA SEBBEN"/>
    <s v="BRUNA SEBBEN"/>
    <x v="98"/>
    <s v="WKIGYP"/>
    <s v="-"/>
    <s v="ON LINE"/>
    <s v="Cartão de crédito"/>
    <s v="Cartão de crédito"/>
    <s v="Hotel"/>
    <s v="N"/>
    <s v="Grupo Ihs"/>
    <s v="Ihs Brasil Cessao de Infraestruturas S a"/>
    <s v="-"/>
    <s v="Swissotel Al Murooj Dubai"/>
    <s v="-"/>
    <s v="FCM-OPE-SAO-PVI-BTC-CONCUR"/>
    <s v="-"/>
    <x v="98"/>
    <n v="1612.5"/>
    <n v="0"/>
    <n v="0"/>
    <n v="0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776261"/>
    <n v="25618247"/>
    <s v="ACC01"/>
    <x v="102"/>
    <d v="2026-06-25T17:20:36"/>
    <s v="09 a 15 dias"/>
    <s v="16 a 23 dias"/>
    <s v="MV4HN1LK4ERBR"/>
    <s v="GOVER"/>
    <s v="MARCOS ANTONIO FELIPE"/>
    <s v="DANIELLE RIZZETO BEZERRA ALVES"/>
    <s v="DANIELLE RIZZETO BEZERRA ALVES"/>
    <x v="99"/>
    <n v="4712096"/>
    <s v="Movida"/>
    <s v="OFF LINE"/>
    <s v="Invoice"/>
    <s v="Cartão de crédito"/>
    <s v="Carro"/>
    <s v="N"/>
    <s v="Grupo Intercement"/>
    <s v="Intercement Nacoes Unidas"/>
    <s v="-"/>
    <s v="Movida - Br - Sp - Sao Paulo - Aeroporto Congonhas"/>
    <s v="-"/>
    <s v="KON-OPE-SAO-PVI-MOVER"/>
    <s v="-"/>
    <x v="99"/>
    <n v="0"/>
    <n v="0"/>
    <n v="0"/>
    <n v="0"/>
    <n v="0"/>
    <n v="0"/>
    <s v="Reserva importada do sistema Gover. Id: 4712096"/>
    <s v=" Módulo Operações    -&gt; Configurações      -&gt; Configurações do sistema turismo        -&gt; Importação das vendas          -&gt; Entradas/Saídas  Para o "/>
    <s v="GOVER"/>
    <s v="Pagamento não permitido para cobrança"/>
    <s v="Forma PG. e REC."/>
    <s v="Dados do Fornecedor"/>
    <s v="Qualidade dos dados"/>
    <s v="KONTIK BUSINESS TRAVEL"/>
  </r>
  <r>
    <n v="24807258"/>
    <n v="25648554"/>
    <s v="ACC01"/>
    <x v="103"/>
    <d v="2026-06-23T22:22:16"/>
    <s v="09 a 15 dias"/>
    <s v="09 a 15 dias"/>
    <s v="6PFIUX"/>
    <s v="TMS"/>
    <s v="LANA FERNANDES ARAUJO"/>
    <s v="Jessica Soares Teixeira"/>
    <s v="Jessica Soares Teixeira"/>
    <x v="100"/>
    <n v="114557"/>
    <s v="-"/>
    <s v="OFF LINE"/>
    <s v="Cartão de crédito"/>
    <s v="Cartão de crédito"/>
    <s v="Hotel"/>
    <s v="N"/>
    <s v="Grupo Ultragaz"/>
    <s v="Bahiana Distribuidora de Gas"/>
    <s v="-"/>
    <s v="-"/>
    <s v="-"/>
    <s v="KON-OPE-SAO-PVI-BTC-ARGO"/>
    <s v="-"/>
    <x v="100"/>
    <n v="0"/>
    <n v="0"/>
    <n v="0"/>
    <n v="0"/>
    <n v="0"/>
    <n v="0"/>
    <s v="Reserva importada do Sistema TMS. OS: 114557"/>
    <s v="Fornecedor não preenchido! (ACC01)"/>
    <s v="ARGO(TMS)"/>
    <s v="Falta de Fornecedor"/>
    <s v="Campo Fornecedor"/>
    <s v="Dados do Fornecedor"/>
    <s v="Qualidade dos dados"/>
    <s v="KONTIK BUSINESS TRAVEL"/>
  </r>
  <r>
    <n v="24807400"/>
    <n v="25648685"/>
    <s v="ACC01"/>
    <x v="104"/>
    <d v="2026-06-23T22:46:24"/>
    <s v="09 a 15 dias"/>
    <s v="09 a 15 dias"/>
    <s v="6PEKIW"/>
    <s v="TMS"/>
    <s v="FRANCISCO RUIZ"/>
    <s v="Tms"/>
    <s v="Tms"/>
    <x v="101"/>
    <n v="21306"/>
    <s v="São Paulo / CGH"/>
    <s v="ON LINE"/>
    <s v="Invoice"/>
    <s v="Faturado"/>
    <s v="Carro"/>
    <s v="N"/>
    <s v="Grupo Braskem"/>
    <s v="Braskem - Camacari"/>
    <s v="-"/>
    <s v="-"/>
    <s v="-"/>
    <s v="KON-OPE-SAO-PVI-BRASKEM"/>
    <s v="-"/>
    <x v="101"/>
    <n v="0"/>
    <n v="0"/>
    <n v="0"/>
    <n v="0"/>
    <n v="0"/>
    <n v="0"/>
    <s v="Reserva importada do Sistema TMS. OS: 21306"/>
    <s v="Fornecedor não preenchido! (ACC01)"/>
    <s v="ARGO(TMS)"/>
    <s v="Falta de Fornecedor"/>
    <s v="Campo Fornecedor"/>
    <s v="Dados do Fornecedor"/>
    <s v="Qualidade dos dados"/>
    <s v="KONTIK BUSINESS TRAVEL"/>
  </r>
  <r>
    <n v="24804762"/>
    <n v="25646111"/>
    <s v="ACC01"/>
    <x v="105"/>
    <d v="2026-06-23T16:28:30"/>
    <s v="09 a 15 dias"/>
    <s v="09 a 15 dias"/>
    <s v="6P7WHZ"/>
    <s v="TMS"/>
    <s v="VINICIUS OLIVEIRA"/>
    <s v="Tms"/>
    <s v="Tms"/>
    <x v="102"/>
    <n v="21297"/>
    <s v="São Paulo / CGH"/>
    <s v="ON LINE"/>
    <s v="Invoice"/>
    <s v="Faturado"/>
    <s v="Carro"/>
    <s v="N"/>
    <s v="Grupo Braskem"/>
    <s v="Braskem - Camacari"/>
    <s v="-"/>
    <s v="-"/>
    <s v="-"/>
    <s v="KON-OPE-SAO-PVI-BRASKEM"/>
    <s v="-"/>
    <x v="102"/>
    <n v="0"/>
    <n v="0"/>
    <n v="0"/>
    <n v="0"/>
    <n v="0"/>
    <n v="0"/>
    <s v="Reserva importada do Sistema TMS. OS: 21297"/>
    <s v="Fornecedor não preenchido! (ACC01)"/>
    <s v="ARGO(TMS)"/>
    <s v="Falta de Fornecedor"/>
    <s v="Campo Fornecedor"/>
    <s v="Dados do Fornecedor"/>
    <s v="Qualidade dos dados"/>
    <s v="KONTIK BUSINESS TRAVEL"/>
  </r>
  <r>
    <n v="24828575"/>
    <n v="25667115"/>
    <s v="ACC01"/>
    <x v="106"/>
    <d v="2026-06-27T15:27:44"/>
    <s v="09 a 15 dias"/>
    <s v="09 a 15 dias"/>
    <s v="6QRQ52"/>
    <s v="TMS"/>
    <s v="HELENO NEVES JUNIOR"/>
    <s v="Tms"/>
    <s v="Tms"/>
    <x v="103"/>
    <n v="21435"/>
    <s v="Rio de Janeiro / SDU"/>
    <s v="ON LINE"/>
    <s v="Invoice"/>
    <s v="Faturado"/>
    <s v="Carro"/>
    <s v="N"/>
    <s v="Grupo Braskem"/>
    <s v="Braskem - Camacari"/>
    <s v="-"/>
    <s v="-"/>
    <s v="-"/>
    <s v="KON-OPE-SAO-PVI-BRASKEM"/>
    <s v="-"/>
    <x v="103"/>
    <n v="0"/>
    <n v="0"/>
    <n v="0"/>
    <n v="0"/>
    <n v="0"/>
    <n v="0"/>
    <s v="Reserva importada do Sistema TMS. OS: 21435"/>
    <s v="Fornecedor não preenchido! (ACC01)"/>
    <s v="ARGO(TMS)"/>
    <s v="Falta de Fornecedor"/>
    <s v="Campo Fornecedor"/>
    <s v="Dados do Fornecedor"/>
    <s v="Qualidade dos dados"/>
    <s v="KONTIK BUSINESS TRAVEL"/>
  </r>
  <r>
    <n v="24803589"/>
    <n v="25644954"/>
    <s v="ACC01"/>
    <x v="107"/>
    <d v="2026-06-23T12:45:53"/>
    <s v="09 a 15 dias"/>
    <s v="09 a 15 dias"/>
    <s v="QRUZRTT"/>
    <s v="SABRE"/>
    <s v="ALVES ROIM/RODOLFO MR"/>
    <s v="VANESSA ARAUJO ALVES"/>
    <s v="VANESSA ARAUJO ALVES"/>
    <x v="104"/>
    <s v="QRUZRT"/>
    <s v="-"/>
    <s v="ON LINE"/>
    <s v="Cartão de crédito"/>
    <s v="Cartão de crédito"/>
    <s v="Hotel"/>
    <s v="N"/>
    <s v="Grupo Iron Mountain"/>
    <s v="Iron Mountain"/>
    <s v="-"/>
    <s v="-"/>
    <s v="-"/>
    <s v="FCM-OPE-SAO-PVI-BTC-CONCUR-IRON "/>
    <s v="-"/>
    <x v="104"/>
    <n v="269.22000000000003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805180"/>
    <n v="25646553"/>
    <s v="ACC01"/>
    <x v="108"/>
    <d v="2026-06-26T03:01:24"/>
    <s v="09 a 15 dias"/>
    <s v="09 a 15 dias"/>
    <s v="GLKQMET"/>
    <s v="SABRE"/>
    <s v="ARIZA/GUSTAVO KELLER MR"/>
    <s v="Raquel Ribeiro Pinto Villarreal"/>
    <s v="Raquel Ribeiro Pinto Villarreal"/>
    <x v="105"/>
    <s v="GLKQME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105"/>
    <n v="27.3"/>
    <n v="0"/>
    <n v="0"/>
    <n v="0"/>
    <n v="0"/>
    <n v="72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807257"/>
    <n v="25648553"/>
    <s v="ACC01"/>
    <x v="109"/>
    <d v="2026-06-24T08:43:05"/>
    <s v="09 a 15 dias"/>
    <s v="09 a 15 dias"/>
    <s v="JCBFFPT"/>
    <s v="SABRE"/>
    <s v="RIBEIRO/CLAUDEMIR MR"/>
    <s v="Raquel Ribeiro Pinto Villarreal"/>
    <s v="Raquel Ribeiro Pinto Villarreal"/>
    <x v="106"/>
    <s v="JCBFFP"/>
    <s v="-"/>
    <s v="OFF LINE"/>
    <s v="Cartão de crédito"/>
    <s v="Cartão de crédito"/>
    <s v="Hotel"/>
    <s v="S"/>
    <s v="Grupo Fm Global"/>
    <s v="Fm Global - Servicos"/>
    <s v="Cliente FEE no POS"/>
    <s v="-"/>
    <s v="-"/>
    <s v="FCM-OPE-SAO-PVI-BTC-FM GLOBAL"/>
    <s v="-"/>
    <x v="105"/>
    <n v="27.3"/>
    <n v="0"/>
    <n v="0"/>
    <n v="0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806166"/>
    <n v="25647541"/>
    <s v="ACC01"/>
    <x v="110"/>
    <d v="2026-06-24T08:36:31"/>
    <s v="09 a 15 dias"/>
    <s v="09 a 15 dias"/>
    <s v="AEKABKT"/>
    <s v="SABRE"/>
    <s v="DA SILVA/MARCO FILIPE BARBOSA"/>
    <s v="Raquel Ribeiro Pinto Villarreal"/>
    <s v="Raquel Ribeiro Pinto Villarreal"/>
    <x v="107"/>
    <s v="AEKABK"/>
    <s v="-"/>
    <s v="OFF LINE"/>
    <s v="Cartão de crédito"/>
    <s v="Cartão de crédito"/>
    <s v="Hotel"/>
    <s v="S"/>
    <s v="Grupo Fm Global"/>
    <s v="Fm Global - Servicos"/>
    <s v="Cliente FEE no POS"/>
    <s v="-"/>
    <s v="-"/>
    <s v="FCM-OPE-SAO-PVI-BTC-FM GLOBAL"/>
    <s v="-"/>
    <x v="105"/>
    <n v="27.3"/>
    <n v="0"/>
    <n v="0"/>
    <n v="0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812222"/>
    <n v="25652829"/>
    <s v="ACC01"/>
    <x v="111"/>
    <d v="2026-06-26T03:01:25"/>
    <s v="09 a 15 dias"/>
    <s v="09 a 15 dias"/>
    <s v="NPNOICT"/>
    <s v="SABRE"/>
    <s v="MARQUES CRISOL/ALEXANDRE MR"/>
    <s v="Raquel Ribeiro Pinto Villarreal"/>
    <s v="Raquel Ribeiro Pinto Villarreal"/>
    <x v="108"/>
    <s v="NPNOIC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106"/>
    <n v="116.29"/>
    <n v="0"/>
    <n v="0"/>
    <n v="0"/>
    <n v="0"/>
    <n v="72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809524"/>
    <n v="25650074"/>
    <s v="ACC01"/>
    <x v="112"/>
    <d v="2026-06-24T11:28:27"/>
    <s v="09 a 15 dias"/>
    <s v="09 a 15 dias"/>
    <n v="2119736092"/>
    <s v="WOOBA"/>
    <s v="Marques Rocha/ Leonardo "/>
    <s v="Toou"/>
    <s v="Toou"/>
    <x v="109"/>
    <s v="-"/>
    <s v="-"/>
    <s v="OFF LINE"/>
    <s v="?"/>
    <s v="?"/>
    <s v="Hotel"/>
    <s v="N"/>
    <s v="Grupo Kontrip"/>
    <s v="Instituto Atlantico"/>
    <s v="-"/>
    <s v="-"/>
    <s v="-"/>
    <s v="KONTRIP"/>
    <s v="-"/>
    <x v="107"/>
    <n v="0"/>
    <n v="0"/>
    <n v="0"/>
    <n v="0"/>
    <n v="0"/>
    <n v="0"/>
    <s v="Reserva importada do Sistema WOOBA. Id: 13399"/>
    <s v="Fornecedor não preenchido! (ACC01)"/>
    <s v="KONTRIP"/>
    <s v="Falta de Fornecedor"/>
    <s v="Campo Fornecedor"/>
    <s v="Dados do Fornecedor"/>
    <s v="Qualidade dos dados"/>
    <s v="KONTRIP VIAGENS"/>
  </r>
  <r>
    <n v="24818498"/>
    <n v="25658370"/>
    <s v="ACC01"/>
    <x v="113"/>
    <d v="2026-06-25T20:47:19"/>
    <s v="09 a 15 dias"/>
    <s v="09 a 15 dias"/>
    <s v="6P5NNJ"/>
    <s v="TMS"/>
    <s v="FERNANDA ALLEGRETTO"/>
    <s v="Elivani Souza de Araujo Angi"/>
    <s v="Elivani Souza de Araujo Angi"/>
    <x v="110"/>
    <n v="330179"/>
    <s v="Los Angeles / CA, Estados Unidos - Aeroporto Internacional de Los Angeles (LAX)"/>
    <s v="OFF LINE"/>
    <s v="Invoice"/>
    <s v="Faturado"/>
    <s v="Carro"/>
    <s v="N"/>
    <s v="Grupo Kpmg"/>
    <s v="Kpmg"/>
    <s v="-"/>
    <s v="-"/>
    <s v="-"/>
    <s v="KON-OPE-SAO-PVI-KPMG"/>
    <s v="-"/>
    <x v="108"/>
    <n v="0"/>
    <n v="0"/>
    <n v="0"/>
    <n v="0"/>
    <n v="0"/>
    <n v="0"/>
    <s v="Reserva importada do Sistema TMS. OS: 330179"/>
    <s v="Fornecedor não preenchido! (ACC01)"/>
    <s v="ARGO(TMS)"/>
    <s v="Falta de Fornecedor"/>
    <s v="Campo Fornecedor"/>
    <s v="Dados do Fornecedor"/>
    <s v="Qualidade dos dados"/>
    <s v="KONTIK BUSINESS TRAVEL"/>
  </r>
  <r>
    <n v="24816248"/>
    <n v="25656053"/>
    <s v="ACC01"/>
    <x v="114"/>
    <d v="2026-06-25T14:48:29"/>
    <s v="09 a 15 dias"/>
    <s v="09 a 15 dias"/>
    <s v="6P8J07"/>
    <s v="TMS"/>
    <s v="MARCOS OLIVEIRA"/>
    <s v="BRUNO ALVARENGA MELONI"/>
    <s v="BRUNO ALVARENGA MELONI"/>
    <x v="111"/>
    <n v="330085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09"/>
    <n v="0"/>
    <n v="0"/>
    <n v="0"/>
    <n v="0"/>
    <n v="0"/>
    <n v="0"/>
    <s v="Reserva importada do Sistema TMS. OS: 330085"/>
    <s v="Fornecedor não preenchido! (ACC01)"/>
    <s v="ARGO(TMS)"/>
    <s v="Falta de Fornecedor"/>
    <s v="Campo Fornecedor"/>
    <s v="Dados do Fornecedor"/>
    <s v="Qualidade dos dados"/>
    <s v="KONTIK BUSINESS TRAVEL"/>
  </r>
  <r>
    <n v="24810101"/>
    <n v="25650655"/>
    <s v="ACC01"/>
    <x v="115"/>
    <d v="2026-06-24T14:21:59"/>
    <s v="09 a 15 dias"/>
    <s v="09 a 15 dias"/>
    <s v="6PJ5WF"/>
    <s v="TMS"/>
    <s v="CECILIO SCHIGUEMATU"/>
    <s v="Diogo Dantas Gomes"/>
    <s v="Diogo Dantas Gomes"/>
    <x v="112"/>
    <n v="330208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110"/>
    <n v="0"/>
    <n v="0"/>
    <n v="0"/>
    <n v="0"/>
    <n v="163.32"/>
    <n v="0"/>
    <s v="Reserva importada do Sistema TMS. OS: 330208"/>
    <s v="Fornecedor não preenchido! (ACC01)"/>
    <s v="ARGO(TMS)"/>
    <s v="Falta de Fornecedor"/>
    <s v="Campo Fornecedor"/>
    <s v="Dados do Fornecedor"/>
    <s v="Qualidade dos dados"/>
    <s v="KONTIK BUSINESS TRAVEL"/>
  </r>
  <r>
    <n v="24821645"/>
    <n v="25660801"/>
    <s v="ACC01"/>
    <x v="116"/>
    <d v="2026-06-26T14:55:00"/>
    <s v="09 a 15 dias"/>
    <s v="09 a 15 dias"/>
    <s v="LZQDZVC"/>
    <s v="SABRE"/>
    <s v="MOURA/JONNI"/>
    <s v="WS"/>
    <s v="WS"/>
    <x v="113"/>
    <s v="LZQDZV"/>
    <s v="BEL"/>
    <s v="ON LINE"/>
    <s v="Invoice"/>
    <s v="Faturado"/>
    <s v="Carro"/>
    <s v="N"/>
    <s v="Grupo Honeywell"/>
    <s v="Honeywell"/>
    <s v="Cliente FEE no POS"/>
    <s v="-"/>
    <s v="-"/>
    <s v="FCM-OPE-SAO-PVI-BTC-CONCUR-HONEYWELL"/>
    <s v="-"/>
    <x v="111"/>
    <n v="160.79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9609"/>
    <n v="25659449"/>
    <s v="ACC01"/>
    <x v="117"/>
    <d v="2026-06-26T05:05:27"/>
    <s v="09 a 15 dias"/>
    <s v="09 a 15 dias"/>
    <s v="HHBXEJT"/>
    <s v="SABRE"/>
    <s v="DA CRUZ/ALLAN"/>
    <s v="MARIA CECILIA PEREIRA SILVA"/>
    <s v="MARIA CECILIA PEREIRA SILVA"/>
    <x v="114"/>
    <s v="HHBXEJ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112"/>
    <n v="434.39"/>
    <n v="0"/>
    <n v="0"/>
    <n v="0"/>
    <n v="0"/>
    <n v="13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834828"/>
    <n v="25671598"/>
    <s v="ACC01"/>
    <x v="118"/>
    <d v="2026-06-29T09:46:19"/>
    <s v="06 a 08 dias"/>
    <s v="06 a 08 dias"/>
    <s v="ECATFTC"/>
    <s v="SABRE"/>
    <s v="SCHEURICH/JOAO PEDRO"/>
    <s v="WS"/>
    <s v="WS"/>
    <x v="115"/>
    <s v="ECATFT"/>
    <s v="POA"/>
    <s v="ON LINE"/>
    <s v="Invoice"/>
    <s v="Faturado"/>
    <s v="Carro"/>
    <s v="N"/>
    <s v="Grupo Honeywell"/>
    <s v="Honeywell"/>
    <s v="Cliente FEE no POS"/>
    <s v="-"/>
    <s v="-"/>
    <s v="FCM-OPE-SAO-PVI-BTC-CONCUR-HONEYWELL"/>
    <s v="-"/>
    <x v="11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30895"/>
    <n v="25668629"/>
    <s v="ACC02"/>
    <x v="119"/>
    <d v="2026-07-03T09:58:07"/>
    <s v="03 a 05 dias"/>
    <s v="06 a 08 dias"/>
    <s v="H4713824"/>
    <s v="GOVER"/>
    <s v="Marcos de Assis Santos"/>
    <s v="Gover"/>
    <s v="Gover"/>
    <x v="116"/>
    <n v="4713824"/>
    <s v="-"/>
    <s v="OFF LINE"/>
    <s v="Cartão de crédito"/>
    <s v="Cartão de crédito"/>
    <s v="Hotel"/>
    <s v="N"/>
    <s v="Grupo Energisa"/>
    <s v="Energisa Sul-sudeste - Distribuidora de Energia S.a."/>
    <s v="-"/>
    <s v="-"/>
    <s v="-"/>
    <s v="KON-OPE-SAO-PVI-ENERGISA"/>
    <s v="-"/>
    <x v="114"/>
    <n v="0"/>
    <n v="0"/>
    <n v="0"/>
    <n v="0"/>
    <n v="0"/>
    <n v="0"/>
    <s v="Reserva importada do sistema Gover. Id: 4713824"/>
    <s v="Fornecedor não preenchido! (ACC02)"/>
    <s v="GOVER"/>
    <s v="Falta de Fornecedor"/>
    <s v="Campo Fornecedor"/>
    <s v="Dados do Fornecedor"/>
    <s v="Sistêmico"/>
    <s v="GRUPO KONTIK"/>
  </r>
  <r>
    <n v="24804682"/>
    <n v="25646034"/>
    <s v="ACC01"/>
    <x v="120"/>
    <d v="2026-06-23T16:06:21"/>
    <s v="09 a 15 dias"/>
    <s v="09 a 15 dias"/>
    <s v="6P865A"/>
    <s v="TMS"/>
    <s v="GISELE SANTOS SILVA"/>
    <s v="Maria Gabriela Stella Azevedo Neves"/>
    <s v="Maria Gabriela Stella Azevedo Neves"/>
    <x v="117"/>
    <n v="114903"/>
    <s v="-"/>
    <s v="OFF LINE"/>
    <s v="Invoice"/>
    <s v="Faturado"/>
    <s v="Hotel"/>
    <s v="N"/>
    <s v="Grupo Ultra"/>
    <s v="Ultragaz-matriz"/>
    <s v="-"/>
    <s v="-"/>
    <s v="-"/>
    <s v="KON-OPE-SAO-PVI-BTC-ARGO"/>
    <s v="-"/>
    <x v="115"/>
    <n v="0"/>
    <n v="0"/>
    <n v="0"/>
    <n v="0"/>
    <n v="0"/>
    <n v="0"/>
    <s v="Reserva importada do Sistema TMS. OS: 114903"/>
    <s v="Fornecedor não preenchido! (ACC01)"/>
    <s v="ARGO(TMS)"/>
    <s v="Falta de Fornecedor"/>
    <s v="Campo Fornecedor"/>
    <s v="Dados do Fornecedor"/>
    <s v="Qualidade dos dados"/>
    <s v="KONTIK BUSINESS TRAVEL"/>
  </r>
  <r>
    <n v="24807243"/>
    <n v="25648539"/>
    <s v="ACC01"/>
    <x v="121"/>
    <d v="2026-06-23T22:20:32"/>
    <s v="09 a 15 dias"/>
    <s v="09 a 15 dias"/>
    <s v="6P3J7S"/>
    <s v="TMS"/>
    <s v="JOAO NUNES ROBAINA"/>
    <s v="Jessica Soares Teixeira"/>
    <s v="Jessica Soares Teixeira"/>
    <x v="118"/>
    <n v="115026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116"/>
    <n v="0"/>
    <n v="0"/>
    <n v="0"/>
    <n v="0"/>
    <n v="0"/>
    <n v="0"/>
    <s v="Reserva importada do Sistema TMS. OS: 115026"/>
    <s v="Fornecedor não preenchido! (ACC01)"/>
    <s v="ARGO(TMS)"/>
    <s v="Falta de Fornecedor"/>
    <s v="Campo Fornecedor"/>
    <s v="Dados do Fornecedor"/>
    <s v="Qualidade dos dados"/>
    <s v="KONTIK BUSINESS TRAVEL"/>
  </r>
  <r>
    <n v="24807249"/>
    <n v="25648545"/>
    <s v="ACC01"/>
    <x v="122"/>
    <d v="2026-06-23T22:21:26"/>
    <s v="09 a 15 dias"/>
    <s v="09 a 15 dias"/>
    <s v="6PO7US"/>
    <s v="TMS"/>
    <s v="JONAS JONAS BORDIGNON"/>
    <s v="Jessica Soares Teixeira"/>
    <s v="Jessica Soares Teixeira"/>
    <x v="119"/>
    <n v="114757"/>
    <s v="-"/>
    <s v="OFF LINE"/>
    <s v="Cartão de crédito"/>
    <s v="Cartão de crédito"/>
    <s v="Hotel"/>
    <s v="N"/>
    <s v="Grupo Ultra"/>
    <s v="Ultragaz-matriz"/>
    <s v="-"/>
    <s v="-"/>
    <s v="-"/>
    <s v="KON-OPE-SAO-PVI-BTC-ARGO"/>
    <s v="-"/>
    <x v="117"/>
    <n v="0"/>
    <n v="0"/>
    <n v="0"/>
    <n v="0"/>
    <n v="0"/>
    <n v="0"/>
    <s v="Reserva importada do Sistema TMS. OS: 114757"/>
    <s v="Fornecedor não preenchido! (ACC01)"/>
    <s v="ARGO(TMS)"/>
    <s v="Falta de Fornecedor"/>
    <s v="Campo Fornecedor"/>
    <s v="Dados do Fornecedor"/>
    <s v="Qualidade dos dados"/>
    <s v="KONTIK BUSINESS TRAVEL"/>
  </r>
  <r>
    <n v="24819606"/>
    <n v="25659446"/>
    <s v="ACC01"/>
    <x v="123"/>
    <d v="2026-06-26T11:18:16"/>
    <s v="09 a 15 dias"/>
    <s v="09 a 15 dias"/>
    <s v="OZHACWT"/>
    <s v="SABRE"/>
    <s v="DELGADO FARIA/MARCO AURELIO"/>
    <s v="BRUNA SEBBEN"/>
    <s v="BRUNA SEBBEN"/>
    <x v="120"/>
    <s v="OZHACW"/>
    <s v="-"/>
    <s v="ON LINE"/>
    <s v="Cartão de crédito"/>
    <s v="Cartão de crédito"/>
    <s v="Hotel"/>
    <s v="N"/>
    <s v="Grupo Ihs"/>
    <s v="Ihs Brasil Cessao de Infraestruturas S a"/>
    <s v="-"/>
    <s v="-"/>
    <s v="-"/>
    <s v="FCM-OPE-SAO-PVI-BTC-CONCUR"/>
    <s v="-"/>
    <x v="118"/>
    <n v="256.5"/>
    <n v="0"/>
    <n v="0"/>
    <n v="0"/>
    <n v="0"/>
    <n v="0"/>
    <s v="Reserva importada por HubTravel"/>
    <s v="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4821070"/>
    <n v="25660281"/>
    <s v="ACC01"/>
    <x v="124"/>
    <d v="2026-07-03T17:12:36"/>
    <s v="03 a 05 dias"/>
    <s v="09 a 15 dias"/>
    <s v="NOXBGGC"/>
    <s v="SABRE"/>
    <s v="CORSINI/HILQUIAS MR"/>
    <s v="CT"/>
    <s v="CT"/>
    <x v="121"/>
    <s v="NOXBGG"/>
    <s v="QDV"/>
    <s v="ON LINE"/>
    <s v="Invoice"/>
    <s v="Faturado"/>
    <s v="Carro"/>
    <s v="N"/>
    <s v="Grupo Basf"/>
    <s v="Chemetall do Brasil"/>
    <s v="-"/>
    <s v="-"/>
    <s v="-"/>
    <s v="FCM-OPE-SAO-PVI-BASF"/>
    <s v="-"/>
    <x v="119"/>
    <n v="107.49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6751"/>
    <n v="25656556"/>
    <s v="ACC01"/>
    <x v="125"/>
    <d v="2026-06-25T16:30:38"/>
    <s v="09 a 15 dias"/>
    <s v="09 a 15 dias"/>
    <s v="6PC8DU"/>
    <s v="TMS"/>
    <s v="EDEVALDO MACHADO"/>
    <s v="Tms"/>
    <s v="Tms"/>
    <x v="122"/>
    <n v="17984"/>
    <s v="São Paulo / GRU"/>
    <s v="ON LINE"/>
    <s v="Invoice"/>
    <s v="Faturado"/>
    <s v="Carro"/>
    <s v="N"/>
    <s v="Grupo Odontoprev"/>
    <s v="Mediservice Operadora de Planos de Saude S.a."/>
    <s v="-"/>
    <s v="-"/>
    <s v="-"/>
    <s v="-"/>
    <s v="-"/>
    <x v="120"/>
    <n v="0"/>
    <n v="0"/>
    <n v="0"/>
    <n v="0"/>
    <n v="0"/>
    <n v="0"/>
    <s v="Reserva importada do Sistema TMS. OS: 17984"/>
    <s v="Fornecedor não preenchido! (ACC01)"/>
    <s v="ARGO(TMS)"/>
    <s v="Falta de Fornecedor"/>
    <s v="Campo Fornecedor"/>
    <s v="Dados do Fornecedor"/>
    <s v="Qualidade dos dados"/>
    <s v="KONTIK BUSINESS TRAVEL"/>
  </r>
  <r>
    <n v="24809434"/>
    <n v="25649975"/>
    <s v="ACC02"/>
    <x v="126"/>
    <d v="2026-06-26T06:11:19"/>
    <s v="09 a 15 dias"/>
    <s v="09 a 15 dias"/>
    <s v="NUOZOET"/>
    <s v="SABRE"/>
    <s v="ESPANHA/ANDERSON PEREGO MR"/>
    <s v="JULIANE MARTINS FERREIRA"/>
    <s v="JULIANE MARTINS FERREIRA"/>
    <x v="123"/>
    <s v="NUOZOE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121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808218"/>
    <n v="25649278"/>
    <s v="ACC01"/>
    <x v="127"/>
    <d v="2026-07-06T01:15:36"/>
    <s v="0 a 02 dias"/>
    <s v="09 a 15 dias"/>
    <s v="6P87XE"/>
    <s v="TMS"/>
    <s v="HUGO ANTONIO SOUZA JUNIOR"/>
    <s v="Tms"/>
    <s v="Tms"/>
    <x v="124"/>
    <n v="117119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122"/>
    <n v="70.56"/>
    <n v="0"/>
    <n v="0"/>
    <n v="0"/>
    <n v="0"/>
    <n v="0"/>
    <s v="Reserva importada do Sistema TMS. OS: 117119"/>
    <s v="Fornecedor não preenchido! (ACC01)"/>
    <s v="ARGO(TMS)"/>
    <s v="Falta de Fornecedor"/>
    <s v="Campo Fornecedor"/>
    <s v="Dados do Fornecedor"/>
    <s v="Qualidade dos dados"/>
    <s v="KONTIK BUSINESS TRAVEL"/>
  </r>
  <r>
    <n v="24808220"/>
    <n v="25649280"/>
    <s v="ACC01"/>
    <x v="128"/>
    <d v="2026-07-06T01:15:37"/>
    <s v="0 a 02 dias"/>
    <s v="09 a 15 dias"/>
    <s v="6PM8WC"/>
    <s v="TMS"/>
    <s v="RENATO RANGEL"/>
    <s v="Tms"/>
    <s v="Tms"/>
    <x v="124"/>
    <n v="117117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123"/>
    <n v="19.559999999999999"/>
    <n v="0"/>
    <n v="0"/>
    <n v="0"/>
    <n v="0"/>
    <n v="0"/>
    <s v="Reserva importada do Sistema TMS. OS: 117117"/>
    <s v="Fornecedor não preenchido! (ACC01)"/>
    <s v="ARGO(TMS)"/>
    <s v="Falta de Fornecedor"/>
    <s v="Campo Fornecedor"/>
    <s v="Dados do Fornecedor"/>
    <s v="Qualidade dos dados"/>
    <s v="KONTIK BUSINESS TRAVEL"/>
  </r>
  <r>
    <n v="24804526"/>
    <n v="25645873"/>
    <s v="ACC01"/>
    <x v="129"/>
    <d v="2026-06-23T15:17:53"/>
    <s v="09 a 15 dias"/>
    <s v="09 a 15 dias"/>
    <s v="6PZEVA"/>
    <s v="TMS"/>
    <s v="ROGERIO LIMA"/>
    <s v="Nataly Franca Regal de Castro"/>
    <s v="Nataly Franca Regal de Castro"/>
    <x v="125"/>
    <n v="117022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124"/>
    <n v="0"/>
    <n v="0"/>
    <n v="0"/>
    <n v="0"/>
    <n v="0"/>
    <n v="0"/>
    <s v="Reserva importada do Sistema TMS. OS: 117022"/>
    <s v="Fornecedor não preenchido! (ACC01)"/>
    <s v="ARGO(TMS)"/>
    <s v="Falta de Fornecedor"/>
    <s v="Campo Fornecedor"/>
    <s v="Dados do Fornecedor"/>
    <s v="Qualidade dos dados"/>
    <s v="KONTIK BUSINESS TRAVEL"/>
  </r>
  <r>
    <n v="24816651"/>
    <n v="25656476"/>
    <s v="ACC01"/>
    <x v="130"/>
    <d v="2026-06-25T16:04:32"/>
    <s v="09 a 15 dias"/>
    <s v="09 a 15 dias"/>
    <s v="6PK0DJ"/>
    <s v="TMS"/>
    <s v="GABRIELLA SILVA"/>
    <s v="Nataly Franca Regal de Castro"/>
    <s v="Nataly Franca Regal de Castro"/>
    <x v="126"/>
    <n v="117463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125"/>
    <n v="0"/>
    <n v="0"/>
    <n v="0"/>
    <n v="0"/>
    <n v="0"/>
    <n v="0"/>
    <s v="Reserva importada do Sistema TMS. OS: 117463"/>
    <s v="Fornecedor não preenchido! (ACC01)"/>
    <s v="ARGO(TMS)"/>
    <s v="Falta de Fornecedor"/>
    <s v="Campo Fornecedor"/>
    <s v="Dados do Fornecedor"/>
    <s v="Qualidade dos dados"/>
    <s v="KONTIK BUSINESS TRAVEL"/>
  </r>
  <r>
    <n v="24816653"/>
    <n v="25656478"/>
    <s v="ACC01"/>
    <x v="131"/>
    <d v="2026-06-25T16:04:47"/>
    <s v="09 a 15 dias"/>
    <s v="09 a 15 dias"/>
    <s v="6PP13U"/>
    <s v="TMS"/>
    <s v="CHRISTIAN EDUARDO SAIS"/>
    <s v="Nataly Franca Regal de Castro"/>
    <s v="Nataly Franca Regal de Castro"/>
    <x v="127"/>
    <n v="117459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126"/>
    <n v="0"/>
    <n v="0"/>
    <n v="0"/>
    <n v="0"/>
    <n v="0"/>
    <n v="0"/>
    <s v="Reserva importada do Sistema TMS. OS: 117459"/>
    <s v="Fornecedor não preenchido! (ACC01)"/>
    <s v="ARGO(TMS)"/>
    <s v="Falta de Fornecedor"/>
    <s v="Campo Fornecedor"/>
    <s v="Dados do Fornecedor"/>
    <s v="Qualidade dos dados"/>
    <s v="KONTIK BUSINESS TRAVEL"/>
  </r>
  <r>
    <n v="24822979"/>
    <n v="25662122"/>
    <s v="ACC01"/>
    <x v="132"/>
    <d v="2026-06-26T16:24:26"/>
    <s v="09 a 15 dias"/>
    <s v="09 a 15 dias"/>
    <s v="6Q230P"/>
    <s v="TMS"/>
    <s v="IGOR OLIVEIRA"/>
    <s v="Nataly Franca Regal de Castro"/>
    <s v="Nataly Franca Regal de Castro"/>
    <x v="128"/>
    <n v="117587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127"/>
    <n v="0"/>
    <n v="0"/>
    <n v="0"/>
    <n v="0"/>
    <n v="0"/>
    <n v="0"/>
    <s v="Reserva importada do Sistema TMS. OS: 117587"/>
    <s v="Fornecedor não preenchido! (ACC01)"/>
    <s v="ARGO(TMS)"/>
    <s v="Falta de Fornecedor"/>
    <s v="Campo Fornecedor"/>
    <s v="Dados do Fornecedor"/>
    <s v="Qualidade dos dados"/>
    <s v="KONTIK BUSINESS TRAVEL"/>
  </r>
  <r>
    <n v="24825459"/>
    <n v="25664718"/>
    <s v="ACC01"/>
    <x v="133"/>
    <d v="2026-06-26T22:01:58"/>
    <s v="09 a 15 dias"/>
    <s v="09 a 15 dias"/>
    <s v="6QT9OB"/>
    <s v="TMS"/>
    <s v="ANA ROSA FERNANDES"/>
    <s v="Nataly Franca Regal de Castro"/>
    <s v="Nataly Franca Regal de Castro"/>
    <x v="129"/>
    <n v="117734"/>
    <s v="-"/>
    <s v="OFF LINE"/>
    <s v="Múltiplos"/>
    <s v="Múltiplos"/>
    <s v="Serviço"/>
    <s v="N"/>
    <s v="Grupo Ocean Pact"/>
    <s v="Oceanpact Servicos Maritimos"/>
    <s v="-"/>
    <s v="-"/>
    <s v="-"/>
    <s v="KON-OPE-RIO-POS-OCEANPACT"/>
    <s v="-"/>
    <x v="128"/>
    <n v="0"/>
    <n v="0"/>
    <n v="0"/>
    <n v="0"/>
    <n v="0"/>
    <n v="0"/>
    <s v="Reserva importada do Sistema TMS. OS: 117734"/>
    <s v="Fornecedor não preenchido! (ACC01)"/>
    <s v="ARGO(TMS)"/>
    <s v="Falta de Fornecedor"/>
    <s v="Campo Fornecedor"/>
    <s v="Dados do Fornecedor"/>
    <s v="Qualidade dos dados"/>
    <s v="KONTIK BUSINESS TRAVEL"/>
  </r>
  <r>
    <n v="24825569"/>
    <n v="25664817"/>
    <s v="ACC01"/>
    <x v="134"/>
    <d v="2026-06-26T22:15:46"/>
    <s v="09 a 15 dias"/>
    <s v="09 a 15 dias"/>
    <s v="6QWUPQ"/>
    <s v="TMS"/>
    <s v="EBER TRUGILHO MOURA"/>
    <s v="Nataly Franca Regal de Castro"/>
    <s v="Nataly Franca Regal de Castro"/>
    <x v="130"/>
    <n v="117633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129"/>
    <n v="0"/>
    <n v="0"/>
    <n v="0"/>
    <n v="0"/>
    <n v="0"/>
    <n v="0"/>
    <s v="Reserva importada do Sistema TMS. OS: 117633"/>
    <s v="Fornecedor não preenchido! (ACC01)"/>
    <s v="ARGO(TMS)"/>
    <s v="Falta de Fornecedor"/>
    <s v="Campo Fornecedor"/>
    <s v="Dados do Fornecedor"/>
    <s v="Qualidade dos dados"/>
    <s v="KONTIK BUSINESS TRAVEL"/>
  </r>
  <r>
    <n v="24826776"/>
    <n v="25665837"/>
    <s v="ACC01"/>
    <x v="135"/>
    <d v="2026-07-06T01:15:39"/>
    <s v="0 a 02 dias"/>
    <s v="09 a 15 dias"/>
    <s v="6QIJYQ"/>
    <s v="TMS"/>
    <s v="RENATO RANGEL"/>
    <s v="Tms"/>
    <s v="Tms"/>
    <x v="131"/>
    <n v="117687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123"/>
    <n v="19.559999999999999"/>
    <n v="0"/>
    <n v="0"/>
    <n v="0"/>
    <n v="0"/>
    <n v="0"/>
    <s v="Reserva importada do Sistema TMS. OS: 117687"/>
    <s v="Fornecedor não preenchido! (ACC01)"/>
    <s v="ARGO(TMS)"/>
    <s v="Falta de Fornecedor"/>
    <s v="Campo Fornecedor"/>
    <s v="Dados do Fornecedor"/>
    <s v="Qualidade dos dados"/>
    <s v="KONTIK BUSINESS TRAVEL"/>
  </r>
  <r>
    <n v="24826780"/>
    <n v="25665841"/>
    <s v="ACC01"/>
    <x v="136"/>
    <d v="2026-07-06T01:15:40"/>
    <s v="0 a 02 dias"/>
    <s v="09 a 15 dias"/>
    <s v="6Q286A"/>
    <s v="TMS"/>
    <s v="RAUL CARVALHO LOPES"/>
    <s v="Tms"/>
    <s v="Tms"/>
    <x v="132"/>
    <n v="117484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130"/>
    <n v="12.64"/>
    <n v="0"/>
    <n v="0"/>
    <n v="0"/>
    <n v="0"/>
    <n v="0"/>
    <s v="Reserva importada do Sistema TMS. OS: 117484"/>
    <s v="Fornecedor não preenchido! (ACC01)"/>
    <s v="ARGO(TMS)"/>
    <s v="Falta de Fornecedor"/>
    <s v="Campo Fornecedor"/>
    <s v="Dados do Fornecedor"/>
    <s v="Qualidade dos dados"/>
    <s v="KONTIK BUSINESS TRAVEL"/>
  </r>
  <r>
    <n v="24819093"/>
    <n v="25658965"/>
    <s v="ACC01"/>
    <x v="137"/>
    <d v="2026-06-25T21:46:54"/>
    <s v="09 a 15 dias"/>
    <s v="09 a 15 dias"/>
    <s v="6P2P38"/>
    <s v="TMS"/>
    <s v="MAXWELL SILVA ALVES"/>
    <s v="Nataly Franca Regal de Castro"/>
    <s v="Nataly Franca Regal de Castro"/>
    <x v="133"/>
    <n v="117460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131"/>
    <n v="0"/>
    <n v="0"/>
    <n v="0"/>
    <n v="0"/>
    <n v="0"/>
    <n v="0"/>
    <s v="Reserva importada do Sistema TMS. OS: 117460"/>
    <s v="Fornecedor não preenchido! (ACC01)"/>
    <s v="ARGO(TMS)"/>
    <s v="Falta de Fornecedor"/>
    <s v="Campo Fornecedor"/>
    <s v="Dados do Fornecedor"/>
    <s v="Qualidade dos dados"/>
    <s v="KONTIK BUSINESS TRAVEL"/>
  </r>
  <r>
    <n v="24821012"/>
    <n v="25660223"/>
    <s v="ACC01"/>
    <x v="138"/>
    <d v="2026-06-26T09:00:32"/>
    <s v="09 a 15 dias"/>
    <s v="09 a 15 dias"/>
    <s v="6PBLXL"/>
    <s v="TMS"/>
    <s v="BEATRIZ PINHEIRO"/>
    <s v="Nataly Franca Regal de Castro"/>
    <s v="Nataly Franca Regal de Castro"/>
    <x v="134"/>
    <n v="117458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132"/>
    <n v="0"/>
    <n v="0"/>
    <n v="0"/>
    <n v="0"/>
    <n v="0"/>
    <n v="0"/>
    <s v="Reserva importada do Sistema TMS. OS: 117458"/>
    <s v="Fornecedor não preenchido! (ACC01)"/>
    <s v="ARGO(TMS)"/>
    <s v="Falta de Fornecedor"/>
    <s v="Campo Fornecedor"/>
    <s v="Dados do Fornecedor"/>
    <s v="Qualidade dos dados"/>
    <s v="KONTIK BUSINESS TRAVEL"/>
  </r>
  <r>
    <n v="24821013"/>
    <n v="25660224"/>
    <s v="ACC01"/>
    <x v="139"/>
    <d v="2026-06-26T09:00:32"/>
    <s v="09 a 15 dias"/>
    <s v="09 a 15 dias"/>
    <s v="6PAOS9"/>
    <s v="TMS"/>
    <s v="EVELLIN CASSIA SILVA"/>
    <s v="Nataly Franca Regal de Castro"/>
    <s v="Nataly Franca Regal de Castro"/>
    <x v="134"/>
    <n v="117456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131"/>
    <n v="0"/>
    <n v="0"/>
    <n v="0"/>
    <n v="0"/>
    <n v="0"/>
    <n v="0"/>
    <s v="Reserva importada do Sistema TMS. OS: 117456"/>
    <s v="Fornecedor não preenchido! (ACC01)"/>
    <s v="ARGO(TMS)"/>
    <s v="Falta de Fornecedor"/>
    <s v="Campo Fornecedor"/>
    <s v="Dados do Fornecedor"/>
    <s v="Qualidade dos dados"/>
    <s v="KONTIK BUSINESS TRAVEL"/>
  </r>
  <r>
    <n v="24821014"/>
    <n v="25660225"/>
    <s v="ACC01"/>
    <x v="140"/>
    <d v="2026-06-26T09:00:33"/>
    <s v="09 a 15 dias"/>
    <s v="09 a 15 dias"/>
    <s v="6PXNSL"/>
    <s v="TMS"/>
    <s v="ARTUR DA SILVA"/>
    <s v="Nataly Franca Regal de Castro"/>
    <s v="Nataly Franca Regal de Castro"/>
    <x v="134"/>
    <n v="117455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133"/>
    <n v="0"/>
    <n v="0"/>
    <n v="0"/>
    <n v="0"/>
    <n v="0"/>
    <n v="0"/>
    <s v="Reserva importada do Sistema TMS. OS: 117455"/>
    <s v="Fornecedor não preenchido! (ACC01)"/>
    <s v="ARGO(TMS)"/>
    <s v="Falta de Fornecedor"/>
    <s v="Campo Fornecedor"/>
    <s v="Dados do Fornecedor"/>
    <s v="Qualidade dos dados"/>
    <s v="KONTIK BUSINESS TRAVEL"/>
  </r>
  <r>
    <n v="24821015"/>
    <n v="25660226"/>
    <s v="ACC01"/>
    <x v="141"/>
    <d v="2026-06-26T09:00:33"/>
    <s v="09 a 15 dias"/>
    <s v="09 a 15 dias"/>
    <s v="6PENSO"/>
    <s v="TMS"/>
    <s v="ANA ROSA FERNANDES"/>
    <s v="Nataly Franca Regal de Castro"/>
    <s v="Nataly Franca Regal de Castro"/>
    <x v="135"/>
    <n v="117454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134"/>
    <n v="0"/>
    <n v="0"/>
    <n v="0"/>
    <n v="0"/>
    <n v="0"/>
    <n v="0"/>
    <s v="Reserva importada do Sistema TMS. OS: 117454"/>
    <s v="Fornecedor não preenchido! (ACC01)"/>
    <s v="ARGO(TMS)"/>
    <s v="Falta de Fornecedor"/>
    <s v="Campo Fornecedor"/>
    <s v="Dados do Fornecedor"/>
    <s v="Qualidade dos dados"/>
    <s v="KONTIK BUSINESS TRAVEL"/>
  </r>
  <r>
    <n v="24821016"/>
    <n v="25660227"/>
    <s v="ACC01"/>
    <x v="142"/>
    <d v="2026-06-26T09:00:33"/>
    <s v="09 a 15 dias"/>
    <s v="09 a 15 dias"/>
    <s v="6PFO2L"/>
    <s v="TMS"/>
    <s v="PAULO SIQUEIRA LORENCINI"/>
    <s v="Nataly Franca Regal de Castro"/>
    <s v="Nataly Franca Regal de Castro"/>
    <x v="136"/>
    <n v="117452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135"/>
    <n v="0"/>
    <n v="0"/>
    <n v="0"/>
    <n v="0"/>
    <n v="0"/>
    <n v="0"/>
    <s v="Reserva importada do Sistema TMS. OS: 117452"/>
    <s v="Fornecedor não preenchido! (ACC01)"/>
    <s v="ARGO(TMS)"/>
    <s v="Falta de Fornecedor"/>
    <s v="Campo Fornecedor"/>
    <s v="Dados do Fornecedor"/>
    <s v="Qualidade dos dados"/>
    <s v="KONTIK BUSINESS TRAVEL"/>
  </r>
  <r>
    <n v="24816003"/>
    <n v="25655807"/>
    <s v="ACC01"/>
    <x v="143"/>
    <d v="2026-06-25T14:08:01"/>
    <s v="09 a 15 dias"/>
    <s v="09 a 15 dias"/>
    <s v="6P6HNH"/>
    <s v="LEMONTECH"/>
    <s v="GIMENEZ/ANDERSON"/>
    <s v="Vitoria Silva Lopes"/>
    <s v="Vitoria Silva Lopes"/>
    <x v="137"/>
    <n v="19507492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136"/>
    <n v="0"/>
    <n v="0"/>
    <n v="0"/>
    <n v="0"/>
    <n v="0"/>
    <n v="0"/>
    <s v="Reserva importada do Sistema Lemontech. Solicitação: 19507492"/>
    <s v="Fornecedor não preenchido! (ACC01)"/>
    <s v="LEMONTECH"/>
    <s v="Falta de Fornecedor"/>
    <s v="Campo Fornecedor"/>
    <s v="Dados do Fornecedor"/>
    <s v="Qualidade dos dados"/>
    <s v="KONTIK BUSINESS TRAVEL"/>
  </r>
  <r>
    <n v="24816004"/>
    <n v="25655808"/>
    <s v="ACC01"/>
    <x v="144"/>
    <d v="2026-06-25T14:08:01"/>
    <s v="09 a 15 dias"/>
    <s v="09 a 15 dias"/>
    <s v="6PU6NY"/>
    <s v="LEMONTECH"/>
    <s v="AYDOS DE ASSIS/GRETA"/>
    <s v="Vitoria Silva Lopes"/>
    <s v="Vitoria Silva Lopes"/>
    <x v="137"/>
    <n v="19507493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136"/>
    <n v="0"/>
    <n v="0"/>
    <n v="0"/>
    <n v="0"/>
    <n v="0"/>
    <n v="0"/>
    <s v="Reserva importada do Sistema Lemontech. Solicitação: 19507493"/>
    <s v="Fornecedor não preenchido! (ACC01)"/>
    <s v="LEMONTECH"/>
    <s v="Falta de Fornecedor"/>
    <s v="Campo Fornecedor"/>
    <s v="Dados do Fornecedor"/>
    <s v="Qualidade dos dados"/>
    <s v="KONTIK BUSINESS TRAVEL"/>
  </r>
  <r>
    <n v="24823440"/>
    <n v="25662601"/>
    <s v="ACC01"/>
    <x v="145"/>
    <d v="2026-06-26T16:06:40"/>
    <s v="09 a 15 dias"/>
    <s v="09 a 15 dias"/>
    <s v="6QXKSB"/>
    <s v="LEMONTECH"/>
    <s v="MULLER/MARINA"/>
    <s v="Vitoria Silva Lopes"/>
    <s v="Vitoria Silva Lopes"/>
    <x v="138"/>
    <n v="19509128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137"/>
    <n v="0"/>
    <n v="0"/>
    <n v="0"/>
    <n v="0"/>
    <n v="0"/>
    <n v="0"/>
    <s v="Reserva importada do Sistema Lemontech. Solicitação: 19509128"/>
    <s v="Fornecedor não preenchido! (ACC01)"/>
    <s v="LEMONTECH"/>
    <s v="Falta de Fornecedor"/>
    <s v="Campo Fornecedor"/>
    <s v="Dados do Fornecedor"/>
    <s v="Qualidade dos dados"/>
    <s v="KONTIK BUSINESS TRAVEL"/>
  </r>
  <r>
    <n v="24823441"/>
    <n v="25662602"/>
    <s v="ACC01"/>
    <x v="146"/>
    <d v="2026-06-26T16:06:40"/>
    <s v="09 a 15 dias"/>
    <s v="09 a 15 dias"/>
    <s v="6QE8WB"/>
    <s v="LEMONTECH"/>
    <s v="DIAS MONTEIRO CHAVES/JULIANA"/>
    <s v="Vitoria Silva Lopes"/>
    <s v="Vitoria Silva Lopes"/>
    <x v="139"/>
    <n v="19509191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137"/>
    <n v="0"/>
    <n v="0"/>
    <n v="0"/>
    <n v="0"/>
    <n v="0"/>
    <n v="0"/>
    <s v="Reserva importada do Sistema Lemontech. Solicitação: 19509191"/>
    <s v="Fornecedor não preenchido! (ACC01)"/>
    <s v="LEMONTECH"/>
    <s v="Falta de Fornecedor"/>
    <s v="Campo Fornecedor"/>
    <s v="Dados do Fornecedor"/>
    <s v="Qualidade dos dados"/>
    <s v="KONTIK BUSINESS TRAVEL"/>
  </r>
  <r>
    <n v="24807276"/>
    <n v="25648573"/>
    <s v="ACC01"/>
    <x v="147"/>
    <d v="2026-06-23T22:25:38"/>
    <s v="09 a 15 dias"/>
    <s v="09 a 15 dias"/>
    <s v="6PDL7S"/>
    <s v="TMS"/>
    <s v="RENATO DE PAULA"/>
    <s v="Tms"/>
    <s v="Tms"/>
    <x v="140"/>
    <n v="44583"/>
    <s v="Araraquara / AQA"/>
    <s v="ON LINE"/>
    <s v="Invoice"/>
    <s v="Faturado"/>
    <s v="Carro"/>
    <s v="N"/>
    <s v="Grupo Uol"/>
    <s v="Compass Uol Araraquara"/>
    <s v="-"/>
    <s v="-"/>
    <s v="-"/>
    <s v="KON-OPE-RIO-PVI-UOL"/>
    <s v="-"/>
    <x v="138"/>
    <n v="0"/>
    <n v="0"/>
    <n v="0"/>
    <n v="0"/>
    <n v="0"/>
    <n v="0"/>
    <s v="Reserva importada do Sistema TMS. OS: 44583"/>
    <s v="Fornecedor não preenchido! (ACC01)"/>
    <s v="ARGO(TMS)"/>
    <s v="Falta de Fornecedor"/>
    <s v="Campo Fornecedor"/>
    <s v="Dados do Fornecedor"/>
    <s v="Qualidade dos dados"/>
    <s v="KONTIK BUSINESS TRAVEL"/>
  </r>
  <r>
    <n v="24816955"/>
    <n v="25656777"/>
    <s v="ACC01"/>
    <x v="148"/>
    <d v="2026-06-25T17:06:47"/>
    <s v="09 a 15 dias"/>
    <s v="09 a 15 dias"/>
    <s v="6POLRU"/>
    <s v="TMS"/>
    <s v="RENATO DE PAULA"/>
    <s v="Tms"/>
    <s v="Tms"/>
    <x v="141"/>
    <n v="44739"/>
    <s v="Araraquara / AQA"/>
    <s v="ON LINE"/>
    <s v="Invoice"/>
    <s v="Faturado"/>
    <s v="Carro"/>
    <s v="N"/>
    <s v="Grupo Uol"/>
    <s v="Compass Uol Araraquara"/>
    <s v="-"/>
    <s v="-"/>
    <s v="-"/>
    <s v="KON-OPE-RIO-PVI-UOL"/>
    <s v="-"/>
    <x v="139"/>
    <n v="0"/>
    <n v="0"/>
    <n v="0"/>
    <n v="0"/>
    <n v="0"/>
    <n v="0"/>
    <s v="Reserva importada do Sistema TMS. OS: 44739"/>
    <s v="Fornecedor não preenchido! (ACC01)"/>
    <s v="ARGO(TMS)"/>
    <s v="Falta de Fornecedor"/>
    <s v="Campo Fornecedor"/>
    <s v="Dados do Fornecedor"/>
    <s v="Qualidade dos dados"/>
    <s v="KONTIK BUSINESS TRAVEL"/>
  </r>
  <r>
    <n v="24823028"/>
    <n v="25662160"/>
    <s v="ACC01"/>
    <x v="149"/>
    <d v="2026-06-27T03:43:59"/>
    <s v="09 a 15 dias"/>
    <s v="09 a 15 dias"/>
    <s v="H4703520"/>
    <s v="GOVER"/>
    <s v="Saulo Pimentel dos Santos"/>
    <s v="Francisca Maria Mangueira"/>
    <s v="Francisca Maria Mangueira"/>
    <x v="142"/>
    <n v="4703520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131"/>
    <n v="0"/>
    <n v="0"/>
    <n v="0"/>
    <n v="0"/>
    <n v="0"/>
    <n v="0"/>
    <s v="Reserva importada do sistema Gover. Id: 4703520"/>
    <s v="Fornecedor não preenchido! (ACC01)"/>
    <s v="GOVER"/>
    <s v="Falta de Fornecedor"/>
    <s v="Campo Fornecedor"/>
    <s v="Dados do Fornecedor"/>
    <s v="Sistêmico"/>
    <s v="GRUPO KONTIK"/>
  </r>
  <r>
    <n v="24823029"/>
    <n v="25662161"/>
    <s v="ACC01"/>
    <x v="150"/>
    <d v="2026-06-27T03:44:00"/>
    <s v="09 a 15 dias"/>
    <s v="09 a 15 dias"/>
    <s v="H4709754"/>
    <s v="GOVER"/>
    <s v="Saulo Pimentel dos Santos"/>
    <s v="Francisca Maria Mangueira"/>
    <s v="Francisca Maria Mangueira"/>
    <x v="143"/>
    <n v="4709754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131"/>
    <n v="0"/>
    <n v="0"/>
    <n v="0"/>
    <n v="0"/>
    <n v="0"/>
    <n v="0"/>
    <s v="Reserva importada do sistema Gover. Id: 4709754"/>
    <s v="Fornecedor não preenchido! (ACC01)"/>
    <s v="GOVER"/>
    <s v="Falta de Fornecedor"/>
    <s v="Campo Fornecedor"/>
    <s v="Dados do Fornecedor"/>
    <s v="Sistêmico"/>
    <s v="GRUPO KONTIK"/>
  </r>
  <r>
    <n v="24823899"/>
    <n v="25663134"/>
    <s v="ACC01"/>
    <x v="151"/>
    <d v="2026-06-27T04:05:47"/>
    <s v="09 a 15 dias"/>
    <s v="09 a 15 dias"/>
    <s v="h4706456"/>
    <s v="GOVER"/>
    <s v="Saulo Pimentel dos Santos"/>
    <s v="Francisca Maria Mangueira"/>
    <s v="Francisca Maria Mangueira"/>
    <x v="144"/>
    <n v="4706456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140"/>
    <n v="50"/>
    <n v="0"/>
    <n v="0"/>
    <n v="0"/>
    <n v="0"/>
    <n v="0"/>
    <s v="Reserva importada do sistema Gover. Id: 4706456"/>
    <s v="Fornecedor não preenchido! (ACC01)"/>
    <s v="GOVER"/>
    <s v="Falta de Fornecedor"/>
    <s v="Campo Fornecedor"/>
    <s v="Dados do Fornecedor"/>
    <s v="Sistêmico"/>
    <s v="GRUPO KONTIK"/>
  </r>
  <r>
    <n v="24834642"/>
    <n v="25671419"/>
    <s v="ACC01"/>
    <x v="152"/>
    <d v="2026-06-29T09:10:50"/>
    <s v="06 a 08 dias"/>
    <s v="06 a 08 dias"/>
    <n v="23471246"/>
    <s v="WOOBA"/>
    <s v="MELO/MICHAEL BEZERRA LOPES"/>
    <s v="RAYANE ROCHA MONIZ"/>
    <s v="RAYANE ROCHA MONIZ"/>
    <x v="145"/>
    <n v="2841076"/>
    <s v="-"/>
    <s v="OFF LINE"/>
    <s v="Cartão de crédito"/>
    <s v="Cartão de crédito"/>
    <s v="Hotel"/>
    <s v="N"/>
    <s v="Grupo Constellation"/>
    <s v="Constellation"/>
    <s v="-"/>
    <s v="-"/>
    <s v="-"/>
    <s v="KON-OPE-RIO-PVI-CONSTELLATION"/>
    <s v="-"/>
    <x v="141"/>
    <n v="0"/>
    <n v="0"/>
    <n v="0"/>
    <n v="0"/>
    <n v="63.51"/>
    <n v="0"/>
    <s v="Reserva importada do Sistema WOOBA. Id: 13415"/>
    <s v="Fornecedor não preenchido! (ACC01)"/>
    <s v="WOOBA"/>
    <s v="Falta de Fornecedor"/>
    <s v="Campo Fornecedor"/>
    <s v="Dados do Fornecedor"/>
    <s v="Qualidade dos dados"/>
    <s v="KONTIK BUSINESS TRAVEL"/>
  </r>
  <r>
    <n v="24834643"/>
    <n v="25671420"/>
    <s v="ACC01"/>
    <x v="153"/>
    <d v="2026-06-29T09:10:50"/>
    <s v="06 a 08 dias"/>
    <s v="06 a 08 dias"/>
    <n v="23471482"/>
    <s v="WOOBA"/>
    <s v="SANTOS/JOELINGTON FREITAS"/>
    <s v="RAYANE ROCHA MONIZ"/>
    <s v="RAYANE ROCHA MONIZ"/>
    <x v="146"/>
    <n v="2841078"/>
    <s v="-"/>
    <s v="OFF LINE"/>
    <s v="Cartão de crédito"/>
    <s v="Cartão de crédito"/>
    <s v="Hotel"/>
    <s v="N"/>
    <s v="Grupo Constellation"/>
    <s v="Constellation"/>
    <s v="-"/>
    <s v="-"/>
    <s v="-"/>
    <s v="KON-OPE-RIO-PVI-CONSTELLATION"/>
    <s v="-"/>
    <x v="142"/>
    <n v="0"/>
    <n v="0"/>
    <n v="0"/>
    <n v="0"/>
    <n v="23.9"/>
    <n v="0"/>
    <s v="Reserva importada do Sistema WOOBA. Id: 13416"/>
    <s v="Fornecedor não preenchido! (ACC01)"/>
    <s v="WOOBA"/>
    <s v="Falta de Fornecedor"/>
    <s v="Campo Fornecedor"/>
    <s v="Dados do Fornecedor"/>
    <s v="Qualidade dos dados"/>
    <s v="KONTIK BUSINESS TRAVEL"/>
  </r>
  <r>
    <n v="24834644"/>
    <n v="25671421"/>
    <s v="ACC01"/>
    <x v="154"/>
    <d v="2026-06-29T09:10:50"/>
    <s v="06 a 08 dias"/>
    <s v="06 a 08 dias"/>
    <n v="23471529"/>
    <s v="WOOBA"/>
    <s v="SANTOS/FELIPE VELOSO BARBOSA"/>
    <s v="RAYANE ROCHA MONIZ"/>
    <s v="RAYANE ROCHA MONIZ"/>
    <x v="147"/>
    <n v="2840953"/>
    <s v="-"/>
    <s v="OFF LINE"/>
    <s v="Cartão de crédito"/>
    <s v="Cartão de crédito"/>
    <s v="Hotel"/>
    <s v="N"/>
    <s v="Grupo Constellation"/>
    <s v="Constellation"/>
    <s v="-"/>
    <s v="-"/>
    <s v="-"/>
    <s v="KON-OPE-RIO-PVI-CONSTELLATION"/>
    <s v="-"/>
    <x v="143"/>
    <n v="0"/>
    <n v="0"/>
    <n v="0"/>
    <n v="0"/>
    <n v="21.95"/>
    <n v="0"/>
    <s v="Reserva importada do Sistema WOOBA. Id: 13417"/>
    <s v="Fornecedor não preenchido! (ACC01)"/>
    <s v="WOOBA"/>
    <s v="Falta de Fornecedor"/>
    <s v="Campo Fornecedor"/>
    <s v="Dados do Fornecedor"/>
    <s v="Qualidade dos dados"/>
    <s v="KONTIK BUSINESS TRAVEL"/>
  </r>
  <r>
    <n v="24834645"/>
    <n v="25671422"/>
    <s v="ACC01"/>
    <x v="155"/>
    <d v="2026-06-29T09:10:50"/>
    <s v="06 a 08 dias"/>
    <s v="06 a 08 dias"/>
    <n v="23488341"/>
    <s v="WOOBA"/>
    <s v="SILVA/AUGUSTO SILVA"/>
    <s v="RAYANE ROCHA MONIZ"/>
    <s v="RAYANE ROCHA MONIZ"/>
    <x v="148"/>
    <n v="2842472"/>
    <s v="-"/>
    <s v="OFF LINE"/>
    <s v="Cartão de crédito"/>
    <s v="Cartão de crédito"/>
    <s v="Hotel"/>
    <s v="N"/>
    <s v="Grupo Constellation"/>
    <s v="Constellation"/>
    <s v="-"/>
    <s v="-"/>
    <s v="-"/>
    <s v="KON-OPE-RIO-PVI-CONSTELLATION"/>
    <s v="-"/>
    <x v="143"/>
    <n v="0"/>
    <n v="0"/>
    <n v="0"/>
    <n v="0"/>
    <n v="21.95"/>
    <n v="0"/>
    <s v="Reserva importada do Sistema WOOBA. Id: 13483"/>
    <s v="Fornecedor não preenchido! (ACC01)"/>
    <s v="WOOBA"/>
    <s v="Falta de Fornecedor"/>
    <s v="Campo Fornecedor"/>
    <s v="Dados do Fornecedor"/>
    <s v="Qualidade dos dados"/>
    <s v="KONTIK BUSINESS TRAVEL"/>
  </r>
  <r>
    <n v="24834646"/>
    <n v="25671423"/>
    <s v="ACC01"/>
    <x v="156"/>
    <d v="2026-06-29T09:10:50"/>
    <s v="06 a 08 dias"/>
    <s v="06 a 08 dias"/>
    <n v="23488467"/>
    <s v="WOOBA"/>
    <s v="GIBIN/FERNANDO GONCALVES"/>
    <s v="RAYANE ROCHA MONIZ"/>
    <s v="RAYANE ROCHA MONIZ"/>
    <x v="149"/>
    <n v="2842471"/>
    <s v="-"/>
    <s v="OFF LINE"/>
    <s v="Cartão de crédito"/>
    <s v="Cartão de crédito"/>
    <s v="Hotel"/>
    <s v="N"/>
    <s v="Grupo Constellation"/>
    <s v="Constellation"/>
    <s v="-"/>
    <s v="-"/>
    <s v="-"/>
    <s v="KON-OPE-RIO-PVI-CONSTELLATION"/>
    <s v="-"/>
    <x v="143"/>
    <n v="0"/>
    <n v="0"/>
    <n v="0"/>
    <n v="0"/>
    <n v="21.95"/>
    <n v="0"/>
    <s v="Reserva importada do Sistema WOOBA. Id: 13484"/>
    <s v="Fornecedor não preenchido! (ACC01)"/>
    <s v="WOOBA"/>
    <s v="Falta de Fornecedor"/>
    <s v="Campo Fornecedor"/>
    <s v="Dados do Fornecedor"/>
    <s v="Qualidade dos dados"/>
    <s v="KONTIK BUSINESS TRAVEL"/>
  </r>
  <r>
    <n v="24822264"/>
    <n v="25661419"/>
    <s v="ACC01"/>
    <x v="157"/>
    <d v="2026-06-26T14:08:18"/>
    <s v="09 a 15 dias"/>
    <s v="09 a 15 dias"/>
    <s v="6PSPJO"/>
    <s v="LEMONTECH"/>
    <s v="LEITE/AISLAN"/>
    <s v="LUCIANA DOS SANTOS ARAUJO"/>
    <s v="LUCIANA DOS SANTOS ARAUJO"/>
    <x v="150"/>
    <n v="19553289"/>
    <s v="AGENCIA CENTRO SANTO ANDRE -DOM PEDRO II, 1182, JARDIM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144"/>
    <n v="0"/>
    <n v="0"/>
    <n v="0"/>
    <n v="0"/>
    <n v="0"/>
    <n v="0"/>
    <s v="Reserva importada do Sistema Lemontech. Solicitação: 19553289"/>
    <s v="Fornecedor não preenchido! (ACC01)"/>
    <s v="LEMONTECH"/>
    <s v="Falta de Fornecedor"/>
    <s v="Campo Fornecedor"/>
    <s v="Dados do Fornecedor"/>
    <s v="Qualidade dos dados"/>
    <s v="KONTIK BUSINESS TRAVEL"/>
  </r>
  <r>
    <n v="24824208"/>
    <n v="25663494"/>
    <s v="ACC01"/>
    <x v="158"/>
    <d v="2026-06-26T18:12:42"/>
    <s v="09 a 15 dias"/>
    <s v="09 a 15 dias"/>
    <s v="6Q8ETP"/>
    <s v="LEMONTECH"/>
    <s v="DE SOUSA/MARCELA"/>
    <s v="Isabela de Melo da Silva"/>
    <s v="Isabela de Melo da Silva"/>
    <x v="151"/>
    <n v="19554292"/>
    <s v="HALL AEROPORTO DE BELEM, S/N, VAL DE CANS "/>
    <s v="ON LINE"/>
    <s v="Invoice"/>
    <s v="Faturado"/>
    <s v="Carro"/>
    <s v="N"/>
    <s v="Grupo Biolab"/>
    <s v="Biolab Centro Administrativo - Escritorio"/>
    <s v="-"/>
    <s v="-"/>
    <s v="-"/>
    <s v="KON-OPE-SAO-PVI-BIOLAB"/>
    <s v="-"/>
    <x v="145"/>
    <n v="97.96"/>
    <n v="314.5"/>
    <n v="0"/>
    <n v="0"/>
    <n v="0"/>
    <n v="0"/>
    <s v="Reserva importada do Sistema Lemontech. Solicitação: 19554292"/>
    <s v="Fornecedor não preenchido! (ACC01)"/>
    <s v="LEMONTECH"/>
    <s v="Falta de Fornecedor"/>
    <s v="Campo Fornecedor"/>
    <s v="Dados do Fornecedor"/>
    <s v="Qualidade dos dados"/>
    <s v="KONTIK BUSINESS TRAVEL"/>
  </r>
  <r>
    <n v="24815551"/>
    <n v="25655402"/>
    <s v="ACC01"/>
    <x v="159"/>
    <d v="2026-06-25T12:10:10"/>
    <s v="09 a 15 dias"/>
    <s v="09 a 15 dias"/>
    <s v="AWYNSJT"/>
    <s v="SABRE"/>
    <s v="SULAIMAN/DAVID"/>
    <s v="PAULO JOSE SODRE ANDRADE"/>
    <s v="PAULO JOSE SODRE ANDRADE"/>
    <x v="152"/>
    <s v="AWYNSJ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4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5561"/>
    <n v="25655413"/>
    <s v="ACC02"/>
    <x v="160"/>
    <d v="2026-06-25T12:10:17"/>
    <s v="09 a 15 dias"/>
    <s v="09 a 15 dias"/>
    <s v="OWSAGDT"/>
    <s v="SABRE"/>
    <s v="OLIVEIRA/FABRICIO"/>
    <s v="Rafaela Leitao Oliveira"/>
    <s v="Rafaela Leitao Oliveira"/>
    <x v="153"/>
    <s v="OWSAGD"/>
    <s v="-"/>
    <s v="OFF LINE"/>
    <s v="Invoice"/>
    <s v="Faturado"/>
    <s v="Hotel"/>
    <s v="N"/>
    <s v="Grupo Casas Bahia"/>
    <s v="Grupo Casas Bahia S.a."/>
    <s v="-"/>
    <s v="-"/>
    <s v="-"/>
    <s v="KON-OPE-RIO-PVI-CASAS BAHIA"/>
    <s v="-"/>
    <x v="147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815561"/>
    <n v="25655414"/>
    <s v="ACC03"/>
    <x v="160"/>
    <d v="2026-06-25T12:10:17"/>
    <s v="09 a 15 dias"/>
    <s v="09 a 15 dias"/>
    <s v="OWSAGDT"/>
    <s v="SABRE"/>
    <s v="OLIVEIRA/FABRICIO"/>
    <s v="Rafaela Leitao Oliveira"/>
    <s v="Rafaela Leitao Oliveira"/>
    <x v="153"/>
    <s v="OWSAGD"/>
    <s v="-"/>
    <s v="OFF LINE"/>
    <s v="Invoice"/>
    <s v="Faturado"/>
    <s v="Hotel"/>
    <s v="N"/>
    <s v="Grupo Casas Bahia"/>
    <s v="Grupo Casas Bahia S.a."/>
    <s v="-"/>
    <s v="-"/>
    <s v="-"/>
    <s v="KON-OPE-RIO-PVI-CASAS BAHIA"/>
    <s v="-"/>
    <x v="148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818044"/>
    <n v="25657974"/>
    <s v="ACC02"/>
    <x v="161"/>
    <d v="2026-07-01T06:19:27"/>
    <s v="03 a 05 dias"/>
    <s v="09 a 15 dias"/>
    <s v="OSZHZYT"/>
    <s v="SABRE"/>
    <s v="JESUS/NILMARA"/>
    <s v="PAULO JOSE SODRE ANDRADE"/>
    <s v="PAULO JOSE SODRE ANDRADE"/>
    <x v="154"/>
    <s v="OSZHZY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63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811827"/>
    <n v="25652466"/>
    <s v="ACC01"/>
    <x v="162"/>
    <d v="2026-06-24T17:51:22"/>
    <s v="09 a 15 dias"/>
    <s v="09 a 15 dias"/>
    <s v="WFNIDQT"/>
    <s v="SABRE"/>
    <s v="PENA/IRMA"/>
    <s v="PAULO JOSE SODRE ANDRADE"/>
    <s v="PAULO JOSE SODRE ANDRADE"/>
    <x v="155"/>
    <s v="WFNIDQ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4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1828"/>
    <n v="25652467"/>
    <s v="ACC01"/>
    <x v="163"/>
    <d v="2026-06-24T17:51:22"/>
    <s v="09 a 15 dias"/>
    <s v="09 a 15 dias"/>
    <s v="IJWSATT"/>
    <s v="SABRE"/>
    <s v="SOUZA/JOSE"/>
    <s v="PAULO JOSE SODRE ANDRADE"/>
    <s v="PAULO JOSE SODRE ANDRADE"/>
    <x v="156"/>
    <s v="IJWSAT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4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1183"/>
    <n v="25651779"/>
    <s v="ACC01"/>
    <x v="164"/>
    <d v="2026-06-24T16:22:06"/>
    <s v="09 a 15 dias"/>
    <s v="09 a 15 dias"/>
    <s v="QWKSFTT"/>
    <s v="SABRE"/>
    <s v="RONDON/LIDIANE"/>
    <s v="PAULO JOSE SODRE ANDRADE"/>
    <s v="PAULO JOSE SODRE ANDRADE"/>
    <x v="157"/>
    <s v="QWKSFT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4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1186"/>
    <n v="25651782"/>
    <s v="ACC01"/>
    <x v="165"/>
    <d v="2026-06-24T16:22:08"/>
    <s v="09 a 15 dias"/>
    <s v="09 a 15 dias"/>
    <s v="IIUHIAT"/>
    <s v="SABRE"/>
    <s v="GOMES/CARLOS"/>
    <s v="PAULO JOSE SODRE ANDRADE"/>
    <s v="PAULO JOSE SODRE ANDRADE"/>
    <x v="158"/>
    <s v="IIUHIA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4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17135"/>
    <n v="25656966"/>
    <s v="ACC02"/>
    <x v="166"/>
    <d v="2026-06-25T15:36:14"/>
    <s v="09 a 15 dias"/>
    <s v="09 a 15 dias"/>
    <s v="FOAARGT"/>
    <s v="SABRE"/>
    <s v="SANTANA/EDSON"/>
    <s v="PAULO JOSE SODRE ANDRADE"/>
    <s v="PAULO JOSE SODRE ANDRADE"/>
    <x v="159"/>
    <s v="FOAARG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146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806850"/>
    <n v="25648167"/>
    <s v="ACC01"/>
    <x v="167"/>
    <d v="2026-06-23T21:19:33"/>
    <s v="09 a 15 dias"/>
    <s v="09 a 15 dias"/>
    <s v="6PMZ5W"/>
    <s v="TMS"/>
    <s v="LUIS CARLOS BUSTOS"/>
    <s v="Jeane Alencar Pereira"/>
    <s v="Jeane Alencar Pereira"/>
    <x v="160"/>
    <n v="67980"/>
    <s v="Taubate / SP, Brasil (QHP)"/>
    <s v="OFF LINE"/>
    <s v="Invoice"/>
    <s v="Faturado"/>
    <s v="Carro"/>
    <s v="N"/>
    <s v="Grupo Motiva"/>
    <s v="Motiva Filial"/>
    <s v="-"/>
    <s v="-"/>
    <s v="-"/>
    <s v="KON-OPE-SAO-PVI-CCR"/>
    <s v="-"/>
    <x v="150"/>
    <n v="0"/>
    <n v="206.91"/>
    <n v="0"/>
    <n v="0"/>
    <n v="0"/>
    <n v="0"/>
    <s v="Reserva importada do Sistema TMS. OS: 67980"/>
    <s v="Fornecedor não preenchido! (ACC01)"/>
    <s v="ARGO(TMS)"/>
    <s v="Falta de Fornecedor"/>
    <s v="Campo Fornecedor"/>
    <s v="Dados do Fornecedor"/>
    <s v="Qualidade dos dados"/>
    <s v="KONTIK BUSINESS TRAVEL"/>
  </r>
  <r>
    <n v="24825296"/>
    <n v="25664552"/>
    <s v="ACC01"/>
    <x v="168"/>
    <d v="2026-06-26T21:46:46"/>
    <s v="09 a 15 dias"/>
    <s v="09 a 15 dias"/>
    <s v="6QRXNM"/>
    <s v="TMS"/>
    <s v="ROGERIO ALVES"/>
    <s v="Tms"/>
    <s v="Tms"/>
    <x v="161"/>
    <n v="68404"/>
    <s v="Rio de Janeiro / SDU"/>
    <s v="ON LINE"/>
    <s v="Invoice"/>
    <s v="Faturado"/>
    <s v="Carro"/>
    <s v="N"/>
    <s v="Grupo Motiva"/>
    <s v="Motiva Filial"/>
    <s v="-"/>
    <s v="-"/>
    <s v="-"/>
    <s v="KON-OPE-SAO-PVI-CCR"/>
    <s v="-"/>
    <x v="151"/>
    <n v="0"/>
    <n v="0"/>
    <n v="0"/>
    <n v="0"/>
    <n v="0"/>
    <n v="0"/>
    <s v="Reserva importada do Sistema TMS. OS: 68404"/>
    <s v="Fornecedor não preenchido! (ACC01)"/>
    <s v="ARGO(TMS)"/>
    <s v="Falta de Fornecedor"/>
    <s v="Campo Fornecedor"/>
    <s v="Dados do Fornecedor"/>
    <s v="Qualidade dos dados"/>
    <s v="KONTIK BUSINESS TRAVEL"/>
  </r>
  <r>
    <n v="24832097"/>
    <n v="25669613"/>
    <s v="ACC01"/>
    <x v="169"/>
    <d v="2026-06-28T15:42:38"/>
    <s v="06 a 08 dias"/>
    <s v="06 a 08 dias"/>
    <s v="6Q6U9E"/>
    <s v="TMS"/>
    <s v="LUCIANO ZAPLANA"/>
    <s v="Tms"/>
    <s v="Tms"/>
    <x v="162"/>
    <n v="4702"/>
    <s v="São Paulo / GRU"/>
    <s v="ON LINE"/>
    <s v="Invoice"/>
    <s v="Faturado"/>
    <s v="Carro"/>
    <s v="N"/>
    <s v="Grupo Yamaha"/>
    <s v="Yamaha Motor do Brasil Ltda"/>
    <s v="-"/>
    <s v="-"/>
    <s v="-"/>
    <s v="KON-OPE-SAO-PVI-YAMAHA"/>
    <s v="-"/>
    <x v="152"/>
    <n v="0"/>
    <n v="0"/>
    <n v="0"/>
    <n v="0"/>
    <n v="0"/>
    <n v="0"/>
    <s v="Reserva importada do Sistema TMS. OS: 4702"/>
    <s v="Fornecedor não preenchido! (ACC01)"/>
    <s v="ARGO(TMS)"/>
    <s v="Falta de Fornecedor"/>
    <s v="Campo Fornecedor"/>
    <s v="Dados do Fornecedor"/>
    <s v="Qualidade dos dados"/>
    <s v="KONTIK BUSINESS TRAVEL"/>
  </r>
  <r>
    <n v="24817910"/>
    <n v="25657834"/>
    <s v="ACC01"/>
    <x v="170"/>
    <d v="2026-06-25T18:40:42"/>
    <s v="09 a 15 dias"/>
    <s v="09 a 15 dias"/>
    <s v="6PAF87"/>
    <s v="MANUAL"/>
    <s v="Andre Carvalho Faissal"/>
    <s v="Gover"/>
    <s v="Gover"/>
    <x v="163"/>
    <n v="4714384"/>
    <s v="-"/>
    <s v="OFF LINE"/>
    <s v="Cartão de crédito"/>
    <s v="Cartão AMEX"/>
    <s v="Aéreo"/>
    <s v="N"/>
    <s v="Grupo British American Tobacco"/>
    <s v="Bat | Souza Cruz - Matriz"/>
    <s v="-"/>
    <s v="Gol Linhas Aereas"/>
    <n v="2306513350"/>
    <s v="FCM-OPE-SAO-PVI-BAT"/>
    <s v="-"/>
    <x v="153"/>
    <n v="342.86"/>
    <n v="0"/>
    <n v="0"/>
    <n v="0"/>
    <n v="0"/>
    <n v="0"/>
    <s v="Reserva importada do sistema Gover. Id: 4714384"/>
    <s v="Accouting aérea não possui trechos (Bilhete: 2306513350)"/>
    <s v="MANUAL"/>
    <s v="Falta informação nos trechos"/>
    <s v="Atualização de Trechos"/>
    <s v="Dados do Fornecedor"/>
    <s v="Qualidade dos dados"/>
    <s v="KONTIK BUSINESS TRAVEL"/>
  </r>
  <r>
    <n v="24817910"/>
    <n v="25657835"/>
    <s v="ACC"/>
    <x v="170"/>
    <d v="2026-06-25T18:40:42"/>
    <s v="09 a 15 dias"/>
    <s v="09 a 15 dias"/>
    <s v="6PAF87"/>
    <s v="MANUAL"/>
    <s v="ANDRE CARVALHO FAISSAL"/>
    <s v="Gover"/>
    <s v="Gover"/>
    <x v="163"/>
    <s v="-"/>
    <s v="-"/>
    <s v="OFF LINE"/>
    <s v="Cartão de crédito"/>
    <s v="Cartão AMEX"/>
    <s v="Aéreo"/>
    <s v="N"/>
    <s v="Grupo British American Tobacco"/>
    <s v="Bat | Souza Cruz - Matriz"/>
    <s v="-"/>
    <s v="Gol Linhas Aereas"/>
    <n v="2306513350"/>
    <s v="FCM-OPE-SAO-PVI-BAT"/>
    <s v="-"/>
    <x v="154"/>
    <n v="100.47"/>
    <n v="0"/>
    <n v="0"/>
    <n v="0"/>
    <n v="0"/>
    <n v="0"/>
    <s v="Reserva importada do sistema Gover. Id: 4714384"/>
    <s v="Accouting aérea não possui trechos (Bilhete: 2306513350)"/>
    <s v="MANUAL"/>
    <s v="Falta informação nos trechos"/>
    <s v="Atualização de Trechos"/>
    <s v="Dados do Fornecedor"/>
    <s v="Qualidade dos dados"/>
    <s v="KONTIK BUSINESS TRAVEL"/>
  </r>
  <r>
    <n v="24817910"/>
    <n v="25657836"/>
    <s v="ACC"/>
    <x v="170"/>
    <d v="2026-06-25T18:40:42"/>
    <s v="09 a 15 dias"/>
    <s v="09 a 15 dias"/>
    <s v="6PAF87"/>
    <s v="MANUAL"/>
    <s v="ANDRE CARVALHO FAISSAL"/>
    <s v="Gover"/>
    <s v="Gover"/>
    <x v="163"/>
    <s v="-"/>
    <s v="-"/>
    <s v="OFF LINE"/>
    <s v="Cartão de crédito"/>
    <s v="Cartão AMEX"/>
    <s v="Aéreo"/>
    <s v="N"/>
    <s v="Grupo British American Tobacco"/>
    <s v="Bat | Souza Cruz - Matriz"/>
    <s v="-"/>
    <s v="Gol Linhas Aereas"/>
    <n v="2306513350"/>
    <s v="FCM-OPE-SAO-PVI-BAT"/>
    <s v="-"/>
    <x v="154"/>
    <n v="100.47"/>
    <n v="0"/>
    <n v="0"/>
    <n v="0"/>
    <n v="0"/>
    <n v="0"/>
    <s v="Reserva importada do sistema Gover. Id: 4714384"/>
    <s v="Accouting aérea não possui trechos (Bilhete: 2306513350)"/>
    <s v="MANUAL"/>
    <s v="Falta informação nos trechos"/>
    <s v="Atualização de Trechos"/>
    <s v="Dados do Fornecedor"/>
    <s v="Qualidade dos dados"/>
    <s v="KONTIK BUSINESS TRAVEL"/>
  </r>
  <r>
    <n v="24815013"/>
    <n v="25654846"/>
    <s v="ACC01"/>
    <x v="171"/>
    <d v="2026-06-26T03:08:39"/>
    <s v="09 a 15 dias"/>
    <s v="09 a 15 dias"/>
    <s v="YDIJHK"/>
    <s v="GOVER"/>
    <s v="Andre Carvalho Faissal"/>
    <s v="Gover"/>
    <s v="Gover"/>
    <x v="163"/>
    <n v="4714384"/>
    <s v="-"/>
    <s v="OFF LINE"/>
    <s v="Cartão de crédito"/>
    <s v="Cartão AMEX"/>
    <s v="Aéreo"/>
    <s v="S"/>
    <s v="Grupo British American Tobacco"/>
    <s v="Bat | Souza Cruz - Matriz"/>
    <s v="-"/>
    <s v="Gol Linhas Aereas"/>
    <n v="2306513350"/>
    <s v="FCM-OPE-SAO-PVI-BAT"/>
    <s v="-"/>
    <x v="153"/>
    <n v="342.86"/>
    <n v="0"/>
    <n v="0"/>
    <n v="0"/>
    <n v="0"/>
    <n v="0"/>
    <s v="Reserva importada do sistema Gover. Id: 4714384"/>
    <s v="Accouting aérea não possui trechos (Bilhete: 2306513350)"/>
    <s v="GOVER"/>
    <s v="Falta informação nos trechos"/>
    <s v="Atualização de Trechos"/>
    <s v="Dados do Fornecedor"/>
    <s v="Qualidade dos dados"/>
    <s v="KONTIK BUSINESS TRAVEL"/>
  </r>
  <r>
    <n v="24815013"/>
    <n v="25657798"/>
    <s v="ACC"/>
    <x v="171"/>
    <d v="2026-06-26T03:08:39"/>
    <s v="09 a 15 dias"/>
    <s v="09 a 15 dias"/>
    <s v="YDIJHK"/>
    <s v="GOVER"/>
    <s v="ANDRE CARVALHO FAISSAL"/>
    <s v="Gover"/>
    <s v="Gover"/>
    <x v="163"/>
    <s v="-"/>
    <s v="-"/>
    <s v="OFF LINE"/>
    <s v="Cartão de crédito"/>
    <s v="Cartão AMEX"/>
    <s v="Aéreo"/>
    <s v="S"/>
    <s v="Grupo British American Tobacco"/>
    <s v="Bat | Souza Cruz - Matriz"/>
    <s v="-"/>
    <s v="Gol Linhas Aereas"/>
    <n v="2306513350"/>
    <s v="FCM-OPE-SAO-PVI-BAT"/>
    <s v="-"/>
    <x v="154"/>
    <n v="100.47"/>
    <n v="0"/>
    <n v="0"/>
    <n v="0"/>
    <n v="0"/>
    <n v="0"/>
    <s v="Reserva importada do sistema Gover. Id: 4714384"/>
    <s v="Accouting aérea não possui trechos (Bilhete: 2306513350)"/>
    <s v="GOVER"/>
    <s v="Falta informação nos trechos"/>
    <s v="Atualização de Trechos"/>
    <s v="Dados do Fornecedor"/>
    <s v="Qualidade dos dados"/>
    <s v="KONTIK BUSINESS TRAVEL"/>
  </r>
  <r>
    <n v="24815013"/>
    <n v="25657814"/>
    <s v="ACC"/>
    <x v="171"/>
    <d v="2026-06-26T03:08:39"/>
    <s v="09 a 15 dias"/>
    <s v="09 a 15 dias"/>
    <s v="YDIJHK"/>
    <s v="GOVER"/>
    <s v="ANDRE CARVALHO FAISSAL"/>
    <s v="Gover"/>
    <s v="Gover"/>
    <x v="163"/>
    <s v="-"/>
    <s v="-"/>
    <s v="OFF LINE"/>
    <s v="Cartão de crédito"/>
    <s v="Cartão AMEX"/>
    <s v="Aéreo"/>
    <s v="S"/>
    <s v="Grupo British American Tobacco"/>
    <s v="Bat | Souza Cruz - Matriz"/>
    <s v="-"/>
    <s v="Gol Linhas Aereas"/>
    <n v="2306513350"/>
    <s v="FCM-OPE-SAO-PVI-BAT"/>
    <s v="-"/>
    <x v="154"/>
    <n v="100.47"/>
    <n v="0"/>
    <n v="0"/>
    <n v="0"/>
    <n v="0"/>
    <n v="0"/>
    <s v="Reserva importada do sistema Gover. Id: 4714384"/>
    <s v="Accouting aérea não possui trechos (Bilhete: 2306513350)"/>
    <s v="GOVER"/>
    <s v="Falta informação nos trechos"/>
    <s v="Atualização de Trechos"/>
    <s v="Dados do Fornecedor"/>
    <s v="Qualidade dos dados"/>
    <s v="KONTIK BUSINESS TRAVEL"/>
  </r>
  <r>
    <n v="24823058"/>
    <n v="25662191"/>
    <s v="ACC01"/>
    <x v="172"/>
    <d v="2026-06-26T15:33:02"/>
    <s v="09 a 15 dias"/>
    <s v="09 a 15 dias"/>
    <s v="6QEIPB"/>
    <s v="TMS"/>
    <s v="da Silva/Marcus Felipe"/>
    <s v="Cintya Cocco Figueiredo"/>
    <s v="Cintya Cocco Figueiredo"/>
    <x v="164"/>
    <n v="17932"/>
    <s v="-"/>
    <s v="OFF LINE"/>
    <s v="Invoice"/>
    <s v="Faturado"/>
    <s v="Aéreo"/>
    <s v="N"/>
    <s v="Grupo Odontoprev"/>
    <s v="Clidec - Clinica Dentaria Especializada Cura D Ars Ltda"/>
    <s v="-"/>
    <s v="Gol Linhas Aereas"/>
    <n v="4441848466"/>
    <s v="KON-OPE-SAO-PVI-BTC-ARGO-ODONTOPREV"/>
    <s v="-"/>
    <x v="8"/>
    <n v="175"/>
    <n v="0"/>
    <n v="0"/>
    <n v="0"/>
    <n v="0"/>
    <n v="0"/>
    <s v="Reserva importada do Sistema TMS. OS: 17932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814818"/>
    <n v="25654699"/>
    <s v="ACC"/>
    <x v="173"/>
    <d v="2026-06-25T09:30:54"/>
    <s v="09 a 15 dias"/>
    <s v="09 a 15 dias"/>
    <s v="OCOLMC"/>
    <s v="MANUAL"/>
    <s v="RENATO JOSE FERNANDES"/>
    <s v="Juliana Cardoso"/>
    <s v="Juliana Cardoso"/>
    <x v="165"/>
    <s v="-"/>
    <s v="-"/>
    <s v="OFF LINE"/>
    <s v="Cartão de crédito"/>
    <s v="Cartão de crédito"/>
    <s v="Aéreo"/>
    <s v="N"/>
    <s v="Grupo Kontrip"/>
    <s v="Beluca Comercio de Vestuario"/>
    <s v="-"/>
    <s v="Gol Linhas Aereas"/>
    <n v="2306214277"/>
    <s v="KONTRIP"/>
    <s v="-"/>
    <x v="155"/>
    <n v="84.54"/>
    <n v="0"/>
    <n v="0"/>
    <n v="0"/>
    <n v="0"/>
    <n v="123.16"/>
    <s v="-"/>
    <s v="Necessário cadastrar um contrato para o cliente &quot;&quot;"/>
    <s v="KONTRIP"/>
    <s v="Contrato de fornecedor"/>
    <s v="Análise Cadastro"/>
    <s v="Dados do Fornecedor"/>
    <s v="Qualidade dos dados"/>
    <s v="KONTRIP VIAGENS"/>
  </r>
  <r>
    <n v="24817299"/>
    <n v="25657147"/>
    <s v="ACC01"/>
    <x v="174"/>
    <d v="2026-07-03T10:40:36"/>
    <s v="03 a 05 dias"/>
    <s v="09 a 15 dias"/>
    <s v="QVIFQP"/>
    <s v="GOVER"/>
    <s v="ANA MARIA VILELA"/>
    <s v="Luciene Carvalho Santos"/>
    <s v="Luciene Carvalho Santos"/>
    <x v="166"/>
    <n v="4714955"/>
    <s v="-"/>
    <s v="ON LINE"/>
    <s v="Cartão de crédito"/>
    <s v="Cartão de crédito"/>
    <s v="Aéreo"/>
    <s v="N"/>
    <s v="Grupo Diageo"/>
    <s v="Diageo Brasil"/>
    <s v="Cliente FEE no POS"/>
    <s v="Gol Linhas Aereas"/>
    <n v="2306576079"/>
    <s v="FCM-OPE-SAO-PVI-DIAGEO"/>
    <s v="-"/>
    <x v="156"/>
    <n v="467.77"/>
    <n v="0"/>
    <n v="0"/>
    <n v="0"/>
    <n v="0"/>
    <n v="27.34"/>
    <s v="Reserva importada do sistema Gover. Id: 4714955"/>
    <s v="1919319/6977477&quot; possui uma transação de cartão efetivada"/>
    <s v="GOVER"/>
    <s v="Conciliação de Cartão"/>
    <s v="Financeiro Conciliado"/>
    <s v="Edição não Permitida"/>
    <s v="Processo Operacional"/>
    <s v="KONTIK BUSINESS TRAVEL"/>
  </r>
  <r>
    <n v="24809713"/>
    <n v="25650271"/>
    <s v="ACC01"/>
    <x v="175"/>
    <d v="2026-06-24T12:28:03"/>
    <s v="09 a 15 dias"/>
    <s v="09 a 15 dias"/>
    <s v="MTDVWL"/>
    <s v="EBOOKING"/>
    <s v="Simões Ribeiro/Washington"/>
    <s v="Kontrip"/>
    <s v="Kontrip"/>
    <x v="167"/>
    <s v="-"/>
    <s v="-"/>
    <s v="OFF LINE"/>
    <s v="Invoice"/>
    <s v="Faturado"/>
    <s v="Aéreo"/>
    <s v="N"/>
    <s v="Independente"/>
    <s v="Tap Air Portugal"/>
    <s v="-"/>
    <s v="Gol Linhas Aereas"/>
    <n v="2306503025"/>
    <s v="KONTRIP"/>
    <s v="-"/>
    <x v="157"/>
    <n v="68.790000000000006"/>
    <n v="0"/>
    <n v="0"/>
    <n v="0"/>
    <n v="0"/>
    <n v="252.97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4812213"/>
    <n v="25652820"/>
    <s v="ACC01"/>
    <x v="176"/>
    <d v="2026-07-03T17:05:31"/>
    <s v="03 a 05 dias"/>
    <s v="09 a 15 dias"/>
    <s v="GDEPME"/>
    <s v="SABRE"/>
    <s v="SANTOS/FELIPE DE MEDEIROS DOS"/>
    <s v="5I"/>
    <s v="CT"/>
    <x v="168"/>
    <s v="GDEPME"/>
    <s v="-"/>
    <s v="OFF LINE"/>
    <s v="Cartão de crédito"/>
    <s v="Cartão AMEX"/>
    <s v="Aéreo"/>
    <s v="N"/>
    <s v="Grupo Bosch"/>
    <s v="Ctp - Planta Curitiba"/>
    <s v="Cliente FEE no POS"/>
    <s v="Gol Linhas Aereas"/>
    <n v="2306471240"/>
    <s v="FCM-OPE-SAO-PVI-BOSCH"/>
    <s v="-"/>
    <x v="158"/>
    <n v="568.6"/>
    <n v="0"/>
    <n v="0"/>
    <n v="0"/>
    <n v="0"/>
    <n v="21.9"/>
    <s v="Reserva importada por HubTravel"/>
    <s v="1908492/6974361&quot; possui uma transação de cartão efetivada"/>
    <s v="SABRE"/>
    <s v="Conciliação de Cartão"/>
    <s v="Financeiro Conciliado"/>
    <s v="Edição não Permitida"/>
    <s v="Processo Operacional"/>
    <s v="KONTIK BUSINESS TRAVEL"/>
  </r>
  <r>
    <n v="24812212"/>
    <n v="25652819"/>
    <s v="ACC01"/>
    <x v="177"/>
    <d v="2026-07-03T17:05:29"/>
    <s v="03 a 05 dias"/>
    <s v="09 a 15 dias"/>
    <s v="GAUHCC"/>
    <s v="SABRE"/>
    <s v="LEAL/EDUARDO CARDOSO"/>
    <s v="Wellington Ribeiro da Silva"/>
    <s v="CT"/>
    <x v="168"/>
    <s v="GAUHCC"/>
    <s v="-"/>
    <s v="OFF LINE"/>
    <s v="Cartão de crédito"/>
    <s v="Cartão AMEX"/>
    <s v="Aéreo"/>
    <s v="N"/>
    <s v="Grupo Bosch"/>
    <s v="Ctp - Planta Curitiba"/>
    <s v="Cliente FEE no POS"/>
    <s v="Latam Airlines Brasil"/>
    <n v="2306468800"/>
    <s v="FCM-OPE-SAO-PVI-BOSCH"/>
    <s v="-"/>
    <x v="159"/>
    <n v="113.19"/>
    <n v="0"/>
    <n v="0"/>
    <n v="113.19"/>
    <n v="0"/>
    <n v="21.9"/>
    <s v="Reserva importada por HubTravel"/>
    <s v="1908490/6974360&quot; possui uma transação de cartão efetivada"/>
    <s v="SABRE"/>
    <s v="Conciliação de Cartão"/>
    <s v="Financeiro Conciliado"/>
    <s v="Edição não Permitida"/>
    <s v="Qualidade dos dados"/>
    <s v="GRUPO KONTIK"/>
  </r>
  <r>
    <n v="24822731"/>
    <n v="25661875"/>
    <s v="ACC01"/>
    <x v="178"/>
    <d v="2026-06-26T15:16:26"/>
    <s v="09 a 15 dias"/>
    <s v="09 a 15 dias"/>
    <s v="KLOEWR"/>
    <s v="TMS"/>
    <s v="EDUARDO ALMEIDA"/>
    <s v="Tms"/>
    <s v="Tms"/>
    <x v="169"/>
    <n v="133538"/>
    <s v="-"/>
    <s v="ON LINE"/>
    <s v="Cartão de crédito"/>
    <s v="Cartão AMEX"/>
    <s v="Aéreo"/>
    <s v="N"/>
    <s v="Grupo Deloitte"/>
    <s v="Deloitte Consultores - Sao Paulo"/>
    <s v="-"/>
    <s v="Latam Airlines Brasil"/>
    <n v="2293396412"/>
    <s v="KON-OPE-SAO-PVI-BTC-ARGO-DELOITTE"/>
    <s v="-"/>
    <x v="160"/>
    <n v="95.01"/>
    <n v="0"/>
    <n v="0"/>
    <n v="0"/>
    <n v="0"/>
    <n v="0"/>
    <s v="Reserva importada do Sistema TMS. OS: 133538"/>
    <s v="Autorização do cartão da forma de pagamento não preenchida! (ACC01) Autorização do cartão da forma de recebimento não preenchida! (ACC01)"/>
    <s v="ARGO(TMS)"/>
    <s v="Mais de um campo não preenchido"/>
    <s v="Falta de informação Gerencial"/>
    <s v="Dados do Fornecedor"/>
    <s v="Qualidade dos dados"/>
    <s v="KONTIK BUSINESS TRAVEL"/>
  </r>
  <r>
    <n v="24822735"/>
    <n v="25661879"/>
    <s v="ACC01"/>
    <x v="179"/>
    <d v="2026-06-26T15:16:41"/>
    <s v="09 a 15 dias"/>
    <s v="09 a 15 dias"/>
    <s v="HDZYPK"/>
    <s v="TMS"/>
    <s v="EDUARDO ALMEIDA"/>
    <s v="Tms"/>
    <s v="Tms"/>
    <x v="169"/>
    <n v="133538"/>
    <s v="-"/>
    <s v="ON LINE"/>
    <s v="Cartão de crédito"/>
    <s v="Cartão AMEX"/>
    <s v="Aéreo"/>
    <s v="N"/>
    <s v="Grupo Deloitte"/>
    <s v="Deloitte Consultores - Sao Paulo"/>
    <s v="-"/>
    <s v="Latam Airlines Brasil"/>
    <n v="2293396246"/>
    <s v="KON-OPE-SAO-PVI-BTC-ARGO-DELOITTE"/>
    <s v="-"/>
    <x v="160"/>
    <n v="95.01"/>
    <n v="0"/>
    <n v="0"/>
    <n v="0"/>
    <n v="0"/>
    <n v="0"/>
    <s v="Reserva importada do Sistema TMS. OS: 133538"/>
    <s v="Autorização do cartão da forma de pagamento não preenchida! (ACC01) Autorização do cartão da forma de recebimento não preenchida! (ACC01)"/>
    <s v="ARGO(TMS)"/>
    <s v="Mais de um campo não preenchido"/>
    <s v="Falta de informação Gerencial"/>
    <s v="Dados do Fornecedor"/>
    <s v="Qualidade dos dados"/>
    <s v="KONTIK BUSINESS TRAVEL"/>
  </r>
  <r>
    <n v="24803461"/>
    <n v="25644803"/>
    <s v="ACC01"/>
    <x v="180"/>
    <d v="2026-07-03T17:10:33"/>
    <s v="03 a 05 dias"/>
    <s v="09 a 15 dias"/>
    <s v="ASZVEI"/>
    <s v="SABRE"/>
    <s v="SILVA FERREIRA/YANE"/>
    <s v="V7"/>
    <s v="MARIA CECILIA PEREIRA SILVA"/>
    <x v="86"/>
    <s v="ASZVEI"/>
    <s v="-"/>
    <s v="ON LINE"/>
    <s v="Cartão de crédito"/>
    <s v="Cartão de crédito"/>
    <s v="Aéreo"/>
    <s v="N"/>
    <s v="Grupo Honeywell"/>
    <s v="Honeywell"/>
    <s v="Cliente FEE no POS"/>
    <s v="Latam Airlines Brasil"/>
    <n v="2615548730"/>
    <s v="FCM-OPE-SAO-PVI-BTC-CONCUR-HONEYWELL"/>
    <s v="-"/>
    <x v="161"/>
    <n v="0"/>
    <n v="129.03"/>
    <n v="0"/>
    <n v="0"/>
    <n v="0"/>
    <n v="0"/>
    <s v="Reserva importada por HubTravel"/>
    <s v="Centro de custo não preenchido! (ACC02)"/>
    <s v="SABRE"/>
    <s v="Centro de custo"/>
    <s v="Falta de informação Gerencial"/>
    <s v="Dados do Fornecedor"/>
    <s v="Qualidade dos dados"/>
    <s v="KONTIK BUSINESS TRAVEL"/>
  </r>
  <r>
    <n v="24803498"/>
    <n v="25644853"/>
    <s v="ACC01"/>
    <x v="181"/>
    <d v="2026-07-03T17:10:34"/>
    <s v="03 a 05 dias"/>
    <s v="09 a 15 dias"/>
    <s v="MLAMHH"/>
    <s v="SABRE"/>
    <s v="PEREIRA SALERNO/JULIA  MICHEL"/>
    <s v="DS"/>
    <s v="BRUNA SEBBEN"/>
    <x v="170"/>
    <s v="MLAMHH"/>
    <s v="-"/>
    <s v="ON LINE"/>
    <s v="Invoice"/>
    <s v="Faturado"/>
    <s v="Aéreo"/>
    <s v="N"/>
    <s v="Grupo Baker Mckenzie"/>
    <s v="Baker Mckenzie - Sao Paulo"/>
    <s v="-"/>
    <s v="Latam Airlines Brasil"/>
    <n v="9552456958"/>
    <s v="FCM-OPE-SAO-PVI-BTC"/>
    <s v="-"/>
    <x v="162"/>
    <n v="124.76"/>
    <n v="0"/>
    <n v="0"/>
    <n v="124.76"/>
    <n v="0"/>
    <n v="0"/>
    <s v="Reserva importada por HubTravel"/>
    <s v="Projeto não preenchido! (ACC01)"/>
    <s v="SABRE"/>
    <s v="Projeto"/>
    <s v="Falta de informação Gerencial"/>
    <s v="Dados do Fornecedor"/>
    <s v="Qualidade dos dados"/>
    <s v="KONTIK BUSINESS TRAVEL"/>
  </r>
  <r>
    <n v="24813043"/>
    <n v="25653615"/>
    <s v="ACC01"/>
    <x v="182"/>
    <d v="2026-06-25T08:50:58"/>
    <s v="09 a 15 dias"/>
    <s v="09 a 15 dias"/>
    <s v="DMALYS1"/>
    <s v="TMS"/>
    <s v="FLAVIO CANTO"/>
    <s v="Cintya Cocco Figueiredo"/>
    <s v="Cintya Cocco Figueiredo"/>
    <x v="171"/>
    <n v="7038"/>
    <s v="-"/>
    <s v="OFF LINE"/>
    <s v="Cartão de crédito"/>
    <s v="Faturado"/>
    <s v="Aéreo"/>
    <s v="N"/>
    <s v="Grupo Track e Field"/>
    <s v="Track e Field Co Sa Matriz"/>
    <s v="-"/>
    <s v="Latam Airlines Brasil"/>
    <n v="2293162056"/>
    <s v="KON-OPE-SAO-PVI-BTC-ARGO"/>
    <s v="-"/>
    <x v="163"/>
    <n v="0"/>
    <n v="0"/>
    <n v="0"/>
    <n v="0"/>
    <n v="0"/>
    <n v="0"/>
    <s v="Reserva importada do Sistema TMS. OS: 7038"/>
    <s v="Problema ocorrido ao bloquear o documento: Existem remessas associadas ao documento!"/>
    <s v="ARGO(TMS)"/>
    <s v="Não identificado"/>
    <s v="Análise Benner"/>
    <s v="Sistema"/>
    <s v="Qualidade dos dados"/>
    <s v="KONTIK BUSINESS TRAVEL"/>
  </r>
  <r>
    <n v="24834821"/>
    <n v="25671591"/>
    <s v="ACC01"/>
    <x v="183"/>
    <d v="2026-07-03T17:10:37"/>
    <s v="03 a 05 dias"/>
    <s v="06 a 08 dias"/>
    <s v="UFLMNB"/>
    <s v="SABRE"/>
    <s v="BARBOSA/DANIEL LUIS"/>
    <s v="WS"/>
    <s v="WS"/>
    <x v="172"/>
    <s v="UFLMNB"/>
    <s v="-"/>
    <s v="ON LINE"/>
    <s v="Cartão de crédito"/>
    <s v="Cartão de crédito"/>
    <s v="Aéreo"/>
    <s v="N"/>
    <s v="Grupo Honeywell"/>
    <s v="Honeywell Industria de Tecnologia - Itajuba - Mg"/>
    <s v="Cliente FEE no POS"/>
    <s v="Latam Airlines Brasil"/>
    <s v="-"/>
    <s v="FCM-OPE-SAO-PVI-BTC-CONCUR-HONEYWELL"/>
    <s v="-"/>
    <x v="164"/>
    <n v="121.6"/>
    <n v="0"/>
    <n v="0"/>
    <n v="0"/>
    <n v="0"/>
    <n v="0"/>
    <s v="Reserva importada por HubTravel"/>
    <s v="Necessário informar o bilhete"/>
    <s v="SABRE"/>
    <s v="Venda sem bilhete"/>
    <s v="Validação de Dados"/>
    <s v="Dados do Fornecedor"/>
    <s v="Qualidade dos dados"/>
    <s v="KONTIK BUSINESS TRAVEL"/>
  </r>
  <r>
    <n v="24816602"/>
    <n v="25656428"/>
    <s v="ACC01"/>
    <x v="184"/>
    <d v="2026-06-25T15:01:34"/>
    <s v="09 a 15 dias"/>
    <s v="09 a 15 dias"/>
    <s v="LSOLDD1"/>
    <s v="TMS"/>
    <s v="KIDNER ANGELINO PROSPERO"/>
    <s v="Jeane Alencar Pereira"/>
    <s v="Jeane Alencar Pereira"/>
    <x v="173"/>
    <n v="68200"/>
    <s v="-"/>
    <s v="OFF LINE"/>
    <s v="Invoice"/>
    <s v="Faturado"/>
    <s v="Aéreo"/>
    <s v="N"/>
    <s v="Grupo Motiva"/>
    <s v="Aeroporto de Teresina"/>
    <s v="-"/>
    <s v="Latam Airlines Brasil"/>
    <n v="2293254844"/>
    <s v="KON-OPE-SAO-PVI-CCR"/>
    <s v="-"/>
    <x v="8"/>
    <n v="0"/>
    <n v="0"/>
    <n v="0"/>
    <n v="0"/>
    <n v="0"/>
    <n v="0"/>
    <s v="Reserva importada do Sistema TMS. OS: 68200"/>
    <s v="Tarifa mínima não preenchida! (ACC01)"/>
    <s v="ARGO(TMS)"/>
    <s v="Tarifa mínima"/>
    <s v="Falta de informação Gerencial"/>
    <s v="Dados do Fornecedor"/>
    <s v="Qualidade dos dados"/>
    <s v="KONTIK BUSINESS TRAVEL"/>
  </r>
  <r>
    <n v="24815070"/>
    <n v="25654905"/>
    <s v="ACC01"/>
    <x v="185"/>
    <d v="2026-07-03T17:05:33"/>
    <s v="03 a 05 dias"/>
    <s v="09 a 15 dias"/>
    <s v="OEQWSJ"/>
    <s v="SABRE"/>
    <s v="SOBRAL FILHO/JOAO"/>
    <s v="Wellington Ribeiro da Silva"/>
    <s v="Wellington Ribeiro da Silva"/>
    <x v="174"/>
    <s v="OEQWSJ"/>
    <s v="-"/>
    <s v="ON LINE"/>
    <s v="?"/>
    <s v="?"/>
    <s v="Aéreo"/>
    <s v="N"/>
    <s v="Grupo Meguro"/>
    <s v="Meguro Imobiliaria e Participacoes Eirelli"/>
    <s v="-"/>
    <s v="Iberia"/>
    <s v="-"/>
    <s v="EMF DIRETORIA"/>
    <s v="-"/>
    <x v="165"/>
    <n v="64.56"/>
    <n v="149.94"/>
    <n v="0"/>
    <n v="0"/>
    <n v="0"/>
    <n v="0"/>
    <s v="Reserva importada por HubTravel"/>
    <s v="Necessário informar o bilhete"/>
    <s v="SABRE"/>
    <s v="Venda sem bilhete"/>
    <s v="Validação de Dados"/>
    <s v="Dados do Fornecedor"/>
    <s v="Qualidade dos dados"/>
    <s v="GRUPO KONTIK"/>
  </r>
  <r>
    <n v="24817124"/>
    <n v="25656951"/>
    <s v="ACC01"/>
    <x v="186"/>
    <d v="2026-07-03T17:10:35"/>
    <s v="03 a 05 dias"/>
    <s v="09 a 15 dias"/>
    <s v="NFAFCM"/>
    <s v="SABRE"/>
    <s v="FERREIRA PAGANO/RENATA MS"/>
    <s v="V7"/>
    <s v="SHARON STONE RODRIGUES MARQUES"/>
    <x v="175"/>
    <s v="NFAFCM"/>
    <s v="-"/>
    <s v="ON LINE"/>
    <s v="Cartão de crédito"/>
    <s v="Cartão AMEX"/>
    <s v="Aéreo"/>
    <s v="N"/>
    <s v="Grupo Chanel"/>
    <s v="Chanel"/>
    <s v="-"/>
    <s v="Air France"/>
    <n v="9552287836"/>
    <s v="FCM-OPE-SAO-PVI-BTC-CONCUR-CHANEL"/>
    <s v="-"/>
    <x v="166"/>
    <n v="0"/>
    <n v="268.26"/>
    <n v="0"/>
    <n v="0"/>
    <n v="0"/>
    <n v="0"/>
    <s v="Reserva importada por HubTravel"/>
    <s v="Centro de cus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4818422"/>
    <n v="25658297"/>
    <s v="ACC01"/>
    <x v="187"/>
    <d v="2026-07-03T17:12:36"/>
    <s v="03 a 05 dias"/>
    <s v="09 a 15 dias"/>
    <s v="JNFJVKT"/>
    <s v="SABRE"/>
    <s v="URQUIZA/LUIZ ANTONIO COSTEIRA"/>
    <s v="SHARON STONE RODRIGUES MARQUES"/>
    <s v="SHARON STONE RODRIGUES MARQUES"/>
    <x v="176"/>
    <s v="JNFJVK"/>
    <s v="-"/>
    <s v="ON LINE"/>
    <s v="Cartão de crédito"/>
    <s v="Cartão de crédito"/>
    <s v="Hotel"/>
    <s v="S"/>
    <s v="Grupo Atento"/>
    <s v="Atento Brasil S/a"/>
    <s v="-"/>
    <s v="Mercure Salvador Rio Vermelho"/>
    <s v="-"/>
    <s v="FCM-OPE-POA-PVI-ATENTO"/>
    <s v="-"/>
    <x v="167"/>
    <n v="116.15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821481"/>
    <n v="25660647"/>
    <s v="ACC01"/>
    <x v="188"/>
    <d v="2026-06-27T03:38:25"/>
    <s v="09 a 15 dias"/>
    <s v="09 a 15 dias"/>
    <n v="23485224"/>
    <s v="GOVER"/>
    <s v="Carlos Martins"/>
    <s v="Gover"/>
    <s v="Gover"/>
    <x v="177"/>
    <n v="4715437"/>
    <s v="-"/>
    <s v="ON LINE"/>
    <s v="Cartão de crédito"/>
    <s v="Cartão de crédito"/>
    <s v="Hotel"/>
    <s v="N"/>
    <s v="Grupo British American Tobacco"/>
    <s v="Instituto Souza Cruz"/>
    <s v="-"/>
    <s v="Mercure Sao Paulo Pamplona"/>
    <s v="-"/>
    <s v="FCM-OPE-SAO-PVI-BAT"/>
    <s v="-"/>
    <x v="168"/>
    <n v="20.45"/>
    <n v="0"/>
    <n v="0"/>
    <n v="0"/>
    <n v="0"/>
    <n v="0"/>
    <s v="Reserva importada do sistema Gover. Id: 4715437"/>
    <s v="Autorização do cartão da forma de pagamento não preenchida! (ACC01) Autorização do cartão da forma de recebimento não preenchida! (ACC01)"/>
    <s v="GOVER"/>
    <s v="Mais de um campo não preenchido"/>
    <s v="Falta de informação Gerencial"/>
    <s v="Dados do Fornecedor"/>
    <s v="Qualidade dos dados"/>
    <s v="KONTIK BUSINESS TRAVEL"/>
  </r>
  <r>
    <n v="24803599"/>
    <n v="25644964"/>
    <s v="ACC01"/>
    <x v="189"/>
    <d v="2026-07-03T17:06:51"/>
    <s v="03 a 05 dias"/>
    <s v="09 a 15 dias"/>
    <s v="OHBGMFT"/>
    <s v="SABRE"/>
    <s v="MARQUEZ ACOSTA/JOSE HUMBERTO"/>
    <s v="SHARON STONE RODRIGUES MARQUES"/>
    <s v="SHARON STONE RODRIGUES MARQUES"/>
    <x v="178"/>
    <s v="OHBGMF"/>
    <s v="-"/>
    <s v="ON LINE"/>
    <s v="Cartão de crédito"/>
    <s v="Cartão de crédito"/>
    <s v="Hotel"/>
    <s v="N"/>
    <s v="Grupo Atento"/>
    <s v="Atento Brasil S/a"/>
    <s v="-"/>
    <s v="Mercure Sao Paulo Nacoes Unidas"/>
    <s v="-"/>
    <s v="FCM-OPE-POA-PVI-ATENTO"/>
    <s v="-"/>
    <x v="169"/>
    <n v="296.75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816551"/>
    <n v="25656375"/>
    <s v="ACC01"/>
    <x v="190"/>
    <d v="2026-06-29T09:50:18"/>
    <s v="06 a 08 dias"/>
    <s v="09 a 15 dias"/>
    <s v="6P5TXJ"/>
    <s v="TMS"/>
    <s v="CLAUDIO PAIVA"/>
    <s v="Mariane Goncalves dos Santos"/>
    <s v="Mariane Goncalves dos Santos"/>
    <x v="179"/>
    <n v="7948"/>
    <s v="-"/>
    <s v="OFF LINE"/>
    <s v="Invoice"/>
    <s v="Cartão de crédito"/>
    <s v="Hotel"/>
    <s v="N"/>
    <s v="Grupo Airbus/helibras"/>
    <s v="Helibras"/>
    <s v="-"/>
    <s v="Plaza Inn Small Town"/>
    <s v="-"/>
    <s v="KON-OPE-SAO-PVI-BTC-ARGO"/>
    <s v="-"/>
    <x v="170"/>
    <n v="0"/>
    <n v="0"/>
    <n v="0"/>
    <n v="0"/>
    <n v="0"/>
    <n v="0"/>
    <s v="Reserva importada do Sistema TMS. OS: 7948"/>
    <s v=" Módulo Operações    -&gt; Configurações      -&gt; Configurações do sistema turismo        -&gt; Importação das vendas          -&gt; Entradas/Saídas  Para o "/>
    <s v="ARGO(TMS)"/>
    <s v="Pagamento não permitido para cobrança"/>
    <s v="Forma PG. e REC."/>
    <s v="Dados do Fornecedor"/>
    <s v="Qualidade dos dados"/>
    <s v="KONTIK BUSINESS TRAVEL"/>
  </r>
  <r>
    <n v="24804504"/>
    <n v="25645847"/>
    <s v="ACC01"/>
    <x v="191"/>
    <d v="2026-06-23T14:24:36"/>
    <s v="09 a 15 dias"/>
    <s v="09 a 15 dias"/>
    <n v="23443978"/>
    <s v="WOOBA"/>
    <s v="ROCHA/VANIA"/>
    <s v="Michelly Andrade Leandro da Silva"/>
    <s v="Michelly Andrade Leandro da Silva"/>
    <x v="180"/>
    <s v="-"/>
    <s v="-"/>
    <s v="OFF LINE"/>
    <s v="Invoice"/>
    <s v="Faturado"/>
    <s v="Hotel"/>
    <s v="N"/>
    <s v="Grupo Kontik Businees Travel"/>
    <s v="Kontik Business Travel - Viagens Internas"/>
    <s v="-"/>
    <s v="Swan Molinos"/>
    <s v="-"/>
    <s v="KON-OPE-SAO-SUP-KONTIK DESPESAS"/>
    <s v="-"/>
    <x v="171"/>
    <n v="0"/>
    <n v="0"/>
    <n v="0"/>
    <n v="0"/>
    <n v="0"/>
    <n v="0"/>
    <s v="Reserva importada do Sistema WOOBA. Id: 13383"/>
    <s v="Centro de custo não preenchido! (ACC01) Requisição não preenchida! (ACC01)"/>
    <s v="WOOBA"/>
    <s v="Mais de um campo não preenchido"/>
    <s v="Falta de informação Gerencial"/>
    <s v="Dados do Fornecedor"/>
    <s v="Qualidade dos dados"/>
    <s v="KONTIK BUSINESS TRAVEL"/>
  </r>
  <r>
    <n v="24823747"/>
    <n v="25662954"/>
    <s v="ACC01"/>
    <x v="192"/>
    <d v="2026-06-30T08:45:43"/>
    <s v="06 a 08 dias"/>
    <s v="09 a 15 dias"/>
    <s v="KX4QQ5MKE"/>
    <s v="GOVER"/>
    <s v="Maria Eduarda Sales"/>
    <s v="Luciene Carvalho Santos"/>
    <s v="Luciene Carvalho Santos"/>
    <x v="181"/>
    <n v="4715200"/>
    <s v="-"/>
    <s v="OFF LINE"/>
    <s v="Cartão de crédito"/>
    <s v="Cartão de crédito"/>
    <s v="Hotel"/>
    <s v="N"/>
    <s v="Grupo Diageo"/>
    <s v="Diageo Brasil"/>
    <s v="Cliente FEE no POS"/>
    <s v="Garanhuns Palace Hotel"/>
    <s v="-"/>
    <s v="FCM-OPE-SAO-PVI-DIAGEO"/>
    <s v="-"/>
    <x v="172"/>
    <n v="0"/>
    <n v="0"/>
    <n v="0"/>
    <n v="0"/>
    <n v="0"/>
    <n v="34.79"/>
    <s v="Reserva importada do sistema Gover. Id: 4715200"/>
    <s v="1931468/6981994&quot; possui uma transação de cartão efetivada"/>
    <s v="GOVER"/>
    <s v="Conciliação de Cartão"/>
    <s v="Financeiro Conciliado"/>
    <s v="Edição não Permitida"/>
    <s v="Processo Operacional"/>
    <s v="KONTIK BUSINESS TRAVEL"/>
  </r>
  <r>
    <n v="24813097"/>
    <n v="25653676"/>
    <s v="ACC01"/>
    <x v="193"/>
    <d v="2026-07-03T17:12:36"/>
    <s v="03 a 05 dias"/>
    <s v="09 a 15 dias"/>
    <s v="QPUMLXT"/>
    <s v="SABRE"/>
    <s v="TEIXEIRA/OMAR MR"/>
    <s v="VITOR TEICHMANN"/>
    <s v="VITOR TEICHMANN"/>
    <x v="182"/>
    <s v="QPUMLX"/>
    <s v="-"/>
    <s v="ON LINE"/>
    <s v="Invoice"/>
    <s v="Faturado"/>
    <s v="Hotel"/>
    <s v="N"/>
    <s v="Grupo Jti"/>
    <s v="Jti Distribuidora - Sao Paulo - Vila Nova Conceicao"/>
    <s v="-"/>
    <s v="Grand Mercure Brasilia Eixo Monumental"/>
    <s v="-"/>
    <s v="FCM-OPE-POA-PVI-BTC CONCUR"/>
    <s v="-"/>
    <x v="173"/>
    <n v="0"/>
    <n v="0"/>
    <n v="0"/>
    <n v="0"/>
    <n v="0"/>
    <n v="0"/>
    <s v="Reserva importada por HubTravel"/>
    <s v="Centro de custo não preenchido! (ACC01) Empenho/departamento não preenchido! (ACC01)"/>
    <s v="SABRE"/>
    <s v="Mais de um campo não preenchido"/>
    <s v="Falta de informação Gerencial"/>
    <s v="Dados do Fornecedor"/>
    <s v="Qualidade dos dados"/>
    <s v="KONTIK BUSINESS TRAVEL"/>
  </r>
  <r>
    <n v="24815561"/>
    <n v="25655412"/>
    <s v="ACC01"/>
    <x v="160"/>
    <d v="2026-06-25T12:10:17"/>
    <s v="09 a 15 dias"/>
    <s v="09 a 15 dias"/>
    <s v="OWSAGDT"/>
    <s v="SABRE"/>
    <s v="OLIVEIRA/FABRICIO"/>
    <s v="Rafaela Leitao Oliveira"/>
    <s v="Rafaela Leitao Oliveira"/>
    <x v="153"/>
    <s v="OWSAGD"/>
    <s v="-"/>
    <s v="OFF LINE"/>
    <s v="Invoice"/>
    <s v="Faturado"/>
    <s v="Hotel"/>
    <s v="N"/>
    <s v="Grupo Casas Bahia"/>
    <s v="Grupo Casas Bahia S.a."/>
    <s v="-"/>
    <s v="Hotel Solar das Mangueiras"/>
    <s v="-"/>
    <s v="KON-OPE-RIO-PVI-CASAS BAHIA"/>
    <s v="-"/>
    <x v="174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818044"/>
    <n v="25657973"/>
    <s v="ACC01"/>
    <x v="161"/>
    <d v="2026-07-01T06:19:27"/>
    <s v="03 a 05 dias"/>
    <s v="09 a 15 dias"/>
    <s v="OSZHZYT"/>
    <s v="SABRE"/>
    <s v="JESUS/NILMARA"/>
    <s v="PAULO JOSE SODRE ANDRADE"/>
    <s v="PAULO JOSE SODRE ANDRADE"/>
    <x v="154"/>
    <s v="OSZHZY"/>
    <s v="-"/>
    <s v="OFF LINE"/>
    <s v="Cartão de crédito"/>
    <s v="Cartão de crédito"/>
    <s v="Hotel"/>
    <s v="N"/>
    <s v="Grupo Casas Bahia"/>
    <s v="Grupo Casas Bahia S.a."/>
    <s v="-"/>
    <s v="Reis Palace Hotel"/>
    <s v="-"/>
    <s v="KON-OPE-RIO-PVI-CASAS BAHIA"/>
    <s v="-"/>
    <x v="175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828871"/>
    <n v="25667418"/>
    <s v="ACC01"/>
    <x v="194"/>
    <d v="2026-06-27T17:25:19"/>
    <s v="09 a 15 dias"/>
    <s v="09 a 15 dias"/>
    <s v="6QRNGS"/>
    <s v="MANUAL"/>
    <s v="JAISON PEREIRA DE OLIVEIRA"/>
    <s v="EVA SILVA FERREIRA"/>
    <s v="EVA SILVA FERREIRA"/>
    <x v="183"/>
    <s v="EMAIL"/>
    <s v="RIBEIRAO PRETO"/>
    <s v="OFF LINE"/>
    <s v="Invoice"/>
    <s v="Pagamento direto"/>
    <s v="Carro"/>
    <s v="N"/>
    <s v="Grupo Intercement"/>
    <s v="Intercement"/>
    <s v="-"/>
    <s v="Localiza - Br - Sp - Ribeirao Preto - Aeroporto"/>
    <s v="-"/>
    <s v="EMERGENCIAL"/>
    <s v="-"/>
    <x v="176"/>
    <n v="1245.3800000000001"/>
    <n v="0"/>
    <n v="0"/>
    <n v="0"/>
    <n v="0"/>
    <n v="0"/>
    <s v="Atendimento emergencial"/>
    <s v=" Módulo Operações    -&gt; Configurações      -&gt; Configurações do sistema turismo        -&gt; Importação das vendas          -&gt; Entradas/Saídas  Para o "/>
    <s v="MANUAL"/>
    <s v="Pagamento não permitido para cobrança"/>
    <s v="Forma PG. e REC."/>
    <s v="Dados do Fornecedor"/>
    <s v="Qualidade dos dados"/>
    <s v="KONTIK BUSINESS TRAVEL"/>
  </r>
  <r>
    <n v="24810378"/>
    <n v="25650925"/>
    <s v="ACC01"/>
    <x v="195"/>
    <d v="2026-07-03T17:05:27"/>
    <s v="03 a 05 dias"/>
    <s v="09 a 15 dias"/>
    <s v="FGGQCC"/>
    <s v="SABRE"/>
    <s v="PINHEIRO DE MENDONCA/MARCELO"/>
    <s v="WY"/>
    <s v="WY"/>
    <x v="184"/>
    <s v="FGGQCC"/>
    <s v="-"/>
    <s v="OFF LINE"/>
    <s v="Invoice"/>
    <s v="Faturado"/>
    <s v="Aéreo"/>
    <s v="N"/>
    <s v="Grupo Bosch"/>
    <s v="Bosch Home Comfort do Brasil Ltda"/>
    <s v="-"/>
    <s v="Azul Linhas Aereas"/>
    <n v="7700090008"/>
    <s v="FCM-OPE-SAO-PVI-BOSCH"/>
    <s v="-"/>
    <x v="8"/>
    <n v="0"/>
    <n v="0"/>
    <n v="0"/>
    <n v="0"/>
    <n v="0"/>
    <n v="0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809720"/>
    <n v="25650282"/>
    <s v="ACC01"/>
    <x v="196"/>
    <d v="2026-06-24T12:33:36"/>
    <s v="09 a 15 dias"/>
    <s v="09 a 15 dias"/>
    <s v="VHPN8V"/>
    <s v="EBOOKING"/>
    <s v="rui pinhal/mario"/>
    <s v="Kontrip"/>
    <s v="Kontrip"/>
    <x v="185"/>
    <s v="-"/>
    <s v="-"/>
    <s v="OFF LINE"/>
    <s v="Invoice"/>
    <s v="Faturado"/>
    <s v="Aéreo"/>
    <s v="N"/>
    <s v="Independente"/>
    <s v="Tap Air Portugal"/>
    <s v="-"/>
    <s v="Azul Linhas Aereas"/>
    <n v="434361168"/>
    <s v="KONTRIP"/>
    <s v="-"/>
    <x v="177"/>
    <n v="82.27"/>
    <n v="0"/>
    <n v="0"/>
    <n v="0"/>
    <n v="0"/>
    <n v="154.87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4824107"/>
    <n v="25663373"/>
    <s v="ACC01"/>
    <x v="197"/>
    <d v="2026-06-26T17:55:26"/>
    <s v="09 a 15 dias"/>
    <s v="09 a 15 dias"/>
    <s v="QKUSHM"/>
    <s v="EBOOKING"/>
    <s v="Caporal/Rosana"/>
    <s v="Kontrip"/>
    <s v="Kontrip"/>
    <x v="186"/>
    <s v="-"/>
    <s v="-"/>
    <s v="OFF LINE"/>
    <s v="Invoice"/>
    <s v="Faturado"/>
    <s v="Aéreo"/>
    <s v="N"/>
    <s v="Independente"/>
    <s v="Tap Air Portugal"/>
    <s v="-"/>
    <s v="Azul Linhas Aereas"/>
    <n v="615678340"/>
    <s v="KONTRIP"/>
    <s v="-"/>
    <x v="178"/>
    <n v="59.46"/>
    <n v="0"/>
    <n v="0"/>
    <n v="0"/>
    <n v="0"/>
    <n v="52.52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4811545"/>
    <n v="25652180"/>
    <s v="ACC01"/>
    <x v="198"/>
    <d v="2026-06-24T17:04:26"/>
    <s v="09 a 15 dias"/>
    <s v="09 a 15 dias"/>
    <s v="ZFEBXR"/>
    <s v="GOVER"/>
    <s v="Rodrigo Teixeira dos Anjos"/>
    <s v="Juliana dos Santos Pinto"/>
    <s v="Juliana dos Santos Pinto"/>
    <x v="187"/>
    <n v="4714681"/>
    <s v="-"/>
    <s v="ON LINE"/>
    <s v="Cartão de crédito"/>
    <s v="Cartão de crédito"/>
    <s v="Aéreo"/>
    <s v="N"/>
    <s v="Grupo Santista"/>
    <s v="Santista Textil Americana"/>
    <s v="-"/>
    <s v="Azul Linhas Aereas"/>
    <n v="3025652179"/>
    <s v="KON-OPE-RIO-PVI-BTC"/>
    <s v="-"/>
    <x v="179"/>
    <n v="78.14"/>
    <n v="0"/>
    <n v="0"/>
    <n v="0"/>
    <n v="0"/>
    <n v="0"/>
    <s v="Reserva importada do sistema Gover. Id: 4714681"/>
    <s v="Necessário cadastrar um contrato para o cliente &quot;&quot;"/>
    <s v="GOVER"/>
    <s v="Contrato de fornecedor"/>
    <s v="Análise Cadastro"/>
    <s v="Dados do Fornecedor"/>
    <s v="Qualidade dos dados"/>
    <s v="GRUPO KONTIK"/>
  </r>
  <r>
    <n v="24823059"/>
    <n v="25662192"/>
    <s v="ACC01"/>
    <x v="199"/>
    <d v="2026-06-26T15:36:04"/>
    <s v="09 a 15 dias"/>
    <s v="09 a 15 dias"/>
    <s v="6QT8MM"/>
    <s v="TMS"/>
    <s v="Castro/Ronaldi"/>
    <s v="Cintya Cocco Figueiredo"/>
    <s v="Cintya Cocco Figueiredo"/>
    <x v="188"/>
    <n v="17930"/>
    <s v="-"/>
    <s v="OFF LINE"/>
    <s v="Invoice"/>
    <s v="Faturado"/>
    <s v="Aéreo"/>
    <s v="N"/>
    <s v="Grupo Odontoprev"/>
    <s v="Clidec - Clinica Dentaria Especializada Cura D Ars Ltda"/>
    <s v="-"/>
    <s v="Azul Linhas Aereas"/>
    <n v="3025662192"/>
    <s v="KON-OPE-SAO-PVI-BTC-ARGO-ODONTOPREV"/>
    <s v="-"/>
    <x v="8"/>
    <n v="200"/>
    <n v="0"/>
    <n v="0"/>
    <n v="0"/>
    <n v="0"/>
    <n v="0"/>
    <s v="Reserva importada do Sistema TMS. OS: 17930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823060"/>
    <n v="25662193"/>
    <s v="ACC01"/>
    <x v="199"/>
    <d v="2026-06-26T15:36:05"/>
    <s v="09 a 15 dias"/>
    <s v="09 a 15 dias"/>
    <s v="6QHI0B"/>
    <s v="TMS"/>
    <s v="Castro/Ronaldi"/>
    <s v="Cintya Cocco Figueiredo"/>
    <s v="Cintya Cocco Figueiredo"/>
    <x v="188"/>
    <n v="17930"/>
    <s v="-"/>
    <s v="OFF LINE"/>
    <s v="Invoice"/>
    <s v="Faturado"/>
    <s v="Aéreo"/>
    <s v="N"/>
    <s v="Grupo Odontoprev"/>
    <s v="Clidec - Clinica Dentaria Especializada Cura D Ars Ltda"/>
    <s v="-"/>
    <s v="Azul Linhas Aereas"/>
    <n v="3025662193"/>
    <s v="KON-OPE-SAO-PVI-BTC-ARGO-ODONTOPREV"/>
    <s v="-"/>
    <x v="8"/>
    <n v="200"/>
    <n v="0"/>
    <n v="0"/>
    <n v="0"/>
    <n v="0"/>
    <n v="0"/>
    <s v="Reserva importada do Sistema TMS. OS: 17930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823061"/>
    <n v="25662194"/>
    <s v="ACC01"/>
    <x v="200"/>
    <d v="2026-06-26T15:36:06"/>
    <s v="09 a 15 dias"/>
    <s v="09 a 15 dias"/>
    <s v="6QUIMP"/>
    <s v="TMS"/>
    <s v="Castro/Ronaldi"/>
    <s v="Cintya Cocco Figueiredo"/>
    <s v="Cintya Cocco Figueiredo"/>
    <x v="188"/>
    <n v="17930"/>
    <s v="-"/>
    <s v="OFF LINE"/>
    <s v="Invoice"/>
    <s v="Faturado"/>
    <s v="Aéreo"/>
    <s v="N"/>
    <s v="Grupo Odontoprev"/>
    <s v="Clidec - Clinica Dentaria Especializada Cura D Ars Ltda"/>
    <s v="-"/>
    <s v="Azul Linhas Aereas"/>
    <n v="3025662194"/>
    <s v="KON-OPE-SAO-PVI-BTC-ARGO-ODONTOPREV"/>
    <s v="-"/>
    <x v="8"/>
    <n v="200"/>
    <n v="0"/>
    <n v="0"/>
    <n v="0"/>
    <n v="0"/>
    <n v="0"/>
    <s v="Reserva importada do Sistema TMS. OS: 17930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823062"/>
    <n v="25662195"/>
    <s v="ACC01"/>
    <x v="200"/>
    <d v="2026-06-26T15:36:07"/>
    <s v="09 a 15 dias"/>
    <s v="09 a 15 dias"/>
    <s v="6QIKM0"/>
    <s v="TMS"/>
    <s v="Castro/Ronaldi"/>
    <s v="Cintya Cocco Figueiredo"/>
    <s v="Cintya Cocco Figueiredo"/>
    <x v="188"/>
    <n v="17930"/>
    <s v="-"/>
    <s v="OFF LINE"/>
    <s v="Invoice"/>
    <s v="Faturado"/>
    <s v="Aéreo"/>
    <s v="N"/>
    <s v="Grupo Odontoprev"/>
    <s v="Clidec - Clinica Dentaria Especializada Cura D Ars Ltda"/>
    <s v="-"/>
    <s v="Azul Linhas Aereas"/>
    <n v="3025662195"/>
    <s v="KON-OPE-SAO-PVI-BTC-ARGO-ODONTOPREV"/>
    <s v="-"/>
    <x v="8"/>
    <n v="200"/>
    <n v="0"/>
    <n v="0"/>
    <n v="0"/>
    <n v="0"/>
    <n v="0"/>
    <s v="Reserva importada do Sistema TMS. OS: 17930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823055"/>
    <n v="25662188"/>
    <s v="ACC01"/>
    <x v="201"/>
    <d v="2026-06-26T15:33:01"/>
    <s v="09 a 15 dias"/>
    <s v="09 a 15 dias"/>
    <s v="6QPI0P"/>
    <s v="TMS"/>
    <s v="da Silva/Marcus Felipe"/>
    <s v="Cintya Cocco Figueiredo"/>
    <s v="Cintya Cocco Figueiredo"/>
    <x v="164"/>
    <n v="17932"/>
    <s v="-"/>
    <s v="OFF LINE"/>
    <s v="Invoice"/>
    <s v="Faturado"/>
    <s v="Aéreo"/>
    <s v="N"/>
    <s v="Grupo Odontoprev"/>
    <s v="Clidec - Clinica Dentaria Especializada Cura D Ars Ltda"/>
    <s v="-"/>
    <s v="Azul Linhas Aereas"/>
    <n v="3025662188"/>
    <s v="KON-OPE-SAO-PVI-BTC-ARGO-ODONTOPREV"/>
    <s v="-"/>
    <x v="8"/>
    <n v="175"/>
    <n v="0"/>
    <n v="0"/>
    <n v="0"/>
    <n v="0"/>
    <n v="0"/>
    <s v="Reserva importada do Sistema TMS. OS: 17932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823056"/>
    <n v="25662189"/>
    <s v="ACC01"/>
    <x v="202"/>
    <d v="2026-06-26T15:33:01"/>
    <s v="09 a 15 dias"/>
    <s v="09 a 15 dias"/>
    <s v="6QQKP0"/>
    <s v="TMS"/>
    <s v="da Silva/Marcus Felipe"/>
    <s v="Cintya Cocco Figueiredo"/>
    <s v="Cintya Cocco Figueiredo"/>
    <x v="164"/>
    <n v="17932"/>
    <s v="-"/>
    <s v="OFF LINE"/>
    <s v="Invoice"/>
    <s v="Faturado"/>
    <s v="Aéreo"/>
    <s v="N"/>
    <s v="Grupo Odontoprev"/>
    <s v="Clidec - Clinica Dentaria Especializada Cura D Ars Ltda"/>
    <s v="-"/>
    <s v="Azul Linhas Aereas"/>
    <n v="3025662189"/>
    <s v="KON-OPE-SAO-PVI-BTC-ARGO-ODONTOPREV"/>
    <s v="-"/>
    <x v="8"/>
    <n v="175"/>
    <n v="0"/>
    <n v="0"/>
    <n v="0"/>
    <n v="0"/>
    <n v="0"/>
    <s v="Reserva importada do Sistema TMS. OS: 17932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823057"/>
    <n v="25662190"/>
    <s v="ACC01"/>
    <x v="202"/>
    <d v="2026-06-26T15:33:01"/>
    <s v="09 a 15 dias"/>
    <s v="09 a 15 dias"/>
    <s v="6QWK0P"/>
    <s v="TMS"/>
    <s v="da Silva/Marcus Felipe"/>
    <s v="Cintya Cocco Figueiredo"/>
    <s v="Cintya Cocco Figueiredo"/>
    <x v="164"/>
    <n v="17932"/>
    <s v="-"/>
    <s v="OFF LINE"/>
    <s v="Invoice"/>
    <s v="Faturado"/>
    <s v="Aéreo"/>
    <s v="N"/>
    <s v="Grupo Odontoprev"/>
    <s v="Clidec - Clinica Dentaria Especializada Cura D Ars Ltda"/>
    <s v="-"/>
    <s v="Azul Linhas Aereas"/>
    <n v="3025662190"/>
    <s v="KON-OPE-SAO-PVI-BTC-ARGO-ODONTOPREV"/>
    <s v="-"/>
    <x v="8"/>
    <n v="175"/>
    <n v="0"/>
    <n v="0"/>
    <n v="0"/>
    <n v="0"/>
    <n v="0"/>
    <s v="Reserva importada do Sistema TMS. OS: 17932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823672"/>
    <n v="25688227"/>
    <s v="ACC02"/>
    <x v="203"/>
    <d v="2026-07-03T17:05:34"/>
    <s v="03 a 05 dias"/>
    <s v="09 a 15 dias"/>
    <s v="KKWKIS"/>
    <s v="SABRE"/>
    <s v="VINICIUS AUGUSTO DOS SANTOS KIESKI"/>
    <s v="V7"/>
    <s v="Ernani Afranio dos Santos"/>
    <x v="189"/>
    <s v="KKWKIS"/>
    <s v="-"/>
    <s v="ON LINE"/>
    <s v="Cartão de crédito"/>
    <s v="Cartão AMEX"/>
    <s v="Aéreo"/>
    <s v="N"/>
    <s v="Grupo Bosch"/>
    <s v="Ctp - Planta Curitiba"/>
    <s v="Cliente FEE no POS"/>
    <s v="Turkish Airlines"/>
    <s v="-"/>
    <s v="FCM-OPE-SAO-PVI-BOSCH"/>
    <s v="-"/>
    <x v="180"/>
    <n v="293.66000000000003"/>
    <n v="5816.84"/>
    <n v="0"/>
    <n v="0"/>
    <n v="0"/>
    <n v="19.2"/>
    <s v="Reserva importada por HubTravel"/>
    <s v="Necessário informar o bilhete"/>
    <s v="SABRE"/>
    <s v="Venda sem bilhete"/>
    <s v="Validação de Dados"/>
    <s v="Dados do Fornecedor"/>
    <s v="Qualidade dos dados"/>
    <s v="KONTIK BUSINESS TRAVEL"/>
  </r>
  <r>
    <n v="24803916"/>
    <n v="25645261"/>
    <s v="ACC01"/>
    <x v="204"/>
    <d v="2026-07-03T17:06:53"/>
    <s v="03 a 05 dias"/>
    <s v="09 a 15 dias"/>
    <s v="KMPBUQT"/>
    <s v="SABRE"/>
    <s v="BONATTI MANARA/JOAO PAULO MR"/>
    <s v="CT"/>
    <s v="CT"/>
    <x v="190"/>
    <s v="202652151-99300"/>
    <s v="-"/>
    <s v="ON LINE"/>
    <s v="?"/>
    <s v="?"/>
    <s v="Hotel"/>
    <s v="N"/>
    <s v="Grupo Basf"/>
    <s v="Basf Catalisadores"/>
    <s v="-"/>
    <s v="Deville Prime Salvador"/>
    <s v="-"/>
    <s v="FCM-OPE-SAO-PVI-BASF"/>
    <s v="-"/>
    <x v="181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Pagamento não permitido para cobrança"/>
    <s v="Forma PG. e REC."/>
    <s v="Dados do Fornecedor"/>
    <s v="Qualidade dos dados"/>
    <s v="KONTIK BUSINESS TRAVEL"/>
  </r>
  <r>
    <n v="24806010"/>
    <n v="25647426"/>
    <s v="ACC01"/>
    <x v="205"/>
    <d v="2026-07-03T17:06:55"/>
    <s v="03 a 05 dias"/>
    <s v="09 a 15 dias"/>
    <s v="WTOAETT"/>
    <s v="SABRE"/>
    <s v="POSSANI COSTALONGA/BRUNO LUIS MR"/>
    <s v="CT"/>
    <s v="CT"/>
    <x v="191"/>
    <s v="E1SIXL2KM"/>
    <s v="-"/>
    <s v="ON LINE"/>
    <s v="?"/>
    <s v="?"/>
    <s v="Hotel"/>
    <s v="N"/>
    <s v="Grupo Basf"/>
    <s v="Basf Catalisadores"/>
    <s v="-"/>
    <s v="Deville Prime Salvador"/>
    <s v="-"/>
    <s v="FCM-OPE-SAO-PVI-BASF"/>
    <s v="-"/>
    <x v="181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Pagamento não permitido para cobrança"/>
    <s v="Forma PG. e REC."/>
    <s v="Dados do Fornecedor"/>
    <s v="Qualidade dos dados"/>
    <s v="KONTIK BUSINESS TRAVEL"/>
  </r>
  <r>
    <n v="24830895"/>
    <n v="25668628"/>
    <s v="ACC01"/>
    <x v="119"/>
    <d v="2026-07-03T09:58:07"/>
    <s v="03 a 05 dias"/>
    <s v="06 a 08 dias"/>
    <s v="H4713824"/>
    <s v="GOVER"/>
    <s v="Iranildo Pereira da Silva"/>
    <s v="Gover"/>
    <s v="Gover"/>
    <x v="116"/>
    <n v="4713824"/>
    <s v="-"/>
    <s v="OFF LINE"/>
    <s v="Cartão de crédito"/>
    <s v="Cartão de crédito"/>
    <s v="Hotel"/>
    <s v="N"/>
    <s v="Grupo Energisa"/>
    <s v="Energisa Sul-sudeste - Distribuidora de Energia S.a."/>
    <s v="-"/>
    <s v="Hotel Colonial Braganca Paulista"/>
    <s v="-"/>
    <s v="KON-OPE-SAO-PVI-ENERGISA"/>
    <s v="-"/>
    <x v="114"/>
    <n v="0"/>
    <n v="0"/>
    <n v="0"/>
    <n v="0"/>
    <n v="0"/>
    <n v="0"/>
    <s v="Reserva importada do sistema Gover. Id: 4713824"/>
    <s v="Fornecedor não preenchido! (ACC02)"/>
    <s v="GOVER"/>
    <s v="Falta de Fornecedor"/>
    <s v="Campo Fornecedor"/>
    <s v="Dados do Fornecedor"/>
    <s v="Sistêmico"/>
    <s v="GRUPO KONTIK"/>
  </r>
  <r>
    <n v="24818044"/>
    <n v="25657975"/>
    <s v="ACC03"/>
    <x v="161"/>
    <d v="2026-07-01T06:19:27"/>
    <s v="03 a 05 dias"/>
    <s v="09 a 15 dias"/>
    <s v="OSZHZYT"/>
    <s v="SABRE"/>
    <s v="JESUS/NILMARA"/>
    <s v="PAULO JOSE SODRE ANDRADE"/>
    <s v="PAULO JOSE SODRE ANDRADE"/>
    <x v="154"/>
    <s v="OSZHZY"/>
    <s v="-"/>
    <s v="OFF LINE"/>
    <s v="Cartão de crédito"/>
    <s v="Cartão de crédito"/>
    <s v="Hotel"/>
    <s v="N"/>
    <s v="Grupo Casas Bahia"/>
    <s v="Grupo Casas Bahia S.a."/>
    <s v="-"/>
    <s v="Hotel Flor da Chapada"/>
    <s v="-"/>
    <s v="KON-OPE-RIO-PVI-CASAS BAHIA"/>
    <s v="-"/>
    <x v="92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803462"/>
    <n v="25644805"/>
    <s v="ACC01"/>
    <x v="206"/>
    <d v="2026-07-03T17:06:51"/>
    <s v="03 a 05 dias"/>
    <s v="09 a 15 dias"/>
    <s v="ASZVEIT"/>
    <s v="SABRE"/>
    <s v="SILVA FERREIRA/YANE"/>
    <s v="MARIA CECILIA PEREIRA SILVA"/>
    <s v="MARIA CECILIA PEREIRA SILVA"/>
    <x v="192"/>
    <s v="ASZVEI"/>
    <s v="-"/>
    <s v="ON LINE"/>
    <s v="Cartão de crédito"/>
    <s v="Cartão de crédito"/>
    <s v="Hotel"/>
    <s v="N"/>
    <s v="Grupo Honeywell"/>
    <s v="Honeywell"/>
    <s v="Cliente FEE no POS"/>
    <s v="Doubletree Santiago Vitacura"/>
    <s v="-"/>
    <s v="FCM-OPE-SAO-PVI-BTC-CONCUR-HONEYWELL"/>
    <s v="-"/>
    <x v="84"/>
    <n v="0"/>
    <n v="0"/>
    <n v="0"/>
    <n v="0"/>
    <n v="0"/>
    <n v="13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817135"/>
    <n v="25656965"/>
    <s v="ACC01"/>
    <x v="166"/>
    <d v="2026-06-25T15:36:14"/>
    <s v="09 a 15 dias"/>
    <s v="09 a 15 dias"/>
    <s v="FOAARGT"/>
    <s v="SABRE"/>
    <s v="SANTANA/EDSON"/>
    <s v="PAULO JOSE SODRE ANDRADE"/>
    <s v="PAULO JOSE SODRE ANDRADE"/>
    <x v="159"/>
    <s v="FOAARG"/>
    <s v="-"/>
    <s v="OFF LINE"/>
    <s v="Cartão de crédito"/>
    <s v="Cartão de crédito"/>
    <s v="Hotel"/>
    <s v="N"/>
    <s v="Grupo Casas Bahia"/>
    <s v="Grupo Casas Bahia S.a."/>
    <s v="-"/>
    <s v="Ibis Arapiraca"/>
    <s v="-"/>
    <s v="KON-OPE-RIO-PVI-CASAS BAHIA"/>
    <s v="-"/>
    <x v="182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810594"/>
    <n v="25651143"/>
    <s v="ACC01"/>
    <x v="207"/>
    <d v="2026-06-24T15:39:36"/>
    <s v="09 a 15 dias"/>
    <s v="09 a 15 dias"/>
    <s v="6PJD54"/>
    <s v="TMS"/>
    <s v="JEAN RODRIGUES"/>
    <s v="Tms"/>
    <s v="Tms"/>
    <x v="193"/>
    <n v="115498"/>
    <s v="-"/>
    <s v="ON LINE"/>
    <s v="Cartão de crédito"/>
    <s v="Cartão de crédito"/>
    <s v="Hotel"/>
    <s v="N"/>
    <s v="Grupo Ultra"/>
    <s v="Neogas do Brasil Gas Natural Comprimido S.a."/>
    <s v="-"/>
    <s v="Intercity Shopping Gravatai"/>
    <s v="-"/>
    <s v="KON-OPE-SAO-PVI-BTC-ARGO"/>
    <s v="-"/>
    <x v="183"/>
    <n v="0"/>
    <n v="0"/>
    <n v="0"/>
    <n v="0"/>
    <n v="43.1"/>
    <n v="0"/>
    <s v="Reserva importada do Sistema TMS. OS: 115498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805408"/>
    <n v="25646806"/>
    <s v="ACC01"/>
    <x v="208"/>
    <d v="2026-06-24T03:46:02"/>
    <s v="09 a 15 dias"/>
    <s v="09 a 15 dias"/>
    <s v="h4714240"/>
    <s v="GOVER"/>
    <s v="N/I"/>
    <s v="Cristiane Santos Pio Memoria"/>
    <s v="Cristiane Santos Pio Memoria"/>
    <x v="194"/>
    <n v="4714240"/>
    <s v="-"/>
    <s v="OFF LINE"/>
    <s v="Invoice"/>
    <s v="Faturado"/>
    <s v="Hotel"/>
    <s v="N"/>
    <s v="Grupo British American Tobacco"/>
    <s v="Bat | Souza Cruz - Matriz"/>
    <s v="-"/>
    <s v="Pousada Pedra Bonita"/>
    <s v="-"/>
    <s v="FCM-OPE-SAO-PVI-BAT"/>
    <s v="-"/>
    <x v="184"/>
    <n v="0"/>
    <n v="0"/>
    <n v="0"/>
    <n v="0"/>
    <n v="0"/>
    <n v="0"/>
    <s v="Reserva importada do sistema Gover. Id: 4714240"/>
    <s v="Centro de custo não preenchido! (ACC01)"/>
    <s v="GOVER"/>
    <s v="Centro de custo"/>
    <s v="Falta de informação Gerencial"/>
    <s v="Dados do Fornecedor"/>
    <s v="Qualidade dos dados"/>
    <s v="KONTIK BUSINESS TRAVEL"/>
  </r>
  <r>
    <n v="24805408"/>
    <n v="25646807"/>
    <s v="ACC02"/>
    <x v="208"/>
    <d v="2026-06-24T03:46:02"/>
    <s v="09 a 15 dias"/>
    <s v="09 a 15 dias"/>
    <s v="h4714240"/>
    <s v="GOVER"/>
    <s v="AFONSO THUME"/>
    <s v="Cristiane Santos Pio Memoria"/>
    <s v="Cristiane Santos Pio Memoria"/>
    <x v="194"/>
    <n v="4714240"/>
    <s v="-"/>
    <s v="OFF LINE"/>
    <s v="Invoice"/>
    <s v="Faturado"/>
    <s v="Hotel"/>
    <s v="N"/>
    <s v="Grupo British American Tobacco"/>
    <s v="Bat | Souza Cruz - Matriz"/>
    <s v="-"/>
    <s v="Pousada Pedra Bonita"/>
    <s v="-"/>
    <s v="FCM-OPE-SAO-PVI-BAT"/>
    <s v="-"/>
    <x v="184"/>
    <n v="0"/>
    <n v="0"/>
    <n v="0"/>
    <n v="0"/>
    <n v="0"/>
    <n v="0"/>
    <s v="Reserva importada do sistema Gover. Id: 4714240"/>
    <s v="Centro de custo não preenchido! (ACC01)"/>
    <s v="GOVER"/>
    <s v="Centro de custo"/>
    <s v="Falta de informação Gerencial"/>
    <s v="Dados do Fornecedor"/>
    <s v="Qualidade dos dados"/>
    <s v="KONTIK BUSINESS TRAVEL"/>
  </r>
  <r>
    <n v="24817135"/>
    <n v="25656967"/>
    <s v="ACC03"/>
    <x v="166"/>
    <d v="2026-06-25T15:36:14"/>
    <s v="09 a 15 dias"/>
    <s v="09 a 15 dias"/>
    <s v="FOAARGT"/>
    <s v="SABRE"/>
    <s v="SANTANA/EDSON"/>
    <s v="PAULO JOSE SODRE ANDRADE"/>
    <s v="PAULO JOSE SODRE ANDRADE"/>
    <x v="159"/>
    <s v="FOAARG"/>
    <s v="-"/>
    <s v="OFF LINE"/>
    <s v="Cartão de crédito"/>
    <s v="Cartão de crédito"/>
    <s v="Hotel"/>
    <s v="N"/>
    <s v="Grupo Casas Bahia"/>
    <s v="Grupo Casas Bahia S.a."/>
    <s v="-"/>
    <s v="Bristol Aline Alagoas"/>
    <s v="-"/>
    <s v="KON-OPE-RIO-PVI-CASAS BAHIA"/>
    <s v="-"/>
    <x v="185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811643"/>
    <n v="25652284"/>
    <s v="ACC01"/>
    <x v="209"/>
    <d v="2026-06-25T04:05:24"/>
    <s v="09 a 15 dias"/>
    <s v="09 a 15 dias"/>
    <s v="h4705364"/>
    <s v="GOVER"/>
    <s v="N/I"/>
    <s v="Cristiane Santos Pio Memoria"/>
    <s v="Cristiane Santos Pio Memoria"/>
    <x v="195"/>
    <n v="4705364"/>
    <s v="-"/>
    <s v="OFF LINE"/>
    <s v="Cartão de crédito"/>
    <s v="Cartão de crédito"/>
    <s v="Hotel"/>
    <s v="N"/>
    <s v="Grupo British American Tobacco"/>
    <s v="Bat | Souza Cruz - Matriz"/>
    <s v="-"/>
    <s v="Bei Monti Hotel"/>
    <s v="-"/>
    <s v="FCM-OPE-SAO-PVI-BAT"/>
    <s v="-"/>
    <x v="133"/>
    <n v="0"/>
    <n v="0"/>
    <n v="0"/>
    <n v="0"/>
    <n v="0"/>
    <n v="0"/>
    <s v="Reserva importada do sistema Gover. Id: 4705364"/>
    <s v="Centro de custo não preenchido! (ACC01)"/>
    <s v="GOVER"/>
    <s v="Centro de custo"/>
    <s v="Falta de informação Gerencial"/>
    <s v="Dados do Fornecedor"/>
    <s v="Qualidade dos dados"/>
    <s v="KONTIK BUSINESS TRAVEL"/>
  </r>
  <r>
    <n v="24811643"/>
    <n v="25652285"/>
    <s v="ACC02"/>
    <x v="209"/>
    <d v="2026-06-25T04:05:24"/>
    <s v="09 a 15 dias"/>
    <s v="09 a 15 dias"/>
    <s v="h4705364"/>
    <s v="GOVER"/>
    <s v="GILBERTO MATTIA"/>
    <s v="Cristiane Santos Pio Memoria"/>
    <s v="Cristiane Santos Pio Memoria"/>
    <x v="195"/>
    <n v="4705364"/>
    <s v="-"/>
    <s v="OFF LINE"/>
    <s v="Cartão de crédito"/>
    <s v="Cartão de crédito"/>
    <s v="Hotel"/>
    <s v="N"/>
    <s v="Grupo British American Tobacco"/>
    <s v="Bat | Souza Cruz - Matriz"/>
    <s v="-"/>
    <s v="Bei Monti Hotel"/>
    <s v="-"/>
    <s v="FCM-OPE-SAO-PVI-BAT"/>
    <s v="-"/>
    <x v="133"/>
    <n v="0"/>
    <n v="0"/>
    <n v="0"/>
    <n v="0"/>
    <n v="0"/>
    <n v="0"/>
    <s v="Reserva importada do sistema Gover. Id: 4705364"/>
    <s v="Centro de custo não preenchido! (ACC01)"/>
    <s v="GOVER"/>
    <s v="Centro de custo"/>
    <s v="Falta de informação Gerencial"/>
    <s v="Dados do Fornecedor"/>
    <s v="Qualidade dos dados"/>
    <s v="KONTIK BUSINESS TRAVEL"/>
  </r>
  <r>
    <n v="24817112"/>
    <n v="25656937"/>
    <s v="ACC01"/>
    <x v="210"/>
    <d v="2026-06-26T10:36:51"/>
    <s v="09 a 15 dias"/>
    <s v="09 a 15 dias"/>
    <s v="RES001081-23323"/>
    <s v="GOVER"/>
    <s v="Nyelle Praciano de Freitas"/>
    <s v="Luciene Carvalho Santos"/>
    <s v="Luciene Carvalho Santos"/>
    <x v="196"/>
    <n v="4714986"/>
    <s v="-"/>
    <s v="OFF LINE"/>
    <s v="Cartão de crédito"/>
    <s v="Cartão de crédito"/>
    <s v="Hotel"/>
    <s v="N"/>
    <s v="Grupo Diageo"/>
    <s v="Diageo Brasil"/>
    <s v="Cliente FEE no POS"/>
    <s v="Hotel Jeri"/>
    <s v="-"/>
    <s v="FCM-OPE-SAO-PVI-DIAGEO"/>
    <s v="-"/>
    <x v="186"/>
    <n v="0"/>
    <n v="0"/>
    <n v="0"/>
    <n v="0"/>
    <n v="0"/>
    <n v="34.79"/>
    <s v="Reserva importada do sistema Gover. Id: 4714986"/>
    <s v="1919317/6977476&quot; possui uma transação de cartão efetivada"/>
    <s v="GOVER"/>
    <s v="Conciliação de Cartão"/>
    <s v="Financeiro Conciliado"/>
    <s v="Edição não Permitida"/>
    <s v="Processo Operacional"/>
    <s v="KONTIK BUSINESS TRAVEL"/>
  </r>
  <r>
    <n v="24809434"/>
    <n v="25649974"/>
    <s v="ACC01"/>
    <x v="126"/>
    <d v="2026-06-26T06:11:19"/>
    <s v="09 a 15 dias"/>
    <s v="09 a 15 dias"/>
    <s v="NUOZOET"/>
    <s v="SABRE"/>
    <s v="ESPANHA/ANDERSON PEREGO MR"/>
    <s v="JULIANE MARTINS FERREIRA"/>
    <s v="JULIANE MARTINS FERREIRA"/>
    <x v="123"/>
    <s v="NUOZOE"/>
    <s v="-"/>
    <s v="OFF LINE"/>
    <s v="Invoice"/>
    <s v="Faturado"/>
    <s v="Hotel"/>
    <s v="N"/>
    <s v="Grupo Weir Group"/>
    <s v="Weir do Brasil Ltda"/>
    <s v="-"/>
    <s v="Hotel Sandis Mirante"/>
    <s v="-"/>
    <s v="FCM-OPE-SAO-PVI-BTC-CONCUR"/>
    <s v="-"/>
    <x v="121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829133"/>
    <n v="25667554"/>
    <s v="ACC01"/>
    <x v="211"/>
    <d v="2026-07-03T03:14:13"/>
    <s v="03 a 05 dias"/>
    <s v="09 a 15 dias"/>
    <s v="6QQAJ2"/>
    <s v="MANUAL"/>
    <s v="GABRIEL PAOLINELLI BAMBIRRA"/>
    <s v="EVA SILVA FERREIRA"/>
    <s v="EVA SILVA FERREIRA"/>
    <x v="197"/>
    <s v="6QQAJ2"/>
    <s v="-"/>
    <s v="OFF LINE"/>
    <s v="Cartão de crédito"/>
    <s v="Cartão de crédito"/>
    <s v="Hotel"/>
    <s v="N"/>
    <s v="Grupo Fm Global"/>
    <s v="Fm Global - Servicos"/>
    <s v="Cliente FEE no POS"/>
    <s v="Hampton By Hilton Montevideo Carrasco"/>
    <s v="-"/>
    <s v="EMERGENCIAL"/>
    <s v="-"/>
    <x v="187"/>
    <n v="197.5"/>
    <n v="0"/>
    <n v="0"/>
    <n v="0"/>
    <n v="0"/>
    <n v="72"/>
    <s v="Atendimento emergencial"/>
    <s v="Este cliente não possui permissão para usar este tipo de pagamento e recebimento para este produto."/>
    <s v="MANUAL"/>
    <s v="Pagamento não permitido para cobrança"/>
    <s v="Forma PG. e REC."/>
    <s v="Dados do Fornecedor"/>
    <s v="Qualidade dos dados"/>
    <s v="KONTIK BUSINESS TRAVEL"/>
  </r>
  <r>
    <n v="24829133"/>
    <n v="25667599"/>
    <s v="ACC02"/>
    <x v="211"/>
    <d v="2026-07-03T03:14:13"/>
    <s v="03 a 05 dias"/>
    <s v="09 a 15 dias"/>
    <s v="6QQAJ2"/>
    <s v="MANUAL"/>
    <s v="CAMILA CAROLINE RENDEIRO GILDO"/>
    <s v="EVA SILVA FERREIRA"/>
    <s v="EVA SILVA FERREIRA"/>
    <x v="197"/>
    <s v="-"/>
    <s v="-"/>
    <s v="OFF LINE"/>
    <s v="Cartão de crédito"/>
    <s v="Pagamento direto"/>
    <s v="Hotel"/>
    <s v="N"/>
    <s v="Grupo Fm Global"/>
    <s v="Fm Global - Servicos"/>
    <s v="Cliente FEE no POS"/>
    <s v="Hampton By Hilton Montevideo Carrasco"/>
    <s v="-"/>
    <s v="EMERGENCIAL"/>
    <s v="-"/>
    <x v="188"/>
    <n v="197.9"/>
    <n v="0"/>
    <n v="0"/>
    <n v="0"/>
    <n v="0"/>
    <n v="0"/>
    <s v="Atendimento emergencial"/>
    <s v="Este cliente não possui permissão para usar este tipo de pagamento e recebimento para este produto."/>
    <s v="MANUAL"/>
    <s v="Pagamento não permitido para cobrança"/>
    <s v="Forma PG. e REC."/>
    <s v="Dados do Fornecedor"/>
    <s v="Qualidade dos dados"/>
    <s v="KONTIK BUSINESS TRAVEL"/>
  </r>
  <r>
    <n v="24803461"/>
    <n v="25644804"/>
    <s v="ACC02"/>
    <x v="180"/>
    <d v="2026-07-03T17:10:33"/>
    <s v="03 a 05 dias"/>
    <s v="09 a 15 dias"/>
    <s v="ASZVEI"/>
    <s v="SABRE"/>
    <s v="SILVA FERREIRA/YANE"/>
    <s v="V7"/>
    <s v="MARIA CECILIA PEREIRA SILVA"/>
    <x v="86"/>
    <s v="ASZVEI"/>
    <s v="-"/>
    <s v="ON LINE"/>
    <s v="Invoice"/>
    <s v="Faturado"/>
    <s v="Aéreo"/>
    <s v="N"/>
    <s v="Grupo Honeywell"/>
    <s v="Honeywell"/>
    <s v="Cliente FEE no POS"/>
    <s v="Jetsmart Spa"/>
    <n v="2615548730"/>
    <s v="FCM-OPE-SAO-PVI-BTC-CONCUR-HONEYWELL"/>
    <s v="-"/>
    <x v="189"/>
    <n v="64.56"/>
    <n v="15.48"/>
    <n v="0"/>
    <n v="64.56"/>
    <n v="0"/>
    <n v="0"/>
    <s v="Reserva importada por HubTravel"/>
    <s v="Centro de custo não preenchido! (ACC02)"/>
    <s v="SABRE"/>
    <s v="Centro de custo"/>
    <s v="Falta de informação Gerencial"/>
    <s v="Dados do Fornecedor"/>
    <s v="Qualidade dos dados"/>
    <s v="KONTIK BUSINESS TRAVEL"/>
  </r>
  <r>
    <n v="24847547"/>
    <n v="25684023"/>
    <s v="ACC01"/>
    <x v="212"/>
    <d v="2026-07-01T10:38:30"/>
    <s v="03 a 05 dias"/>
    <s v="03 a 05 dias"/>
    <n v="5652969"/>
    <s v="WOOBA"/>
    <s v="Dias Araujo/Carla "/>
    <s v="Kontrip"/>
    <s v="Kontrip"/>
    <x v="198"/>
    <s v="-"/>
    <s v="-"/>
    <s v="OFF LINE"/>
    <s v="?"/>
    <s v="?"/>
    <s v="Hotel"/>
    <s v="N"/>
    <s v="Grupo Hypera"/>
    <s v="Simple Organic Beauty"/>
    <s v="-"/>
    <s v="-"/>
    <s v="-"/>
    <s v="KONTRIP"/>
    <s v="-"/>
    <x v="190"/>
    <n v="0"/>
    <n v="0"/>
    <n v="0"/>
    <n v="0"/>
    <n v="0"/>
    <n v="0"/>
    <s v="Reserva importada do Sistema WOOBA. Id: 13612"/>
    <s v="Fornecedor não preenchido! (ACC01)"/>
    <s v="KONTRIP"/>
    <s v="Falta de Fornecedor"/>
    <s v="Campo Fornecedor"/>
    <s v="Dados do Fornecedor"/>
    <s v="Qualidade dos dados"/>
    <s v="KONTRIP VIAGENS"/>
  </r>
  <r>
    <n v="24840910"/>
    <n v="25677069"/>
    <s v="ACC01"/>
    <x v="213"/>
    <d v="2026-06-30T10:06:36"/>
    <s v="06 a 08 dias"/>
    <s v="06 a 08 dias"/>
    <n v="4715922"/>
    <s v="GOVER"/>
    <s v="Vilmar Maciel de Lima"/>
    <s v="ALEXANDRE DA CONCEIÇÃO ALVES"/>
    <s v="ALEXANDRE DA CONCEIÇÃO ALVES"/>
    <x v="199"/>
    <n v="4715922"/>
    <s v="-"/>
    <s v="OFF LINE"/>
    <s v="Cartão de crédito"/>
    <s v="Cartão de crédito"/>
    <s v="Hotel"/>
    <s v="N"/>
    <s v="Grupo Intercement"/>
    <s v="Intercement Nacoes Unidas"/>
    <s v="-"/>
    <s v="-"/>
    <s v="-"/>
    <s v="KON-OPE-SAO-PVI-MOVER"/>
    <s v="-"/>
    <x v="132"/>
    <n v="0"/>
    <n v="0"/>
    <n v="0"/>
    <n v="0"/>
    <n v="0"/>
    <n v="0"/>
    <s v="Reserva importada do sistema Gover. Id: 4715922"/>
    <s v="Fornecedor não preenchido! (ACC01)"/>
    <s v="GOVER"/>
    <s v="Falta de Fornecedor"/>
    <s v="Campo Fornecedor"/>
    <s v="Dados do Fornecedor"/>
    <s v="Sistêmico"/>
    <s v="GRUPO KONTIK"/>
  </r>
  <r>
    <n v="24860181"/>
    <n v="25698695"/>
    <s v="ACC01"/>
    <x v="214"/>
    <d v="2026-07-03T09:16:01"/>
    <s v="03 a 05 dias"/>
    <s v="03 a 05 dias"/>
    <s v="AVD5Y4LRQA"/>
    <s v="GOVER"/>
    <s v="Angelo Araujo dos Santos"/>
    <s v="DANIELLE RIZZETO BEZERRA ALVES"/>
    <s v="DANIELLE RIZZETO BEZERRA ALVES"/>
    <x v="200"/>
    <n v="4716868"/>
    <s v="Localiza -Vitoria da Conquista - Aeroporto Endereço: Rodovia Santos Dumont, Br 116, Km 832 - Distrit"/>
    <s v="OFF LINE"/>
    <s v="Pagamento direto"/>
    <s v="Pagamento direto"/>
    <s v="Carro"/>
    <s v="N"/>
    <s v="Grupo Zf"/>
    <s v="Zf do Brasil - Divisao Ma"/>
    <s v="-"/>
    <s v="-"/>
    <s v="-"/>
    <s v="KON-OPE-RIO-PVI-BTC"/>
    <s v="-"/>
    <x v="191"/>
    <n v="0"/>
    <n v="0"/>
    <n v="0"/>
    <n v="0"/>
    <n v="0"/>
    <n v="0"/>
    <s v="Reserva importada do sistema Gover. Id: 4716868"/>
    <s v="Fornecedor não preenchido! (ACC01)"/>
    <s v="GOVER"/>
    <s v="Falta de Fornecedor"/>
    <s v="Campo Fornecedor"/>
    <s v="Dados do Fornecedor"/>
    <s v="Qualidade dos dados"/>
    <s v="KONTIK BUSINESS TRAVEL"/>
  </r>
  <r>
    <n v="24857366"/>
    <n v="25695372"/>
    <s v="ACC01"/>
    <x v="215"/>
    <d v="2026-07-02T20:07:30"/>
    <s v="03 a 05 dias"/>
    <s v="03 a 05 dias"/>
    <s v="6RUALW"/>
    <s v="TMS"/>
    <s v="ANDRE PELLICIOLI"/>
    <s v="Tms"/>
    <s v="Tms"/>
    <x v="201"/>
    <n v="21589"/>
    <s v="São Paulo / CGH"/>
    <s v="ON LINE"/>
    <s v="Invoice"/>
    <s v="Faturado"/>
    <s v="Carro"/>
    <s v="N"/>
    <s v="Grupo Braskem"/>
    <s v="Braskem - Camacari"/>
    <s v="-"/>
    <s v="-"/>
    <s v="-"/>
    <s v="KON-OPE-SAO-PVI-BRASKEM"/>
    <s v="-"/>
    <x v="192"/>
    <n v="0"/>
    <n v="0"/>
    <n v="0"/>
    <n v="0"/>
    <n v="0"/>
    <n v="0"/>
    <s v="Reserva importada do Sistema TMS. OS: 21589"/>
    <s v="Fornecedor não preenchido! (ACC01)"/>
    <s v="ARGO(TMS)"/>
    <s v="Falta de Fornecedor"/>
    <s v="Campo Fornecedor"/>
    <s v="Dados do Fornecedor"/>
    <s v="Qualidade dos dados"/>
    <s v="KONTIK BUSINESS TRAVEL"/>
  </r>
  <r>
    <n v="24861452"/>
    <n v="25700248"/>
    <s v="ACC01"/>
    <x v="216"/>
    <d v="2026-07-03T12:44:48"/>
    <s v="03 a 05 dias"/>
    <s v="03 a 05 dias"/>
    <s v="6RYCJC"/>
    <s v="TMS"/>
    <s v="GUSTAVO MING"/>
    <s v="Tms"/>
    <s v="Tms"/>
    <x v="202"/>
    <n v="21620"/>
    <s v="Santo André / QSE"/>
    <s v="ON LINE"/>
    <s v="Invoice"/>
    <s v="Faturado"/>
    <s v="Carro"/>
    <s v="N"/>
    <s v="Grupo Braskem"/>
    <s v="Braskem - Camacari"/>
    <s v="-"/>
    <s v="-"/>
    <s v="-"/>
    <s v="KON-OPE-SAO-PVI-BRASKEM"/>
    <s v="-"/>
    <x v="193"/>
    <n v="0"/>
    <n v="0"/>
    <n v="0"/>
    <n v="0"/>
    <n v="0"/>
    <n v="0"/>
    <s v="Reserva importada do Sistema TMS. OS: 21620"/>
    <s v="Fornecedor não preenchido! (ACC01)"/>
    <s v="ARGO(TMS)"/>
    <s v="Falta de Fornecedor"/>
    <s v="Campo Fornecedor"/>
    <s v="Dados do Fornecedor"/>
    <s v="Qualidade dos dados"/>
    <s v="KONTIK BUSINESS TRAVEL"/>
  </r>
  <r>
    <n v="24861459"/>
    <n v="25700256"/>
    <s v="ACC01"/>
    <x v="217"/>
    <d v="2026-07-03T12:48:01"/>
    <s v="03 a 05 dias"/>
    <s v="03 a 05 dias"/>
    <s v="6ROC73"/>
    <s v="TMS"/>
    <s v="CARLOS FARIA"/>
    <s v="Tms"/>
    <s v="Tms"/>
    <x v="203"/>
    <n v="21616"/>
    <s v="Fortaleza / FOR"/>
    <s v="ON LINE"/>
    <s v="Invoice"/>
    <s v="Faturado"/>
    <s v="Carro"/>
    <s v="N"/>
    <s v="Grupo Braskem"/>
    <s v="Braskem - Camacari"/>
    <s v="-"/>
    <s v="-"/>
    <s v="-"/>
    <s v="KON-OPE-SAO-PVI-BRASKEM"/>
    <s v="-"/>
    <x v="194"/>
    <n v="0"/>
    <n v="0"/>
    <n v="0"/>
    <n v="0"/>
    <n v="0"/>
    <n v="0"/>
    <s v="Reserva importada do Sistema TMS. OS: 21616"/>
    <s v="Fornecedor não preenchido! (ACC01)"/>
    <s v="ARGO(TMS)"/>
    <s v="Falta de Fornecedor"/>
    <s v="Campo Fornecedor"/>
    <s v="Dados do Fornecedor"/>
    <s v="Qualidade dos dados"/>
    <s v="KONTIK BUSINESS TRAVEL"/>
  </r>
  <r>
    <n v="24861468"/>
    <n v="25700266"/>
    <s v="ACC01"/>
    <x v="218"/>
    <d v="2026-07-03T12:48:13"/>
    <s v="03 a 05 dias"/>
    <s v="03 a 05 dias"/>
    <s v="6RAF7E"/>
    <s v="TMS"/>
    <s v="LUIS ROCHA"/>
    <s v="Renato Ferreira Gomes"/>
    <s v="Renato Ferreira Gomes"/>
    <x v="204"/>
    <n v="21491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195"/>
    <n v="0"/>
    <n v="0"/>
    <n v="0"/>
    <n v="0"/>
    <n v="218.5"/>
    <n v="0"/>
    <s v="Reserva importada do Sistema TMS. OS: 21491"/>
    <s v="Fornecedor não preenchido! (ACC01)"/>
    <s v="ARGO(TMS)"/>
    <s v="Falta de Fornecedor"/>
    <s v="Campo Fornecedor"/>
    <s v="Dados do Fornecedor"/>
    <s v="Sistêmico"/>
    <s v="GRUPO KONTIK"/>
  </r>
  <r>
    <n v="24859267"/>
    <n v="25697759"/>
    <s v="ACC01"/>
    <x v="219"/>
    <d v="2026-07-02T23:39:01"/>
    <s v="03 a 05 dias"/>
    <s v="03 a 05 dias"/>
    <s v="6RN4Z3"/>
    <s v="TMS"/>
    <s v="OTAVIO SILVA"/>
    <s v="Tms"/>
    <s v="Tms"/>
    <x v="205"/>
    <n v="22655"/>
    <s v="São Paulo / GRU"/>
    <s v="ON LINE"/>
    <s v="Invoice"/>
    <s v="Faturado"/>
    <s v="Carro"/>
    <s v="N"/>
    <s v="Grupo Petroreconcavo"/>
    <s v="Petroreconcavo S/a"/>
    <s v="-"/>
    <s v="-"/>
    <s v="-"/>
    <s v="KON-OPE-RIO-PVI-BTC-PETRORECONCAVO"/>
    <s v="-"/>
    <x v="196"/>
    <n v="0"/>
    <n v="0"/>
    <n v="0"/>
    <n v="0"/>
    <n v="0"/>
    <n v="0"/>
    <s v="Reserva importada do Sistema TMS. OS: 22655"/>
    <s v="Fornecedor não preenchido! (ACC01)"/>
    <s v="ARGO(TMS)"/>
    <s v="Falta de Fornecedor"/>
    <s v="Campo Fornecedor"/>
    <s v="Dados do Fornecedor"/>
    <s v="Qualidade dos dados"/>
    <s v="KONTIK BUSINESS TRAVEL"/>
  </r>
  <r>
    <n v="24849274"/>
    <n v="25686024"/>
    <s v="ACC01"/>
    <x v="220"/>
    <d v="2026-07-01T16:14:06"/>
    <s v="03 a 05 dias"/>
    <s v="03 a 05 dias"/>
    <s v="5654172-1"/>
    <s v="WOOBA"/>
    <s v="Pompeu/Carlos Pompeu"/>
    <s v="Toou"/>
    <s v="Toou"/>
    <x v="206"/>
    <s v="-"/>
    <s v="-"/>
    <s v="OFF LINE"/>
    <s v="?"/>
    <s v="?"/>
    <s v="Hotel"/>
    <s v="N"/>
    <s v="Grupo Kontrip"/>
    <s v="Instituto Atlantico"/>
    <s v="-"/>
    <s v="-"/>
    <s v="-"/>
    <s v="KONTRIP"/>
    <s v="-"/>
    <x v="197"/>
    <n v="0"/>
    <n v="0"/>
    <n v="0"/>
    <n v="0"/>
    <n v="0"/>
    <n v="0"/>
    <s v="Reserva importada do Sistema WOOBA. Id: 13650"/>
    <s v="Fornecedor não preenchido! (ACC01)"/>
    <s v="KONTRIP"/>
    <s v="Falta de Fornecedor"/>
    <s v="Campo Fornecedor"/>
    <s v="Dados do Fornecedor"/>
    <s v="Qualidade dos dados"/>
    <s v="KONTRIP VIAGENS"/>
  </r>
  <r>
    <n v="24860699"/>
    <n v="25699390"/>
    <s v="ACC01"/>
    <x v="221"/>
    <d v="2026-07-03T11:12:27"/>
    <s v="03 a 05 dias"/>
    <s v="03 a 05 dias"/>
    <n v="2119764990"/>
    <s v="WOOBA"/>
    <s v="Ferrarezzi/Andre "/>
    <s v="Toou"/>
    <s v="Toou"/>
    <x v="207"/>
    <s v="-"/>
    <s v="-"/>
    <s v="OFF LINE"/>
    <s v="?"/>
    <s v="?"/>
    <s v="Hotel"/>
    <s v="N"/>
    <s v="Grupo Kontrip"/>
    <s v="Instituto Atlantico"/>
    <s v="-"/>
    <s v="-"/>
    <s v="-"/>
    <s v="KONTRIP"/>
    <s v="-"/>
    <x v="198"/>
    <n v="0"/>
    <n v="0"/>
    <n v="0"/>
    <n v="0"/>
    <n v="0"/>
    <n v="0"/>
    <s v="Reserva importada do Sistema WOOBA. Id: 13795"/>
    <s v="Fornecedor não preenchido! (ACC01)"/>
    <s v="KONTRIP"/>
    <s v="Falta de Fornecedor"/>
    <s v="Campo Fornecedor"/>
    <s v="Dados do Fornecedor"/>
    <s v="Qualidade dos dados"/>
    <s v="KONTRIP VIAGENS"/>
  </r>
  <r>
    <n v="24845307"/>
    <n v="25681706"/>
    <s v="ACC01"/>
    <x v="222"/>
    <d v="2026-06-30T22:06:29"/>
    <s v="06 a 08 dias"/>
    <s v="06 a 08 dias"/>
    <s v="OSJEILC"/>
    <s v="SABRE"/>
    <s v="CARDOSO ONO/MARIANA DE KASSIA"/>
    <s v="BRUNA SEBBEN"/>
    <s v="BRUNA SEBBEN"/>
    <x v="208"/>
    <s v="OSJEIL"/>
    <s v="MCI"/>
    <s v="ON LINE"/>
    <s v="Invoice"/>
    <s v="Faturado"/>
    <s v="Carro"/>
    <s v="N"/>
    <s v="Grupo Elanco"/>
    <s v="Elanco - Morumbi"/>
    <s v="-"/>
    <s v="-"/>
    <s v="-"/>
    <s v="FCM-OPE-SAO-PVI-BTC-CONCUR"/>
    <s v="-"/>
    <x v="199"/>
    <n v="39.81"/>
    <n v="0"/>
    <n v="0"/>
    <n v="0"/>
    <n v="0"/>
    <n v="0"/>
    <s v="Reserva importada por HubTravel"/>
    <s v="Centro de custo não preenchido! (ACC01) Empenho/departamento não preenchido! (ACC01)"/>
    <s v="SABRE"/>
    <s v="Mais de um campo não preenchido"/>
    <s v="Falta de informação Gerencial"/>
    <s v="Dados do Fornecedor"/>
    <s v="Qualidade dos dados"/>
    <s v="KONTIK BUSINESS TRAVEL"/>
  </r>
  <r>
    <n v="24848454"/>
    <n v="25685062"/>
    <s v="ACC01"/>
    <x v="223"/>
    <d v="2026-07-01T13:12:19"/>
    <s v="03 a 05 dias"/>
    <s v="03 a 05 dias"/>
    <s v="HZXEQNT"/>
    <s v="SABRE"/>
    <s v="ALVES LOWEN/NAJARA FERNANDA DO"/>
    <s v="BRUNA SEBBEN"/>
    <s v="BRUNA SEBBEN"/>
    <x v="209"/>
    <s v="HZXEQN"/>
    <s v="-"/>
    <s v="OFF LINE"/>
    <s v="Invoice"/>
    <s v="Faturado"/>
    <s v="Hotel"/>
    <s v="N"/>
    <s v="Grupo Elanco"/>
    <s v="Elanco - Morumbi"/>
    <s v="-"/>
    <s v="-"/>
    <s v="-"/>
    <s v="FCM-OPE-SAO-PVI-BTC-CONCUR"/>
    <s v="-"/>
    <x v="20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60634"/>
    <n v="25699292"/>
    <s v="ACC01"/>
    <x v="224"/>
    <d v="2026-07-03T11:07:13"/>
    <s v="03 a 05 dias"/>
    <s v="03 a 05 dias"/>
    <s v="QCFQVDT"/>
    <s v="SABRE"/>
    <s v="CAPPELLANES FLOCKE/MARIANA HADDAD"/>
    <s v="BRUNA SEBBEN"/>
    <s v="BRUNA SEBBEN"/>
    <x v="210"/>
    <s v="QCFQVD"/>
    <s v="-"/>
    <s v="OFF LINE"/>
    <s v="Invoice"/>
    <s v="Faturado"/>
    <s v="Hotel"/>
    <s v="N"/>
    <s v="Grupo Elanco"/>
    <s v="Elanco - Morumbi"/>
    <s v="-"/>
    <s v="-"/>
    <s v="-"/>
    <s v="FCM-OPE-SAO-PVI-BTC-CONCUR"/>
    <s v="-"/>
    <x v="20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60746"/>
    <n v="25699444"/>
    <s v="ACC01"/>
    <x v="225"/>
    <d v="2026-07-03T11:26:53"/>
    <s v="03 a 05 dias"/>
    <s v="03 a 05 dias"/>
    <s v="6RHDVE"/>
    <s v="TMS"/>
    <s v="MARCOS OLIVEIRA"/>
    <s v="BRUNO ALVARENGA MELONI"/>
    <s v="BRUNO ALVARENGA MELONI"/>
    <x v="211"/>
    <n v="331637"/>
    <s v="-"/>
    <s v="OFF LINE"/>
    <s v="Cartão de crédito"/>
    <s v="Cartão de crédito"/>
    <s v="Hotel"/>
    <s v="N"/>
    <s v="Grupo Kpmg"/>
    <s v="Kpmg Consultoria"/>
    <s v="-"/>
    <s v="-"/>
    <s v="-"/>
    <s v="KON-OPE-SAO-PVI-KPMG"/>
    <s v="-"/>
    <x v="202"/>
    <n v="0"/>
    <n v="0"/>
    <n v="0"/>
    <n v="0"/>
    <n v="0"/>
    <n v="0"/>
    <s v="Reserva importada do Sistema TMS. OS: 331637"/>
    <s v="Fornecedor não preenchido! (ACC01)"/>
    <s v="ARGO(TMS)"/>
    <s v="Falta de Fornecedor"/>
    <s v="Campo Fornecedor"/>
    <s v="Dados do Fornecedor"/>
    <s v="Qualidade dos dados"/>
    <s v="KONTIK BUSINESS TRAVEL"/>
  </r>
  <r>
    <n v="24836428"/>
    <n v="25673101"/>
    <s v="ACC01"/>
    <x v="226"/>
    <d v="2026-07-03T03:01:26"/>
    <s v="03 a 05 dias"/>
    <s v="06 a 08 dias"/>
    <s v="SYRPEUT"/>
    <s v="SABRE"/>
    <s v="GASPAR DE SOUSA/DENYSE"/>
    <s v="Raquel Ribeiro Pinto Villarreal"/>
    <s v="Raquel Ribeiro Pinto Villarreal"/>
    <x v="212"/>
    <s v="SYRPEU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114"/>
    <n v="42"/>
    <n v="0"/>
    <n v="0"/>
    <n v="0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860196"/>
    <n v="25698710"/>
    <s v="ACC01"/>
    <x v="227"/>
    <d v="2026-07-03T09:17:49"/>
    <s v="03 a 05 dias"/>
    <s v="03 a 05 dias"/>
    <n v="23556988"/>
    <s v="GOVER"/>
    <s v="Wanderson da Silva Nunes"/>
    <s v="Gover"/>
    <s v="Gover"/>
    <x v="213"/>
    <n v="4717746"/>
    <s v="-"/>
    <s v="ON LINE"/>
    <s v="Cartão de crédito"/>
    <s v="Cartão de crédito"/>
    <s v="Hotel"/>
    <s v="N"/>
    <s v="Grupo Energisa"/>
    <s v="Linhas de Taubate Transmissora de Energia Sa"/>
    <s v="-"/>
    <s v="-"/>
    <s v="-"/>
    <s v="KON-OPE-SAO-PVI-ENERGISA"/>
    <s v="-"/>
    <x v="203"/>
    <n v="0"/>
    <n v="0"/>
    <n v="0"/>
    <n v="0"/>
    <n v="0"/>
    <n v="0"/>
    <s v="Reserva importada do sistema Gover. Id: 4717746"/>
    <s v="Fornecedor não preenchido! (ACC01)"/>
    <s v="GOVER"/>
    <s v="Falta de Fornecedor"/>
    <s v="Campo Fornecedor"/>
    <s v="Dados do Fornecedor"/>
    <s v="Sistêmico"/>
    <s v="GRUPO KONTIK"/>
  </r>
  <r>
    <n v="24860197"/>
    <n v="25698711"/>
    <s v="ACC01"/>
    <x v="228"/>
    <d v="2026-07-03T09:17:49"/>
    <s v="03 a 05 dias"/>
    <s v="03 a 05 dias"/>
    <n v="23557027"/>
    <s v="GOVER"/>
    <s v="Idelmar Araujo Sousa"/>
    <s v="Gover"/>
    <s v="Gover"/>
    <x v="214"/>
    <n v="4717749"/>
    <s v="-"/>
    <s v="ON LINE"/>
    <s v="Cartão de crédito"/>
    <s v="Cartão de crédito"/>
    <s v="Hotel"/>
    <s v="N"/>
    <s v="Grupo Energisa"/>
    <s v="Linhas de Taubate Transmissora de Energia Sa"/>
    <s v="-"/>
    <s v="-"/>
    <s v="-"/>
    <s v="KON-OPE-SAO-PVI-ENERGISA"/>
    <s v="-"/>
    <x v="204"/>
    <n v="0"/>
    <n v="0"/>
    <n v="0"/>
    <n v="0"/>
    <n v="0"/>
    <n v="0"/>
    <s v="Reserva importada do sistema Gover. Id: 4717749"/>
    <s v="Fornecedor não preenchido! (ACC01)"/>
    <s v="GOVER"/>
    <s v="Falta de Fornecedor"/>
    <s v="Campo Fornecedor"/>
    <s v="Dados do Fornecedor"/>
    <s v="Sistêmico"/>
    <s v="GRUPO KONTIK"/>
  </r>
  <r>
    <n v="24860206"/>
    <n v="25698720"/>
    <s v="ACC01"/>
    <x v="229"/>
    <d v="2026-07-03T09:21:06"/>
    <s v="03 a 05 dias"/>
    <s v="03 a 05 dias"/>
    <n v="23561071"/>
    <s v="GOVER"/>
    <s v="Lazaro Pires de Amorim"/>
    <s v="Gover"/>
    <s v="Gover"/>
    <x v="215"/>
    <n v="4717901"/>
    <s v="-"/>
    <s v="ON LINE"/>
    <s v="Cartão de crédito"/>
    <s v="Cartão de crédito"/>
    <s v="Hotel"/>
    <s v="N"/>
    <s v="Grupo Energisa"/>
    <s v="Linhas de Taubate Transmissora de Energia Sa"/>
    <s v="-"/>
    <s v="-"/>
    <s v="-"/>
    <s v="KON-OPE-SAO-PVI-ENERGISA"/>
    <s v="-"/>
    <x v="205"/>
    <n v="0"/>
    <n v="0"/>
    <n v="0"/>
    <n v="0"/>
    <n v="0"/>
    <n v="0"/>
    <s v="Reserva importada do sistema Gover. Id: 4717901"/>
    <s v="Fornecedor não preenchido! (ACC01)"/>
    <s v="GOVER"/>
    <s v="Falta de Fornecedor"/>
    <s v="Campo Fornecedor"/>
    <s v="Dados do Fornecedor"/>
    <s v="Sistêmico"/>
    <s v="GRUPO KONTIK"/>
  </r>
  <r>
    <n v="24860207"/>
    <n v="25698721"/>
    <s v="ACC01"/>
    <x v="230"/>
    <d v="2026-07-03T09:21:07"/>
    <s v="03 a 05 dias"/>
    <s v="03 a 05 dias"/>
    <n v="23561106"/>
    <s v="GOVER"/>
    <s v="Renato Barbosa Goncalves"/>
    <s v="Gover"/>
    <s v="Gover"/>
    <x v="216"/>
    <n v="4717903"/>
    <s v="-"/>
    <s v="ON LINE"/>
    <s v="Cartão de crédito"/>
    <s v="Cartão de crédito"/>
    <s v="Hotel"/>
    <s v="N"/>
    <s v="Grupo Energisa"/>
    <s v="Linhas de Taubate Transmissora de Energia Sa"/>
    <s v="-"/>
    <s v="-"/>
    <s v="-"/>
    <s v="KON-OPE-SAO-PVI-ENERGISA"/>
    <s v="-"/>
    <x v="205"/>
    <n v="0"/>
    <n v="0"/>
    <n v="0"/>
    <n v="0"/>
    <n v="0"/>
    <n v="0"/>
    <s v="Reserva importada do sistema Gover. Id: 4717903"/>
    <s v="Fornecedor não preenchido! (ACC01)"/>
    <s v="GOVER"/>
    <s v="Falta de Fornecedor"/>
    <s v="Campo Fornecedor"/>
    <s v="Dados do Fornecedor"/>
    <s v="Sistêmico"/>
    <s v="GRUPO KONTIK"/>
  </r>
  <r>
    <n v="24860208"/>
    <n v="25698722"/>
    <s v="ACC01"/>
    <x v="230"/>
    <d v="2026-07-03T09:21:07"/>
    <s v="03 a 05 dias"/>
    <s v="03 a 05 dias"/>
    <n v="23561261"/>
    <s v="GOVER"/>
    <s v="Amauri dos Santos Junior"/>
    <s v="Gover"/>
    <s v="Gover"/>
    <x v="217"/>
    <n v="4717909"/>
    <s v="-"/>
    <s v="ON LINE"/>
    <s v="Cartão de crédito"/>
    <s v="Cartão de crédito"/>
    <s v="Hotel"/>
    <s v="N"/>
    <s v="Grupo Energisa"/>
    <s v="Linhas de Taubate Transmissora de Energia Sa"/>
    <s v="-"/>
    <s v="-"/>
    <s v="-"/>
    <s v="KON-OPE-SAO-PVI-ENERGISA"/>
    <s v="-"/>
    <x v="206"/>
    <n v="0"/>
    <n v="0"/>
    <n v="0"/>
    <n v="0"/>
    <n v="0"/>
    <n v="0"/>
    <s v="Reserva importada do sistema Gover. Id: 4717909"/>
    <s v="Fornecedor não preenchido! (ACC01)"/>
    <s v="GOVER"/>
    <s v="Falta de Fornecedor"/>
    <s v="Campo Fornecedor"/>
    <s v="Dados do Fornecedor"/>
    <s v="Sistêmico"/>
    <s v="GRUPO KONTIK"/>
  </r>
  <r>
    <n v="24860209"/>
    <n v="25698723"/>
    <s v="ACC01"/>
    <x v="231"/>
    <d v="2026-07-03T09:21:07"/>
    <s v="03 a 05 dias"/>
    <s v="03 a 05 dias"/>
    <n v="23561348"/>
    <s v="GOVER"/>
    <s v="Washington da Costa Suzarte"/>
    <s v="Gover"/>
    <s v="Gover"/>
    <x v="218"/>
    <n v="4717916"/>
    <s v="-"/>
    <s v="ON LINE"/>
    <s v="Cartão de crédito"/>
    <s v="Cartão de crédito"/>
    <s v="Hotel"/>
    <s v="N"/>
    <s v="Grupo Energisa"/>
    <s v="Linhas de Taubate Transmissora de Energia Sa"/>
    <s v="-"/>
    <s v="-"/>
    <s v="-"/>
    <s v="KON-OPE-SAO-PVI-ENERGISA"/>
    <s v="-"/>
    <x v="207"/>
    <n v="0"/>
    <n v="0"/>
    <n v="0"/>
    <n v="0"/>
    <n v="0"/>
    <n v="0"/>
    <s v="Reserva importada do sistema Gover. Id: 4717916"/>
    <s v="Fornecedor não preenchido! (ACC01)"/>
    <s v="GOVER"/>
    <s v="Falta de Fornecedor"/>
    <s v="Campo Fornecedor"/>
    <s v="Dados do Fornecedor"/>
    <s v="Sistêmico"/>
    <s v="GRUPO KONTIK"/>
  </r>
  <r>
    <n v="24860104"/>
    <n v="25698610"/>
    <s v="ACC01"/>
    <x v="232"/>
    <d v="2026-07-03T08:55:49"/>
    <s v="03 a 05 dias"/>
    <s v="03 a 05 dias"/>
    <n v="23561162"/>
    <s v="GOVER"/>
    <s v="Giomar Ribeiro Rocha"/>
    <s v="Gover"/>
    <s v="Gover"/>
    <x v="219"/>
    <n v="4717905"/>
    <s v="-"/>
    <s v="ON LINE"/>
    <s v="Cartão de crédito"/>
    <s v="Cartão de crédito"/>
    <s v="Hotel"/>
    <s v="N"/>
    <s v="Grupo Energisa"/>
    <s v="Linhas de Taubate Transmissora de Energia Sa"/>
    <s v="-"/>
    <s v="-"/>
    <s v="-"/>
    <s v="KON-OPE-SAO-PVI-ENERGISA"/>
    <s v="-"/>
    <x v="206"/>
    <n v="0"/>
    <n v="0"/>
    <n v="0"/>
    <n v="0"/>
    <n v="0"/>
    <n v="0"/>
    <s v="Reserva importada do sistema Gover. Id: 4717905"/>
    <s v="Fornecedor não preenchido! (ACC01)"/>
    <s v="GOVER"/>
    <s v="Falta de Fornecedor"/>
    <s v="Campo Fornecedor"/>
    <s v="Dados do Fornecedor"/>
    <s v="Sistêmico"/>
    <s v="GRUPO KONTIK"/>
  </r>
  <r>
    <n v="24835944"/>
    <n v="25672688"/>
    <s v="ACC01"/>
    <x v="233"/>
    <d v="2026-06-29T13:00:43"/>
    <s v="06 a 08 dias"/>
    <s v="06 a 08 dias"/>
    <s v="ELTRQQC"/>
    <s v="SABRE"/>
    <s v="ABATEPAULO/LEANDRO"/>
    <s v="WS"/>
    <s v="WS"/>
    <x v="220"/>
    <s v="ELTRQQ"/>
    <s v="NAT"/>
    <s v="ON LINE"/>
    <s v="Invoice"/>
    <s v="Faturado"/>
    <s v="Carro"/>
    <s v="N"/>
    <s v="Grupo Stanley Black e Decker"/>
    <s v="Bdb Ferramentas do Brasil Ltda"/>
    <s v="Cliente FEE no POS"/>
    <s v="-"/>
    <s v="-"/>
    <s v="FCM-OPE-SAO-PVI-BTC-CONCUR"/>
    <s v="-"/>
    <x v="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61030"/>
    <n v="25699751"/>
    <s v="ACC01"/>
    <x v="234"/>
    <d v="2026-07-03T12:17:39"/>
    <s v="03 a 05 dias"/>
    <s v="03 a 05 dias"/>
    <s v="6REMYC"/>
    <s v="TMS"/>
    <s v="PEDRO SOUZA ALVES"/>
    <s v="Tms"/>
    <s v="Tms"/>
    <x v="221"/>
    <n v="116438"/>
    <s v="São Paulo / SAO"/>
    <s v="ON LINE"/>
    <s v="Invoice"/>
    <s v="Faturado"/>
    <s v="Carro"/>
    <s v="N"/>
    <s v="Grupo Ultra"/>
    <s v="Ultragaz-matriz"/>
    <s v="-"/>
    <s v="-"/>
    <s v="-"/>
    <s v="KON-OPE-SAO-PVI-BTC-ARGO"/>
    <s v="-"/>
    <x v="208"/>
    <n v="0"/>
    <n v="0"/>
    <n v="0"/>
    <n v="0"/>
    <n v="0"/>
    <n v="0"/>
    <s v="Reserva importada do Sistema TMS. OS: 116438"/>
    <s v="Fornecedor não preenchido! (ACC01)"/>
    <s v="ARGO(TMS)"/>
    <s v="Falta de Fornecedor"/>
    <s v="Campo Fornecedor"/>
    <s v="Dados do Fornecedor"/>
    <s v="Qualidade dos dados"/>
    <s v="KONTIK BUSINESS TRAVEL"/>
  </r>
  <r>
    <n v="24870430"/>
    <n v="25710568"/>
    <s v="ACC01"/>
    <x v="235"/>
    <d v="2026-07-05T12:05:47"/>
    <s v="0 a 02 dias"/>
    <s v="0 a 02 dias"/>
    <s v="6R162G"/>
    <s v="TMS"/>
    <s v="FABIO RICARDO ALVES"/>
    <s v="Tms"/>
    <s v="Tms"/>
    <x v="222"/>
    <n v="116668"/>
    <s v="Joao Pessoa / JPA"/>
    <s v="ON LINE"/>
    <s v="Invoice"/>
    <s v="Faturado"/>
    <s v="Carro"/>
    <s v="N"/>
    <s v="Grupo Ultra"/>
    <s v="Ultragaz-matriz"/>
    <s v="-"/>
    <s v="-"/>
    <s v="-"/>
    <s v="KON-OPE-SAO-PVI-BTC-ARGO"/>
    <s v="-"/>
    <x v="209"/>
    <n v="0"/>
    <n v="0"/>
    <n v="0"/>
    <n v="0"/>
    <n v="0"/>
    <n v="0"/>
    <s v="Reserva importada do Sistema TMS. OS: 116668"/>
    <s v="Fornecedor não preenchido! (ACC01)"/>
    <s v="ARGO(TMS)"/>
    <s v="Falta de Fornecedor"/>
    <s v="Campo Fornecedor"/>
    <s v="Dados do Fornecedor"/>
    <s v="Qualidade dos dados"/>
    <s v="KONTIK BUSINESS TRAVEL"/>
  </r>
  <r>
    <n v="24858249"/>
    <n v="25696503"/>
    <s v="ACC01"/>
    <x v="236"/>
    <d v="2026-07-03T17:18:35"/>
    <s v="03 a 05 dias"/>
    <s v="03 a 05 dias"/>
    <s v="NSPJNTC"/>
    <s v="SABRE"/>
    <s v="FONSECA/THIAGO ABUD MR"/>
    <s v="CT"/>
    <s v="CT"/>
    <x v="223"/>
    <s v="NSPJNT"/>
    <s v="GYN"/>
    <s v="ON LINE"/>
    <s v="Invoice"/>
    <s v="Faturado"/>
    <s v="Carro"/>
    <s v="N"/>
    <s v="Grupo Basf"/>
    <s v="Ca Pesquisa e Comercio de Sementes"/>
    <s v="-"/>
    <s v="-"/>
    <s v="-"/>
    <s v="FCM-OPE-SAO-PVI-BASF"/>
    <s v="-"/>
    <x v="210"/>
    <n v="78.3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61772"/>
    <n v="25700617"/>
    <s v="ACC01"/>
    <x v="237"/>
    <d v="2026-07-03T17:18:36"/>
    <s v="03 a 05 dias"/>
    <s v="03 a 05 dias"/>
    <s v="QCIDRLT"/>
    <s v="SABRE"/>
    <s v="LISBOA/CARLA DE MELO MRS"/>
    <s v="CT"/>
    <s v="CT"/>
    <x v="224"/>
    <s v="QCIDRL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21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857656"/>
    <n v="25695722"/>
    <s v="ACC01"/>
    <x v="238"/>
    <d v="2026-07-02T19:07:17"/>
    <s v="03 a 05 dias"/>
    <s v="03 a 05 dias"/>
    <s v="6RYVLX"/>
    <s v="LEMONTECH"/>
    <s v="GOUW/TATIANA"/>
    <s v="Vitoria Silva Lopes"/>
    <s v="Vitoria Silva Lopes"/>
    <x v="225"/>
    <n v="19583130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212"/>
    <n v="0"/>
    <n v="0"/>
    <n v="0"/>
    <n v="0"/>
    <n v="0"/>
    <n v="0"/>
    <s v="Reserva importada do Sistema Lemontech. Solicitação: 19583130"/>
    <s v="Fornecedor não preenchido! (ACC01)"/>
    <s v="LEMONTECH"/>
    <s v="Falta de Fornecedor"/>
    <s v="Campo Fornecedor"/>
    <s v="Dados do Fornecedor"/>
    <s v="Qualidade dos dados"/>
    <s v="KONTIK BUSINESS TRAVEL"/>
  </r>
  <r>
    <n v="24857262"/>
    <n v="25695258"/>
    <s v="ACC01"/>
    <x v="239"/>
    <d v="2026-07-05T07:30:54"/>
    <s v="0 a 02 dias"/>
    <s v="03 a 05 dias"/>
    <s v="6R3JK2"/>
    <s v="LEMONTECH"/>
    <s v="AGNALDO DA SILVA COSTA"/>
    <s v="DEIVID DA SILVA ORTOLAN"/>
    <s v="DEIVID DA SILVA ORTOLAN"/>
    <x v="226"/>
    <n v="19593800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213"/>
    <n v="48.72"/>
    <n v="9.9499999999999993"/>
    <n v="0"/>
    <n v="0"/>
    <n v="0"/>
    <n v="0"/>
    <s v="Reserva importada do Sistema Lemontech. Solicitação: 19593800"/>
    <s v="Fornecedor não preenchido! (ACC01)"/>
    <s v="LEMONTECH"/>
    <s v="Falta de Fornecedor"/>
    <s v="Campo Fornecedor"/>
    <s v="Dados do Fornecedor"/>
    <s v="Qualidade dos dados"/>
    <s v="KONTIK BUSINESS TRAVEL"/>
  </r>
  <r>
    <n v="24857265"/>
    <n v="25695261"/>
    <s v="ACC01"/>
    <x v="240"/>
    <d v="2026-07-05T07:30:54"/>
    <s v="0 a 02 dias"/>
    <s v="03 a 05 dias"/>
    <s v="6RH7KS"/>
    <s v="LEMONTECH"/>
    <s v="KENNETH EDUARDO DOS SANTOS GONCALVES"/>
    <s v="DEIVID DA SILVA ORTOLAN"/>
    <s v="DEIVID DA SILVA ORTOLAN"/>
    <x v="227"/>
    <n v="19593801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213"/>
    <n v="48.72"/>
    <n v="9.9499999999999993"/>
    <n v="0"/>
    <n v="0"/>
    <n v="0"/>
    <n v="0"/>
    <s v="Reserva importada do Sistema Lemontech. Solicitação: 19593801"/>
    <s v="Fornecedor não preenchido! (ACC01)"/>
    <s v="LEMONTECH"/>
    <s v="Falta de Fornecedor"/>
    <s v="Campo Fornecedor"/>
    <s v="Dados do Fornecedor"/>
    <s v="Qualidade dos dados"/>
    <s v="KONTIK BUSINESS TRAVEL"/>
  </r>
  <r>
    <n v="24848659"/>
    <n v="25685295"/>
    <s v="ACC01"/>
    <x v="241"/>
    <d v="2026-07-01T14:07:29"/>
    <s v="03 a 05 dias"/>
    <s v="03 a 05 dias"/>
    <s v="6RXP6P"/>
    <s v="LEMONTECH"/>
    <s v="DE SOUZA/MARINA"/>
    <s v="Vitoria Silva Lopes"/>
    <s v="Vitoria Silva Lopes"/>
    <x v="228"/>
    <n v="19570794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214"/>
    <n v="0"/>
    <n v="0"/>
    <n v="0"/>
    <n v="0"/>
    <n v="0"/>
    <n v="0"/>
    <s v="Reserva importada do Sistema Lemontech. Solicitação: 19570794"/>
    <s v="Fornecedor não preenchido! (ACC01)"/>
    <s v="LEMONTECH"/>
    <s v="Falta de Fornecedor"/>
    <s v="Campo Fornecedor"/>
    <s v="Dados do Fornecedor"/>
    <s v="Qualidade dos dados"/>
    <s v="KONTIK BUSINESS TRAVEL"/>
  </r>
  <r>
    <n v="24850763"/>
    <n v="25687626"/>
    <s v="ACC01"/>
    <x v="242"/>
    <d v="2026-07-01T19:07:12"/>
    <s v="03 a 05 dias"/>
    <s v="03 a 05 dias"/>
    <s v="6R2ZEA"/>
    <s v="LEMONTECH"/>
    <s v="NASCIMENTO TORRES/JANAINA"/>
    <s v="Vitoria Silva Lopes"/>
    <s v="Vitoria Silva Lopes"/>
    <x v="229"/>
    <n v="19576817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215"/>
    <n v="0"/>
    <n v="0"/>
    <n v="0"/>
    <n v="0"/>
    <n v="0"/>
    <n v="0"/>
    <s v="Reserva importada do Sistema Lemontech. Solicitação: 19576817"/>
    <s v="Fornecedor não preenchido! (ACC01)"/>
    <s v="LEMONTECH"/>
    <s v="Falta de Fornecedor"/>
    <s v="Campo Fornecedor"/>
    <s v="Dados do Fornecedor"/>
    <s v="Qualidade dos dados"/>
    <s v="KONTIK BUSINESS TRAVEL"/>
  </r>
  <r>
    <n v="24841656"/>
    <n v="25677912"/>
    <s v="ACC01"/>
    <x v="243"/>
    <d v="2026-06-30T12:06:49"/>
    <s v="06 a 08 dias"/>
    <s v="06 a 08 dias"/>
    <s v="6Q93AI"/>
    <s v="LEMONTECH"/>
    <s v="DOS SANTOS/VINICIUS"/>
    <s v="Humberto da Fontoura"/>
    <s v="Humberto da Fontoura"/>
    <x v="230"/>
    <n v="19563131"/>
    <s v="loja aeroporto fln"/>
    <s v="OFF LINE"/>
    <s v="Invoice"/>
    <s v="Faturado"/>
    <s v="Carro"/>
    <s v="N"/>
    <s v="Grupo Lojas Renner"/>
    <s v="Lojas Renner"/>
    <s v="-"/>
    <s v="-"/>
    <s v="-"/>
    <s v="KON-OPE-RIO-PVI-RENNER"/>
    <s v="-"/>
    <x v="216"/>
    <n v="92.87"/>
    <n v="227.4"/>
    <n v="0"/>
    <n v="0"/>
    <n v="0"/>
    <n v="0"/>
    <s v="Reserva importada do Sistema Lemontech. Solicitação: 19563131"/>
    <s v="Fornecedor não preenchido! (ACC01)"/>
    <s v="LEMONTECH"/>
    <s v="Falta de Fornecedor"/>
    <s v="Campo Fornecedor"/>
    <s v="Dados do Fornecedor"/>
    <s v="Qualidade dos dados"/>
    <s v="KONTIK BUSINESS TRAVEL"/>
  </r>
  <r>
    <n v="24861916"/>
    <n v="25700788"/>
    <s v="ACC01"/>
    <x v="244"/>
    <d v="2026-07-05T07:30:54"/>
    <s v="0 a 02 dias"/>
    <s v="03 a 05 dias"/>
    <s v="6RXHIC"/>
    <s v="LEMONTECH"/>
    <s v="MARINALVA FREITAS DA SILVA"/>
    <s v="William da Cruz Canteiro"/>
    <s v="William da Cruz Canteiro"/>
    <x v="231"/>
    <n v="19598005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217"/>
    <n v="13.64"/>
    <n v="9.9499999999999993"/>
    <n v="0"/>
    <n v="0"/>
    <n v="0"/>
    <n v="0"/>
    <s v="Reserva importada do Sistema Lemontech. Solicitação: 19598005"/>
    <s v="Fornecedor não preenchido! (ACC01)"/>
    <s v="LEMONTECH"/>
    <s v="Falta de Fornecedor"/>
    <s v="Campo Fornecedor"/>
    <s v="Dados do Fornecedor"/>
    <s v="Qualidade dos dados"/>
    <s v="KONTIK BUSINESS TRAVEL"/>
  </r>
  <r>
    <n v="24861923"/>
    <n v="25700795"/>
    <s v="ACC01"/>
    <x v="245"/>
    <d v="2026-07-03T14:09:10"/>
    <s v="03 a 05 dias"/>
    <s v="03 a 05 dias"/>
    <s v="6RJH8E"/>
    <s v="LEMONTECH"/>
    <s v="ZANOTTO/ELTON"/>
    <s v="William da Cruz Canteiro"/>
    <s v="William da Cruz Canteiro"/>
    <x v="232"/>
    <n v="19602242"/>
    <s v="Aeroporto de Cascavel"/>
    <s v="OFF LINE"/>
    <s v="Invoice"/>
    <s v="Faturado"/>
    <s v="Carro"/>
    <s v="N"/>
    <s v="Grupo Lojas Renner"/>
    <s v="Lojas Renner"/>
    <s v="-"/>
    <s v="-"/>
    <s v="-"/>
    <s v="KON-OPE-RIO-PVI-RENNER"/>
    <s v="-"/>
    <x v="218"/>
    <n v="0"/>
    <n v="0"/>
    <n v="0"/>
    <n v="0"/>
    <n v="0"/>
    <n v="0"/>
    <s v="Reserva importada do Sistema Lemontech. Solicitação: 19602242"/>
    <s v="Fornecedor não preenchido! (ACC01)"/>
    <s v="LEMONTECH"/>
    <s v="Falta de Fornecedor"/>
    <s v="Campo Fornecedor"/>
    <s v="Dados do Fornecedor"/>
    <s v="Qualidade dos dados"/>
    <s v="KONTIK BUSINESS TRAVEL"/>
  </r>
  <r>
    <n v="24849098"/>
    <n v="25685817"/>
    <s v="ACC01"/>
    <x v="246"/>
    <d v="2026-07-03T17:14:11"/>
    <s v="03 a 05 dias"/>
    <s v="03 a 05 dias"/>
    <s v="ATBXEUT"/>
    <s v="SABRE"/>
    <s v="BARBOZA/GIOVANA GEMIGNANI MATTOS MS"/>
    <s v="Adriana Vieira de Freitas dos Santos"/>
    <s v="Adriana Vieira de Freitas dos Santos"/>
    <x v="233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219"/>
    <n v="492.5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48598"/>
    <n v="25685227"/>
    <s v="ACC01"/>
    <x v="247"/>
    <d v="2026-07-03T17:14:11"/>
    <s v="03 a 05 dias"/>
    <s v="03 a 05 dias"/>
    <s v="NWEPJNT"/>
    <s v="SABRE"/>
    <s v="CAMPOS/FLAVIO DE COSTA MR"/>
    <s v="Adriana Vieira de Freitas dos Santos"/>
    <s v="Adriana Vieira de Freitas dos Santos"/>
    <x v="234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220"/>
    <n v="29.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58460"/>
    <n v="25696772"/>
    <s v="ACC01"/>
    <x v="248"/>
    <d v="2026-07-03T17:18:36"/>
    <s v="03 a 05 dias"/>
    <s v="03 a 05 dias"/>
    <s v="WNUYNAT"/>
    <s v="SABRE"/>
    <s v="MATOS/PAULO JOSE NUNES MR"/>
    <s v="Adriana Vieira de Freitas dos Santos"/>
    <s v="Adriana Vieira de Freitas dos Santos"/>
    <x v="235"/>
    <s v="FONE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221"/>
    <n v="115.71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58468"/>
    <n v="25696778"/>
    <s v="ACC01"/>
    <x v="249"/>
    <d v="2026-07-03T17:18:36"/>
    <s v="03 a 05 dias"/>
    <s v="03 a 05 dias"/>
    <s v="MFFXRAT"/>
    <s v="SABRE"/>
    <s v="OLIVEIRA/FABIO MR"/>
    <s v="Adriana Vieira de Freitas dos Santos"/>
    <s v="Adriana Vieira de Freitas dos Santos"/>
    <x v="236"/>
    <s v="FONE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221"/>
    <n v="115.71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36966"/>
    <n v="25673614"/>
    <s v="ACC01"/>
    <x v="250"/>
    <d v="2026-06-29T16:45:57"/>
    <s v="06 a 08 dias"/>
    <s v="06 a 08 dias"/>
    <s v="6Q58O5"/>
    <s v="TMS"/>
    <s v="LENOIR JEREMIAS"/>
    <s v="Tms"/>
    <s v="Tms"/>
    <x v="237"/>
    <n v="35281"/>
    <s v="São Paulo / GRU"/>
    <s v="ON LINE"/>
    <s v="Invoice"/>
    <s v="Faturado"/>
    <s v="Carro"/>
    <s v="N"/>
    <s v="Grupo Enaex"/>
    <s v="Enaex"/>
    <s v="-"/>
    <s v="-"/>
    <s v="-"/>
    <s v="KON-OPE-RIO-PVI-ENAEX"/>
    <s v="-"/>
    <x v="222"/>
    <n v="0"/>
    <n v="0"/>
    <n v="0"/>
    <n v="0"/>
    <n v="0"/>
    <n v="0"/>
    <s v="Reserva importada do Sistema TMS. OS: 35281"/>
    <s v="Fornecedor não preenchido! (ACC01)"/>
    <s v="ARGO(TMS)"/>
    <s v="Falta de Fornecedor"/>
    <s v="Campo Fornecedor"/>
    <s v="Dados do Fornecedor"/>
    <s v="Qualidade dos dados"/>
    <s v="KONTIK BUSINESS TRAVEL"/>
  </r>
  <r>
    <n v="24859100"/>
    <n v="25697583"/>
    <s v="ACC01"/>
    <x v="251"/>
    <d v="2026-07-02T23:25:30"/>
    <s v="03 a 05 dias"/>
    <s v="03 a 05 dias"/>
    <s v="6RNJPE"/>
    <s v="TMS"/>
    <s v="JEDERSON FERREIRA"/>
    <s v="Marcia Fernandes de Sousa"/>
    <s v="Marcia Fernandes de Sousa"/>
    <x v="238"/>
    <n v="35329"/>
    <s v="-"/>
    <s v="OFF LINE"/>
    <s v="Cartão de crédito"/>
    <s v="Cartão de crédito"/>
    <s v="Serviço"/>
    <s v="N"/>
    <s v="Grupo Enaex"/>
    <s v="Enaex"/>
    <s v="-"/>
    <s v="-"/>
    <s v="-"/>
    <s v="KON-OPE-RIO-PVI-ENAEX"/>
    <s v="-"/>
    <x v="223"/>
    <n v="0"/>
    <n v="0"/>
    <n v="0"/>
    <n v="0"/>
    <n v="0"/>
    <n v="0"/>
    <s v="Reserva importada do Sistema TMS. OS: 35329"/>
    <s v="Fornecedor não preenchido! (ACC01)"/>
    <s v="ARGO(TMS)"/>
    <s v="Falta de Fornecedor"/>
    <s v="Campo Fornecedor"/>
    <s v="Dados do Fornecedor"/>
    <s v="Qualidade dos dados"/>
    <s v="KONTIK BUSINESS TRAVEL"/>
  </r>
  <r>
    <n v="24859102"/>
    <n v="25697585"/>
    <s v="ACC01"/>
    <x v="252"/>
    <d v="2026-07-02T23:25:41"/>
    <s v="03 a 05 dias"/>
    <s v="03 a 05 dias"/>
    <s v="6RA80E"/>
    <s v="TMS"/>
    <s v="RANILTO SOBRINHO"/>
    <s v="Marcia Fernandes de Sousa"/>
    <s v="Marcia Fernandes de Sousa"/>
    <x v="239"/>
    <n v="35328"/>
    <s v="-"/>
    <s v="OFF LINE"/>
    <s v="Cartão de crédito"/>
    <s v="Cartão de crédito"/>
    <s v="Serviço"/>
    <s v="N"/>
    <s v="Grupo Enaex"/>
    <s v="Enaex"/>
    <s v="-"/>
    <s v="-"/>
    <s v="-"/>
    <s v="KON-OPE-RIO-PVI-ENAEX"/>
    <s v="-"/>
    <x v="223"/>
    <n v="0"/>
    <n v="0"/>
    <n v="0"/>
    <n v="0"/>
    <n v="0"/>
    <n v="0"/>
    <s v="Reserva importada do Sistema TMS. OS: 35328"/>
    <s v="Fornecedor não preenchido! (ACC01)"/>
    <s v="ARGO(TMS)"/>
    <s v="Falta de Fornecedor"/>
    <s v="Campo Fornecedor"/>
    <s v="Dados do Fornecedor"/>
    <s v="Qualidade dos dados"/>
    <s v="KONTIK BUSINESS TRAVEL"/>
  </r>
  <r>
    <n v="24860878"/>
    <n v="25699594"/>
    <s v="ACC01"/>
    <x v="253"/>
    <d v="2026-07-03T11:46:42"/>
    <s v="03 a 05 dias"/>
    <s v="03 a 05 dias"/>
    <s v="6RTMTE"/>
    <s v="TMS"/>
    <s v="AUGUSTO CESAR SANTANA BINDA"/>
    <s v="Tms"/>
    <s v="Tms"/>
    <x v="240"/>
    <n v="35354"/>
    <s v="São Paulo / GRU"/>
    <s v="ON LINE"/>
    <s v="Invoice"/>
    <s v="Faturado"/>
    <s v="Carro"/>
    <s v="N"/>
    <s v="Grupo Enaex"/>
    <s v="Enaex"/>
    <s v="-"/>
    <s v="-"/>
    <s v="-"/>
    <s v="KON-OPE-RIO-PVI-ENAEX"/>
    <s v="-"/>
    <x v="224"/>
    <n v="0"/>
    <n v="0"/>
    <n v="0"/>
    <n v="0"/>
    <n v="0"/>
    <n v="0"/>
    <s v="Reserva importada do Sistema TMS. OS: 35354"/>
    <s v="Fornecedor não preenchido! (ACC01)"/>
    <s v="ARGO(TMS)"/>
    <s v="Falta de Fornecedor"/>
    <s v="Campo Fornecedor"/>
    <s v="Dados do Fornecedor"/>
    <s v="Qualidade dos dados"/>
    <s v="KONTIK BUSINESS TRAVEL"/>
  </r>
  <r>
    <n v="24861219"/>
    <n v="25699994"/>
    <s v="ACC01"/>
    <x v="254"/>
    <d v="2026-07-03T12:09:27"/>
    <s v="03 a 05 dias"/>
    <s v="03 a 05 dias"/>
    <s v="6RQJYE"/>
    <s v="LEMONTECH"/>
    <s v="BONDEZAN/CLEBER"/>
    <s v="Isabela de Melo da Silva"/>
    <s v="Isabela de Melo da Silva"/>
    <x v="241"/>
    <n v="19573506"/>
    <s v="AGÊNCIA AEROPORTO - CHAPECO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225"/>
    <n v="0"/>
    <n v="0"/>
    <n v="0"/>
    <n v="0"/>
    <n v="0"/>
    <n v="0"/>
    <s v="Reserva importada do Sistema Lemontech. Solicitação: 19573506"/>
    <s v="Fornecedor não preenchido! (ACC01)"/>
    <s v="LEMONTECH"/>
    <s v="Falta de Fornecedor"/>
    <s v="Campo Fornecedor"/>
    <s v="Dados do Fornecedor"/>
    <s v="Qualidade dos dados"/>
    <s v="KONTIK BUSINESS TRAVEL"/>
  </r>
  <r>
    <n v="24861222"/>
    <n v="25699998"/>
    <s v="ACC01"/>
    <x v="255"/>
    <d v="2026-07-03T12:09:43"/>
    <s v="03 a 05 dias"/>
    <s v="03 a 05 dias"/>
    <s v="6RDJY3"/>
    <s v="LEMONTECH"/>
    <s v="MARANGON JR/ALDO"/>
    <s v="Isabela de Melo da Silva"/>
    <s v="Isabela de Melo da Silva"/>
    <x v="242"/>
    <n v="19578857"/>
    <s v="AGENCIA AEROPORTO LONDRINA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226"/>
    <n v="0"/>
    <n v="0"/>
    <n v="0"/>
    <n v="0"/>
    <n v="0"/>
    <n v="0"/>
    <s v="Reserva importada do Sistema Lemontech. Solicitação: 19578857"/>
    <s v="Fornecedor não preenchido! (ACC01)"/>
    <s v="LEMONTECH"/>
    <s v="Falta de Fornecedor"/>
    <s v="Campo Fornecedor"/>
    <s v="Dados do Fornecedor"/>
    <s v="Qualidade dos dados"/>
    <s v="KONTIK BUSINESS TRAVEL"/>
  </r>
  <r>
    <n v="24861275"/>
    <n v="25700049"/>
    <s v="ACC01"/>
    <x v="256"/>
    <d v="2026-07-03T12:12:44"/>
    <s v="03 a 05 dias"/>
    <s v="03 a 05 dias"/>
    <s v="6RVLHE"/>
    <s v="LEMONTECH"/>
    <s v="NEVES/DAIANE"/>
    <s v="Isabela de Melo da Silva"/>
    <s v="Isabela de Melo da Silva"/>
    <x v="243"/>
    <n v="19597009"/>
    <s v="AEROPORTO MACAPA II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227"/>
    <n v="0"/>
    <n v="0"/>
    <n v="0"/>
    <n v="0"/>
    <n v="0"/>
    <n v="0"/>
    <s v="Reserva importada do Sistema Lemontech. Solicitação: 19597009"/>
    <s v="Fornecedor não preenchido! (ACC01)"/>
    <s v="LEMONTECH"/>
    <s v="Falta de Fornecedor"/>
    <s v="Campo Fornecedor"/>
    <s v="Dados do Fornecedor"/>
    <s v="Qualidade dos dados"/>
    <s v="KONTIK BUSINESS TRAVEL"/>
  </r>
  <r>
    <n v="24861280"/>
    <n v="25700054"/>
    <s v="ACC01"/>
    <x v="257"/>
    <d v="2026-07-03T12:13:09"/>
    <s v="03 a 05 dias"/>
    <s v="03 a 05 dias"/>
    <s v="6RUNH3"/>
    <s v="LEMONTECH"/>
    <s v="NEVES/DAIANE"/>
    <s v="Isabela de Melo da Silva"/>
    <s v="Isabela de Melo da Silva"/>
    <x v="244"/>
    <n v="19598085"/>
    <s v="AGENCIA AEROPORTO ALTAMIRA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228"/>
    <n v="0"/>
    <n v="0"/>
    <n v="0"/>
    <n v="0"/>
    <n v="0"/>
    <n v="0"/>
    <s v="Reserva importada do Sistema Lemontech. Solicitação: 19598085"/>
    <s v="Fornecedor não preenchido! (ACC01)"/>
    <s v="LEMONTECH"/>
    <s v="Falta de Fornecedor"/>
    <s v="Campo Fornecedor"/>
    <s v="Dados do Fornecedor"/>
    <s v="Qualidade dos dados"/>
    <s v="KONTIK BUSINESS TRAVEL"/>
  </r>
  <r>
    <n v="24860156"/>
    <n v="25698667"/>
    <s v="ACC01"/>
    <x v="258"/>
    <d v="2026-07-03T09:09:57"/>
    <s v="03 a 05 dias"/>
    <s v="03 a 05 dias"/>
    <s v="6RY23E"/>
    <s v="LEMONTECH"/>
    <s v="DE SOUSA/MARCELA"/>
    <s v="Fernando Augusto Santiago da Silva"/>
    <s v="Fernando Augusto Santiago da Silva"/>
    <x v="245"/>
    <n v="19599045"/>
    <s v="AVENIDA JULIO CESAR , 0  - VALDECANS"/>
    <s v="ON LINE"/>
    <s v="Invoice"/>
    <s v="Faturado"/>
    <s v="Carro"/>
    <s v="N"/>
    <s v="Grupo Biolab"/>
    <s v="Biolab Centro Administrativo - Escritorio"/>
    <s v="-"/>
    <s v="-"/>
    <s v="-"/>
    <s v="KON-OPE-SAO-PVI-BIOLAB"/>
    <s v="-"/>
    <x v="229"/>
    <n v="99.18"/>
    <n v="272.72000000000003"/>
    <n v="0"/>
    <n v="0"/>
    <n v="0"/>
    <n v="0"/>
    <s v="Reserva importada do Sistema Lemontech. Solicitação: 19599045"/>
    <s v="Fornecedor não preenchido! (ACC01)"/>
    <s v="LEMONTECH"/>
    <s v="Falta de Fornecedor"/>
    <s v="Campo Fornecedor"/>
    <s v="Dados do Fornecedor"/>
    <s v="Qualidade dos dados"/>
    <s v="KONTIK BUSINESS TRAVEL"/>
  </r>
  <r>
    <n v="24853581"/>
    <n v="25691093"/>
    <s v="ACC01"/>
    <x v="259"/>
    <d v="2026-07-02T10:08:49"/>
    <s v="03 a 05 dias"/>
    <s v="03 a 05 dias"/>
    <s v="6RS6U1"/>
    <s v="LEMONTECH"/>
    <s v="FREIRE CRIVELARI/ALEXANDRE"/>
    <s v="Lemontech"/>
    <s v="Lemontech"/>
    <x v="246"/>
    <n v="19590717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30"/>
    <n v="0"/>
    <n v="0"/>
    <n v="0"/>
    <n v="0"/>
    <n v="41.91"/>
    <n v="0"/>
    <s v="Reserva importada do Sistema Lemontech. Solicitação: 19590717"/>
    <s v="Fornecedor não preenchido! (ACC01)"/>
    <s v="LEMONTECH"/>
    <s v="Falta de Fornecedor"/>
    <s v="Campo Fornecedor"/>
    <s v="Dados do Fornecedor"/>
    <s v="Qualidade dos dados"/>
    <s v="KONTIK BUSINESS TRAVEL"/>
  </r>
  <r>
    <n v="24835372"/>
    <n v="25672131"/>
    <s v="ACC01"/>
    <x v="260"/>
    <d v="2026-06-29T11:08:15"/>
    <s v="06 a 08 dias"/>
    <s v="06 a 08 dias"/>
    <s v="6QB1R5"/>
    <s v="LEMONTECH"/>
    <s v="OLIVEIRA CAMPOS/LUCAS"/>
    <s v="Isabela de Melo da Silva"/>
    <s v="Isabela de Melo da Silva"/>
    <x v="247"/>
    <n v="19562324"/>
    <s v="AVENIDA DOUTOR TIMOTEO PENTEADO , 3575  - VILA GALVAO"/>
    <s v="ON LINE"/>
    <s v="Invoice"/>
    <s v="Faturado"/>
    <s v="Carro"/>
    <s v="N"/>
    <s v="Grupo Biolab"/>
    <s v="Biolab Centro Administrativo - Escritorio"/>
    <s v="-"/>
    <s v="-"/>
    <s v="-"/>
    <s v="KON-OPE-SAO-PVI-BIOLAB"/>
    <s v="-"/>
    <x v="231"/>
    <n v="83.23"/>
    <n v="347.24"/>
    <n v="0"/>
    <n v="0"/>
    <n v="0"/>
    <n v="0"/>
    <s v="Reserva importada do Sistema Lemontech. Solicitação: 19562324"/>
    <s v="Fornecedor não preenchido! (ACC01)"/>
    <s v="LEMONTECH"/>
    <s v="Falta de Fornecedor"/>
    <s v="Campo Fornecedor"/>
    <s v="Dados do Fornecedor"/>
    <s v="Qualidade dos dados"/>
    <s v="KONTIK BUSINESS TRAVEL"/>
  </r>
  <r>
    <n v="24847294"/>
    <n v="25683729"/>
    <s v="ACC01"/>
    <x v="261"/>
    <d v="2026-07-01T10:06:52"/>
    <s v="03 a 05 dias"/>
    <s v="03 a 05 dias"/>
    <s v="6RU31M"/>
    <s v="LEMONTECH"/>
    <s v="CORDEIRO ASSUNCAO/SILVIA"/>
    <s v="Isabela de Melo da Silva"/>
    <s v="Isabela de Melo da Silva"/>
    <x v="248"/>
    <n v="19549597"/>
    <s v="  SETE DE SETEMBRO, 2950, CENTRO "/>
    <s v="ON LINE"/>
    <s v="Invoice"/>
    <s v="Faturado"/>
    <s v="Carro"/>
    <s v="N"/>
    <s v="Grupo Biolab"/>
    <s v="Biolab Centro Administrativo - Escritorio"/>
    <s v="-"/>
    <s v="-"/>
    <s v="-"/>
    <s v="KON-OPE-SAO-PVI-BIOLAB"/>
    <s v="-"/>
    <x v="232"/>
    <n v="115.07"/>
    <n v="211.6"/>
    <n v="0"/>
    <n v="0"/>
    <n v="0"/>
    <n v="0"/>
    <s v="Reserva importada do Sistema Lemontech. Solicitação: 19549597"/>
    <s v="Fornecedor não preenchido! (ACC01)"/>
    <s v="LEMONTECH"/>
    <s v="Falta de Fornecedor"/>
    <s v="Campo Fornecedor"/>
    <s v="Dados do Fornecedor"/>
    <s v="Qualidade dos dados"/>
    <s v="KONTIK BUSINESS TRAVEL"/>
  </r>
  <r>
    <n v="24845021"/>
    <n v="25681419"/>
    <s v="ACC01"/>
    <x v="262"/>
    <d v="2026-06-30T20:06:46"/>
    <s v="06 a 08 dias"/>
    <s v="06 a 08 dias"/>
    <s v="6QJ7F9"/>
    <s v="LEMONTECH"/>
    <s v="MARANGON JR/ALDO"/>
    <s v="Lemontech"/>
    <s v="Lemontech"/>
    <x v="249"/>
    <n v="19578510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233"/>
    <n v="0"/>
    <n v="0"/>
    <n v="0"/>
    <n v="0"/>
    <n v="0"/>
    <n v="0"/>
    <s v="Reserva importada do Sistema Lemontech. Solicitação: 19578510"/>
    <s v="Fornecedor não preenchido! (ACC01)"/>
    <s v="LEMONTECH"/>
    <s v="Falta de Fornecedor"/>
    <s v="Campo Fornecedor"/>
    <s v="Dados do Fornecedor"/>
    <s v="Qualidade dos dados"/>
    <s v="KONTIK BUSINESS TRAVEL"/>
  </r>
  <r>
    <n v="24837186"/>
    <n v="25673831"/>
    <s v="ACC01"/>
    <x v="263"/>
    <d v="2026-06-29T17:24:08"/>
    <s v="06 a 08 dias"/>
    <s v="06 a 08 dias"/>
    <s v="6QJQ1Y"/>
    <s v="TMS"/>
    <s v="ALICE DA ROCHA"/>
    <s v="Nataly Franca Regal de Castro"/>
    <s v="Nataly Franca Regal de Castro"/>
    <x v="250"/>
    <n v="114103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34"/>
    <n v="0"/>
    <n v="0"/>
    <n v="0"/>
    <n v="0"/>
    <n v="0"/>
    <n v="0"/>
    <s v="Reserva importada do Sistema TMS. OS: 114103"/>
    <s v="Fornecedor não preenchido! (ACC01)"/>
    <s v="ARGO(TMS)"/>
    <s v="Falta de Fornecedor"/>
    <s v="Campo Fornecedor"/>
    <s v="Dados do Fornecedor"/>
    <s v="Qualidade dos dados"/>
    <s v="KONTIK BUSINESS TRAVEL"/>
  </r>
  <r>
    <n v="24852240"/>
    <n v="25689556"/>
    <s v="ACC01"/>
    <x v="264"/>
    <d v="2026-07-01T23:26:36"/>
    <s v="03 a 05 dias"/>
    <s v="03 a 05 dias"/>
    <s v="6R8QTZ"/>
    <s v="TMS"/>
    <s v="ROGERIO LIMA"/>
    <s v="Nataly Franca Regal de Castro"/>
    <s v="Nataly Franca Regal de Castro"/>
    <x v="251"/>
    <n v="118363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124"/>
    <n v="0"/>
    <n v="0"/>
    <n v="0"/>
    <n v="0"/>
    <n v="0"/>
    <n v="0"/>
    <s v="Reserva importada do Sistema TMS. OS: 118363"/>
    <s v="Fornecedor não preenchido! (ACC01)"/>
    <s v="ARGO(TMS)"/>
    <s v="Falta de Fornecedor"/>
    <s v="Campo Fornecedor"/>
    <s v="Dados do Fornecedor"/>
    <s v="Qualidade dos dados"/>
    <s v="KONTIK BUSINESS TRAVEL"/>
  </r>
  <r>
    <n v="24852244"/>
    <n v="25689563"/>
    <s v="ACC01"/>
    <x v="265"/>
    <d v="2026-07-01T23:26:36"/>
    <s v="03 a 05 dias"/>
    <s v="03 a 05 dias"/>
    <s v="6RWS51"/>
    <s v="TMS"/>
    <s v="ROMULO PASSOS SILVA"/>
    <s v="Leandra Vitória Gomes Santos"/>
    <s v="Leandra Vitória Gomes Santos"/>
    <x v="252"/>
    <n v="118336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35"/>
    <n v="0"/>
    <n v="0"/>
    <n v="0"/>
    <n v="0"/>
    <n v="0"/>
    <n v="0"/>
    <s v="Reserva importada do Sistema TMS. OS: 118336"/>
    <s v="Fornecedor não preenchido! (ACC01)"/>
    <s v="ARGO(TMS)"/>
    <s v="Falta de Fornecedor"/>
    <s v="Campo Fornecedor"/>
    <s v="Dados do Fornecedor"/>
    <s v="Qualidade dos dados"/>
    <s v="KONTIK BUSINESS TRAVEL"/>
  </r>
  <r>
    <n v="24856821"/>
    <n v="25694787"/>
    <s v="ACC01"/>
    <x v="266"/>
    <d v="2026-07-02T18:51:25"/>
    <s v="03 a 05 dias"/>
    <s v="03 a 05 dias"/>
    <s v="6R4S6S"/>
    <s v="TMS"/>
    <s v="LEANDRO BEZERRA SALES"/>
    <s v="BIANCA BARBOSA DA SILVA"/>
    <s v="BIANCA BARBOSA DA SILVA"/>
    <x v="253"/>
    <n v="118427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235"/>
    <n v="0"/>
    <n v="0"/>
    <n v="0"/>
    <n v="0"/>
    <n v="0"/>
    <n v="0"/>
    <s v="Reserva importada do Sistema TMS. OS: 118427"/>
    <s v="Fornecedor não preenchido! (ACC01)"/>
    <s v="ARGO(TMS)"/>
    <s v="Falta de Fornecedor"/>
    <s v="Campo Fornecedor"/>
    <s v="Dados do Fornecedor"/>
    <s v="Qualidade dos dados"/>
    <s v="KONTIK BUSINESS TRAVEL"/>
  </r>
  <r>
    <n v="24852214"/>
    <n v="25689526"/>
    <s v="ACC01"/>
    <x v="267"/>
    <d v="2026-07-01T23:25:48"/>
    <s v="03 a 05 dias"/>
    <s v="03 a 05 dias"/>
    <s v="6R3PT1"/>
    <s v="TMS"/>
    <s v="JONAS DOS SANTOS"/>
    <s v="Tms"/>
    <s v="Tms"/>
    <x v="254"/>
    <n v="118396"/>
    <s v="Rio de Janeiro / SDU"/>
    <s v="ON LINE"/>
    <s v="Invoice"/>
    <s v="Faturado"/>
    <s v="Carro"/>
    <s v="N"/>
    <s v="Grupo Ocean Pact"/>
    <s v="Oceanpact Logistica"/>
    <s v="-"/>
    <s v="-"/>
    <s v="-"/>
    <s v="KON-OPE-RIO-POS-OCEANPACT"/>
    <s v="-"/>
    <x v="236"/>
    <n v="0"/>
    <n v="0"/>
    <n v="0"/>
    <n v="0"/>
    <n v="0"/>
    <n v="0"/>
    <s v="Reserva importada do Sistema TMS. OS: 118396"/>
    <s v="Fornecedor não preenchido! (ACC01)"/>
    <s v="ARGO(TMS)"/>
    <s v="Falta de Fornecedor"/>
    <s v="Campo Fornecedor"/>
    <s v="Dados do Fornecedor"/>
    <s v="Qualidade dos dados"/>
    <s v="KONTIK BUSINESS TRAVEL"/>
  </r>
  <r>
    <n v="24845983"/>
    <n v="25682450"/>
    <s v="ACC01"/>
    <x v="268"/>
    <d v="2026-06-30T22:56:00"/>
    <s v="06 a 08 dias"/>
    <s v="06 a 08 dias"/>
    <s v="6Q5G79"/>
    <s v="TMS"/>
    <s v="FABIANO GIARETTA"/>
    <s v="Tms"/>
    <s v="Tms"/>
    <x v="255"/>
    <n v="8009"/>
    <s v="Dourados / DOU"/>
    <s v="ON LINE"/>
    <s v="Invoice"/>
    <s v="Faturado"/>
    <s v="Carro"/>
    <s v="N"/>
    <s v="Grupo Hpe"/>
    <s v="Hpe Automotores - Sao Paulo"/>
    <s v="-"/>
    <s v="-"/>
    <s v="-"/>
    <s v="KON-OPE-SAO-PVI-BTC-ARGO"/>
    <s v="-"/>
    <x v="237"/>
    <n v="0"/>
    <n v="0"/>
    <n v="0"/>
    <n v="0"/>
    <n v="0"/>
    <n v="0"/>
    <s v="Reserva importada do Sistema TMS. OS: 8009"/>
    <s v="Fornecedor não preenchido! (ACC01)"/>
    <s v="ARGO(TMS)"/>
    <s v="Falta de Fornecedor"/>
    <s v="Campo Fornecedor"/>
    <s v="Dados do Fornecedor"/>
    <s v="Qualidade dos dados"/>
    <s v="KONTIK BUSINESS TRAVEL"/>
  </r>
  <r>
    <n v="24860406"/>
    <n v="25698997"/>
    <s v="ACC01"/>
    <x v="269"/>
    <d v="2026-07-03T10:15:55"/>
    <s v="03 a 05 dias"/>
    <s v="03 a 05 dias"/>
    <n v="23523635"/>
    <s v="GOVER"/>
    <s v="Flavio Teixeira Neto"/>
    <s v="Gover"/>
    <s v="Gover"/>
    <x v="256"/>
    <n v="4716540"/>
    <s v="-"/>
    <s v="ON LINE"/>
    <s v="Cartão de crédito"/>
    <s v="Cartão de crédito"/>
    <s v="Hotel"/>
    <s v="N"/>
    <s v="Grupo Arcadis"/>
    <s v="Arcadis"/>
    <s v="-"/>
    <s v="-"/>
    <s v="-"/>
    <s v="FCM-OPE-SAO-PVI-ARCADIS"/>
    <s v="-"/>
    <x v="124"/>
    <n v="0"/>
    <n v="0"/>
    <n v="0"/>
    <n v="0"/>
    <n v="0"/>
    <n v="0"/>
    <s v="Reserva importada do sistema Gover. Id: 4716540"/>
    <s v="Fornecedor não preenchido! (ACC01)"/>
    <s v="GOVER"/>
    <s v="Falta de Fornecedor"/>
    <s v="Campo Fornecedor"/>
    <s v="Dados do Fornecedor"/>
    <s v="Sistêmico"/>
    <s v="GRUPO KONTIK"/>
  </r>
  <r>
    <n v="24852073"/>
    <n v="25689379"/>
    <s v="ACC01"/>
    <x v="270"/>
    <d v="2026-07-01T23:12:04"/>
    <s v="03 a 05 dias"/>
    <s v="03 a 05 dias"/>
    <s v="6R344Q"/>
    <s v="TMS"/>
    <s v="RODRIGO GALDINO"/>
    <s v="Tms"/>
    <s v="Tms"/>
    <x v="257"/>
    <n v="6518"/>
    <s v="Belo Horizonte / CNF"/>
    <s v="ON LINE"/>
    <s v="Invoice"/>
    <s v="Faturado"/>
    <s v="Carro"/>
    <s v="N"/>
    <s v="Grupo Epson"/>
    <s v="Epson"/>
    <s v="-"/>
    <s v="-"/>
    <s v="-"/>
    <s v="KON-OPE-SAO-PVI-BTC-ARGO"/>
    <s v="-"/>
    <x v="238"/>
    <n v="0"/>
    <n v="0"/>
    <n v="0"/>
    <n v="0"/>
    <n v="0"/>
    <n v="0"/>
    <s v="Reserva importada do Sistema TMS. OS: 6518"/>
    <s v="Fornecedor não preenchido! (ACC01)"/>
    <s v="ARGO(TMS)"/>
    <s v="Falta de Fornecedor"/>
    <s v="Campo Fornecedor"/>
    <s v="Dados do Fornecedor"/>
    <s v="Qualidade dos dados"/>
    <s v="KONTIK BUSINESS TRAVEL"/>
  </r>
  <r>
    <n v="24862064"/>
    <n v="25700979"/>
    <s v="ACC01"/>
    <x v="271"/>
    <d v="2026-07-03T14:33:17"/>
    <s v="03 a 05 dias"/>
    <s v="03 a 05 dias"/>
    <s v="EZEMYBT"/>
    <s v="SABRE"/>
    <s v="PIRES FREIRE/ISADORA"/>
    <s v="MARIA CECILIA PEREIRA SILVA"/>
    <s v="MARIA CECILIA PEREIRA SILVA"/>
    <x v="258"/>
    <s v="EZEMYB"/>
    <s v="-"/>
    <s v="ON LINE"/>
    <s v="Cartão de crédito"/>
    <s v="Cartão de crédito"/>
    <s v="Hotel"/>
    <s v="N"/>
    <s v="Grupo Livanova"/>
    <s v="Livanova Brasil"/>
    <s v="-"/>
    <s v="-"/>
    <s v="-"/>
    <s v="FCM-OPE-SAO-PVI-BTC"/>
    <s v="-"/>
    <x v="8"/>
    <n v="0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861374"/>
    <n v="25700170"/>
    <s v="ACC02"/>
    <x v="272"/>
    <d v="2026-07-03T12:26:20"/>
    <s v="03 a 05 dias"/>
    <s v="03 a 05 dias"/>
    <s v="LPPJIVT"/>
    <s v="SABRE"/>
    <s v="PACHECO/FLAVIO"/>
    <s v="CT"/>
    <s v="CT"/>
    <x v="259"/>
    <s v="LPPJIV"/>
    <s v="-"/>
    <s v="ON LINE"/>
    <s v="Cartão de crédito"/>
    <s v="Cartão de crédito"/>
    <s v="Hotel"/>
    <s v="N"/>
    <s v="Grupo Livanova"/>
    <s v="Livanova Brasil"/>
    <s v="-"/>
    <s v="-"/>
    <s v="-"/>
    <s v="FCM-OPE-SAO-PVI-BTC"/>
    <s v="-"/>
    <x v="239"/>
    <n v="84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861377"/>
    <n v="25700176"/>
    <s v="ACC01"/>
    <x v="273"/>
    <d v="2026-07-03T12:26:22"/>
    <s v="03 a 05 dias"/>
    <s v="03 a 05 dias"/>
    <s v="NFZPEWC"/>
    <s v="SABRE"/>
    <s v="KIMURA SHIMURA/LILIAN YUKIKO MRS"/>
    <s v="CT"/>
    <s v="CT"/>
    <x v="260"/>
    <s v="NFZPEW"/>
    <s v="PVH"/>
    <s v="ON LINE"/>
    <s v="Invoice"/>
    <s v="Faturado"/>
    <s v="Carro"/>
    <s v="N"/>
    <s v="Grupo Livanova"/>
    <s v="Livanova Brasil"/>
    <s v="-"/>
    <s v="-"/>
    <s v="-"/>
    <s v="FCM-OPE-SAO-PVI-BTC"/>
    <s v="-"/>
    <x v="240"/>
    <n v="393.76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37386"/>
    <n v="25674046"/>
    <s v="ACC01"/>
    <x v="274"/>
    <d v="2026-06-29T17:52:45"/>
    <s v="06 a 08 dias"/>
    <s v="06 a 08 dias"/>
    <s v="6Q16WH"/>
    <s v="TMS"/>
    <s v="WANDERLEI FERNANDO BRUNHOLI"/>
    <s v="Tms"/>
    <s v="Tms"/>
    <x v="261"/>
    <n v="44873"/>
    <s v="Presidente Prudente / PPB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241"/>
    <n v="0"/>
    <n v="0"/>
    <n v="0"/>
    <n v="0"/>
    <n v="0"/>
    <n v="0"/>
    <s v="Reserva importada do Sistema TMS. OS: 44873"/>
    <s v="Fornecedor não preenchido! (ACC01)"/>
    <s v="ARGO(TMS)"/>
    <s v="Falta de Fornecedor"/>
    <s v="Campo Fornecedor"/>
    <s v="Dados do Fornecedor"/>
    <s v="Qualidade dos dados"/>
    <s v="KONTIK BUSINESS TRAVEL"/>
  </r>
  <r>
    <n v="24862042"/>
    <n v="25700953"/>
    <s v="ACC01"/>
    <x v="275"/>
    <d v="2026-07-04T03:26:50"/>
    <s v="0 a 02 dias"/>
    <s v="03 a 05 dias"/>
    <n v="23564347"/>
    <s v="GOVER"/>
    <s v="Eder Machado Galvao"/>
    <s v="Gover"/>
    <s v="Gover"/>
    <x v="262"/>
    <n v="4717990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242"/>
    <n v="0"/>
    <n v="0"/>
    <n v="0"/>
    <n v="0"/>
    <n v="0"/>
    <n v="0"/>
    <s v="Reserva importada do sistema Gover. Id: 4717990"/>
    <s v="Fornecedor não preenchido! (ACC01)"/>
    <s v="GOVER"/>
    <s v="Falta de Fornecedor"/>
    <s v="Campo Fornecedor"/>
    <s v="Dados do Fornecedor"/>
    <s v="Sistêmico"/>
    <s v="GRUPO KONTIK"/>
  </r>
  <r>
    <n v="24854574"/>
    <n v="25692200"/>
    <s v="ACC02"/>
    <x v="276"/>
    <d v="2026-07-03T10:00:50"/>
    <s v="03 a 05 dias"/>
    <s v="03 a 05 dias"/>
    <s v="h4716838a"/>
    <s v="GOVER"/>
    <s v="Euton Ribeiro de Franca Junior"/>
    <s v="Gover"/>
    <s v="Gover"/>
    <x v="263"/>
    <n v="4716838"/>
    <s v="-"/>
    <s v="OFF LINE"/>
    <s v="Invoice"/>
    <s v="Faturado"/>
    <s v="Hotel"/>
    <s v="N"/>
    <s v="Grupo British American Tobacco"/>
    <s v="Bat | Souza Cruz - Matriz"/>
    <s v="-"/>
    <s v="-"/>
    <s v="-"/>
    <s v="FCM-OPE-SAO-PVI-BAT"/>
    <s v="-"/>
    <x v="243"/>
    <n v="0"/>
    <n v="0"/>
    <n v="0"/>
    <n v="0"/>
    <n v="0"/>
    <n v="0"/>
    <s v="Reserva importada do sistema Gover. Id: 4716838"/>
    <s v="Fornecedor não preenchido! (ACC02)"/>
    <s v="GOVER"/>
    <s v="Falta de Fornecedor"/>
    <s v="Campo Fornecedor"/>
    <s v="Dados do Fornecedor"/>
    <s v="Sistêmico"/>
    <s v="GRUPO KONTIK"/>
  </r>
  <r>
    <n v="24854574"/>
    <n v="25692201"/>
    <s v="ACC03"/>
    <x v="276"/>
    <d v="2026-07-03T10:00:50"/>
    <s v="03 a 05 dias"/>
    <s v="03 a 05 dias"/>
    <s v="h4716838a"/>
    <s v="GOVER"/>
    <s v="Wanderson Gama da Silva"/>
    <s v="Gover"/>
    <s v="Gover"/>
    <x v="263"/>
    <n v="4716838"/>
    <s v="-"/>
    <s v="OFF LINE"/>
    <s v="Invoice"/>
    <s v="Faturado"/>
    <s v="Hotel"/>
    <s v="N"/>
    <s v="Grupo British American Tobacco"/>
    <s v="Bat | Souza Cruz - Matriz"/>
    <s v="-"/>
    <s v="-"/>
    <s v="-"/>
    <s v="FCM-OPE-SAO-PVI-BAT"/>
    <s v="-"/>
    <x v="243"/>
    <n v="0"/>
    <n v="0"/>
    <n v="0"/>
    <n v="0"/>
    <n v="0"/>
    <n v="0"/>
    <s v="Reserva importada do sistema Gover. Id: 4716838"/>
    <s v="Fornecedor não preenchido! (ACC02)"/>
    <s v="GOVER"/>
    <s v="Falta de Fornecedor"/>
    <s v="Campo Fornecedor"/>
    <s v="Dados do Fornecedor"/>
    <s v="Sistêmico"/>
    <s v="GRUPO KONTIK"/>
  </r>
  <r>
    <n v="24861376"/>
    <n v="25700174"/>
    <s v="ACC02"/>
    <x v="277"/>
    <d v="2026-07-03T12:26:21"/>
    <s v="03 a 05 dias"/>
    <s v="03 a 05 dias"/>
    <s v="NFZPEWT"/>
    <s v="SABRE"/>
    <s v="KIMURA SHIMURA/LILIAN YUKIKO MRS"/>
    <s v="CT"/>
    <s v="CT"/>
    <x v="260"/>
    <s v="NFZPEW"/>
    <s v="-"/>
    <s v="ON LINE"/>
    <s v="Cartão de crédito"/>
    <s v="Cartão de crédito"/>
    <s v="Hotel"/>
    <s v="N"/>
    <s v="Grupo Livanova"/>
    <s v="Livanova Brasil"/>
    <s v="-"/>
    <s v="-"/>
    <s v="-"/>
    <s v="FCM-OPE-SAO-PVI-BTC"/>
    <s v="-"/>
    <x v="239"/>
    <n v="84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838187"/>
    <n v="25674931"/>
    <s v="ACC02"/>
    <x v="278"/>
    <d v="2026-07-03T09:59:01"/>
    <s v="03 a 05 dias"/>
    <s v="06 a 08 dias"/>
    <s v="h4715519a"/>
    <s v="GOVER"/>
    <s v="Mauricio Gabriel Souza Heinen"/>
    <s v="Gover"/>
    <s v="Gover"/>
    <x v="264"/>
    <n v="4715519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3"/>
    <n v="0"/>
    <n v="0"/>
    <n v="0"/>
    <n v="0"/>
    <n v="0"/>
    <n v="0"/>
    <s v="Reserva importada do sistema Gover. Id: 4715519"/>
    <s v="Fornecedor não preenchido! (ACC02)"/>
    <s v="GOVER"/>
    <s v="Falta de Fornecedor"/>
    <s v="Campo Fornecedor"/>
    <s v="Dados do Fornecedor"/>
    <s v="Sistêmico"/>
    <s v="GRUPO KONTIK"/>
  </r>
  <r>
    <n v="24860343"/>
    <n v="25698923"/>
    <s v="ACC01"/>
    <x v="279"/>
    <d v="2026-07-03T10:12:18"/>
    <s v="03 a 05 dias"/>
    <s v="03 a 05 dias"/>
    <n v="23571436"/>
    <s v="WOOBA"/>
    <s v="DOS REIS CALDERIM/CHARLY WASHINGTON"/>
    <s v="Fabiane de Souza Mantovani"/>
    <s v="Fabiane de Souza Mantovani"/>
    <x v="265"/>
    <s v="-"/>
    <s v="-"/>
    <s v="OFF LINE"/>
    <s v="?"/>
    <s v="?"/>
    <s v="Hotel"/>
    <s v="N"/>
    <s v="Grupo Constellation"/>
    <s v="Constellation"/>
    <s v="-"/>
    <s v="-"/>
    <s v="-"/>
    <s v="KON-OPE-RIO-PVI-CONSTELLATION"/>
    <s v="-"/>
    <x v="244"/>
    <n v="0"/>
    <n v="0"/>
    <n v="0"/>
    <n v="0"/>
    <n v="30.55"/>
    <n v="0"/>
    <s v="Reserva importada do Sistema WOOBA. Id: 13790"/>
    <s v="Centro de custo não preenchido! (ACC01) Requisição não preenchida! (ACC01)"/>
    <s v="WOOBA"/>
    <s v="Mais de um campo não preenchido"/>
    <s v="Falta de informação Gerencial"/>
    <s v="Dados do Fornecedor"/>
    <s v="Qualidade dos dados"/>
    <s v="KONTIK BUSINESS TRAVEL"/>
  </r>
  <r>
    <n v="24860344"/>
    <n v="25698924"/>
    <s v="ACC01"/>
    <x v="280"/>
    <d v="2026-07-03T10:12:18"/>
    <s v="03 a 05 dias"/>
    <s v="03 a 05 dias"/>
    <n v="23571525"/>
    <s v="WOOBA"/>
    <s v="FRAGA GODOY/VALBER"/>
    <s v="Fabiane de Souza Mantovani"/>
    <s v="Fabiane de Souza Mantovani"/>
    <x v="266"/>
    <s v="-"/>
    <s v="-"/>
    <s v="OFF LINE"/>
    <s v="?"/>
    <s v="?"/>
    <s v="Hotel"/>
    <s v="N"/>
    <s v="Grupo Constellation"/>
    <s v="Constellation"/>
    <s v="-"/>
    <s v="-"/>
    <s v="-"/>
    <s v="KON-OPE-RIO-PVI-CONSTELLATION"/>
    <s v="-"/>
    <x v="244"/>
    <n v="0"/>
    <n v="0"/>
    <n v="0"/>
    <n v="0"/>
    <n v="30.55"/>
    <n v="0"/>
    <s v="Reserva importada do Sistema WOOBA. Id: 13791"/>
    <s v="Centro de custo não preenchido! (ACC01) Requisição não preenchida! (ACC01)"/>
    <s v="WOOBA"/>
    <s v="Mais de um campo não preenchido"/>
    <s v="Falta de informação Gerencial"/>
    <s v="Dados do Fornecedor"/>
    <s v="Qualidade dos dados"/>
    <s v="KONTIK BUSINESS TRAVEL"/>
  </r>
  <r>
    <n v="24853504"/>
    <n v="25690986"/>
    <s v="ACC01"/>
    <x v="281"/>
    <d v="2026-07-02T09:54:11"/>
    <s v="03 a 05 dias"/>
    <s v="03 a 05 dias"/>
    <n v="23553743"/>
    <s v="WOOBA"/>
    <s v="DE MORAES/ELIO MASLOWSKI"/>
    <s v="Fabiane de Souza Mantovani"/>
    <s v="Fabiane de Souza Mantovani"/>
    <x v="267"/>
    <s v="-"/>
    <s v="-"/>
    <s v="OFF LINE"/>
    <s v="?"/>
    <s v="?"/>
    <s v="Hotel"/>
    <s v="N"/>
    <s v="Grupo Constellation"/>
    <s v="Constellation"/>
    <s v="-"/>
    <s v="-"/>
    <s v="-"/>
    <s v="KON-OPE-RIO-PVI-CONSTELLATION"/>
    <s v="-"/>
    <x v="245"/>
    <n v="0"/>
    <n v="0"/>
    <n v="0"/>
    <n v="0"/>
    <n v="156.97"/>
    <n v="0"/>
    <s v="Reserva importada do Sistema WOOBA. Id: 13714"/>
    <s v="Centro de custo não preenchido! (ACC01) Requisição não preenchida! (ACC01)"/>
    <s v="WOOBA"/>
    <s v="Mais de um campo não preenchido"/>
    <s v="Falta de informação Gerencial"/>
    <s v="Dados do Fornecedor"/>
    <s v="Qualidade dos dados"/>
    <s v="KONTIK BUSINESS TRAVEL"/>
  </r>
  <r>
    <n v="24857056"/>
    <n v="25695032"/>
    <s v="ACC01"/>
    <x v="282"/>
    <d v="2026-07-02T17:51:16"/>
    <s v="03 a 05 dias"/>
    <s v="03 a 05 dias"/>
    <n v="23566997"/>
    <s v="WOOBA"/>
    <s v="FARIAS/MARCUS"/>
    <s v="Fabiane de Souza Mantovani"/>
    <s v="Fabiane de Souza Mantovani"/>
    <x v="268"/>
    <s v="-"/>
    <s v="-"/>
    <s v="OFF LINE"/>
    <s v="?"/>
    <s v="?"/>
    <s v="Hotel"/>
    <s v="N"/>
    <s v="Grupo Constellation"/>
    <s v="Constellation"/>
    <s v="-"/>
    <s v="-"/>
    <s v="-"/>
    <s v="KON-OPE-RIO-PVI-CONSTELLATION"/>
    <s v="-"/>
    <x v="246"/>
    <n v="0"/>
    <n v="0"/>
    <n v="0"/>
    <n v="0"/>
    <n v="11.21"/>
    <n v="0"/>
    <s v="Reserva importada do Sistema WOOBA. Id: 13775"/>
    <s v="Centro de custo não preenchido! (ACC01) Requisição não preenchida! (ACC01)"/>
    <s v="WOOBA"/>
    <s v="Mais de um campo não preenchido"/>
    <s v="Falta de informação Gerencial"/>
    <s v="Dados do Fornecedor"/>
    <s v="Qualidade dos dados"/>
    <s v="KONTIK BUSINESS TRAVEL"/>
  </r>
  <r>
    <n v="24847429"/>
    <n v="25683887"/>
    <s v="ACC02"/>
    <x v="283"/>
    <d v="2026-07-03T10:12:22"/>
    <s v="03 a 05 dias"/>
    <s v="03 a 05 dias"/>
    <s v="HPSCOMT"/>
    <s v="SABRE"/>
    <s v="WOITECHEN/ANDERSON"/>
    <s v="WU"/>
    <s v="WU"/>
    <x v="269"/>
    <s v="HPSCOM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247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847429"/>
    <n v="25683888"/>
    <s v="ACC03"/>
    <x v="283"/>
    <d v="2026-07-03T10:12:22"/>
    <s v="03 a 05 dias"/>
    <s v="03 a 05 dias"/>
    <s v="HPSCOMT"/>
    <s v="SABRE"/>
    <s v="WOITECHEN/ANDERSON"/>
    <s v="WU"/>
    <s v="WU"/>
    <x v="269"/>
    <s v="HPSCOM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248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847429"/>
    <n v="25683889"/>
    <s v="ACC04"/>
    <x v="283"/>
    <d v="2026-07-03T10:12:22"/>
    <s v="03 a 05 dias"/>
    <s v="03 a 05 dias"/>
    <s v="HPSCOMT"/>
    <s v="SABRE"/>
    <s v="WOITECHEN/ANDERSON"/>
    <s v="WU"/>
    <s v="WU"/>
    <x v="269"/>
    <s v="HPSCOM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249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840162"/>
    <n v="25676662"/>
    <s v="ACC01"/>
    <x v="284"/>
    <d v="2026-07-06T01:15:42"/>
    <s v="0 a 02 dias"/>
    <s v="06 a 08 dias"/>
    <s v="6Q3637"/>
    <s v="TMS"/>
    <s v="EDLEA ASSUNCAO"/>
    <s v="Tms"/>
    <s v="Tms"/>
    <x v="270"/>
    <n v="16870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250"/>
    <n v="8.6199999999999992"/>
    <n v="0"/>
    <n v="0"/>
    <n v="0"/>
    <n v="0"/>
    <n v="0"/>
    <s v="Reserva importada do Sistema TMS. OS: 16870"/>
    <s v="Fornecedor não preenchido! (ACC01)"/>
    <s v="ARGO(TMS)"/>
    <s v="Falta de Fornecedor"/>
    <s v="Campo Fornecedor"/>
    <s v="Dados do Fornecedor"/>
    <s v="Qualidade dos dados"/>
    <s v="KONTIK BUSINESS TRAVEL"/>
  </r>
  <r>
    <n v="24860812"/>
    <n v="25699514"/>
    <s v="ACC01"/>
    <x v="285"/>
    <d v="2026-07-03T11:33:18"/>
    <s v="03 a 05 dias"/>
    <s v="03 a 05 dias"/>
    <s v="6RFUVD"/>
    <s v="TMS"/>
    <s v="JORGE EDUARDO SANTOS"/>
    <s v="Tms"/>
    <s v="Tms"/>
    <x v="271"/>
    <n v="17121"/>
    <s v="Belo Horizonte / CNF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251"/>
    <n v="0"/>
    <n v="0"/>
    <n v="0"/>
    <n v="0"/>
    <n v="0"/>
    <n v="0"/>
    <s v="Reserva importada do Sistema TMS. OS: 17121"/>
    <s v="Fornecedor não preenchido! (ACC01)"/>
    <s v="ARGO(TMS)"/>
    <s v="Falta de Fornecedor"/>
    <s v="Campo Fornecedor"/>
    <s v="Dados do Fornecedor"/>
    <s v="Qualidade dos dados"/>
    <s v="KONTIK BUSINESS TRAVEL"/>
  </r>
  <r>
    <n v="24839202"/>
    <n v="25675959"/>
    <s v="ACC01"/>
    <x v="286"/>
    <d v="2026-06-29T22:32:51"/>
    <s v="06 a 08 dias"/>
    <s v="06 a 08 dias"/>
    <s v="6QHQLY"/>
    <s v="TMS"/>
    <s v="LUCAS CENCI ARAGAO"/>
    <s v="Tms"/>
    <s v="Tms"/>
    <x v="272"/>
    <n v="68466"/>
    <s v="São Paulo / CGH"/>
    <s v="ON LINE"/>
    <s v="Invoice"/>
    <s v="Faturado"/>
    <s v="Carro"/>
    <s v="N"/>
    <s v="Grupo Motiva"/>
    <s v="Motiva Filial"/>
    <s v="-"/>
    <s v="-"/>
    <s v="-"/>
    <s v="KON-OPE-SAO-PVI-CCR"/>
    <s v="-"/>
    <x v="252"/>
    <n v="0"/>
    <n v="0"/>
    <n v="0"/>
    <n v="0"/>
    <n v="0"/>
    <n v="0"/>
    <s v="Reserva importada do Sistema TMS. OS: 68466"/>
    <s v="Fornecedor não preenchido! (ACC01)"/>
    <s v="ARGO(TMS)"/>
    <s v="Falta de Fornecedor"/>
    <s v="Campo Fornecedor"/>
    <s v="Dados do Fornecedor"/>
    <s v="Qualidade dos dados"/>
    <s v="KONTIK BUSINESS TRAVEL"/>
  </r>
  <r>
    <n v="24849742"/>
    <n v="25686504"/>
    <s v="ACC01"/>
    <x v="287"/>
    <d v="2026-07-01T17:32:44"/>
    <s v="03 a 05 dias"/>
    <s v="03 a 05 dias"/>
    <s v="6R7SN0"/>
    <s v="TMS"/>
    <s v="ALEXANDRE APOSTOLOPOULOS"/>
    <s v="Tms"/>
    <s v="Tms"/>
    <x v="273"/>
    <n v="68713"/>
    <s v="Sao Bernardo do Campo / SBC"/>
    <s v="ON LINE"/>
    <s v="Invoice"/>
    <s v="Faturado"/>
    <s v="Carro"/>
    <s v="N"/>
    <s v="Grupo Motiva"/>
    <s v="Motiva Filial"/>
    <s v="-"/>
    <s v="-"/>
    <s v="-"/>
    <s v="KON-OPE-SAO-PVI-CCR"/>
    <s v="-"/>
    <x v="253"/>
    <n v="0"/>
    <n v="0"/>
    <n v="0"/>
    <n v="0"/>
    <n v="0"/>
    <n v="0"/>
    <s v="Reserva importada do Sistema TMS. OS: 68713"/>
    <s v="Fornecedor não preenchido! (ACC01)"/>
    <s v="ARGO(TMS)"/>
    <s v="Falta de Fornecedor"/>
    <s v="Campo Fornecedor"/>
    <s v="Dados do Fornecedor"/>
    <s v="Qualidade dos dados"/>
    <s v="KONTIK BUSINESS TRAVEL"/>
  </r>
  <r>
    <n v="24856633"/>
    <n v="25694587"/>
    <s v="ACC01"/>
    <x v="288"/>
    <d v="2026-07-02T18:21:04"/>
    <s v="03 a 05 dias"/>
    <s v="03 a 05 dias"/>
    <s v="6RAWGW"/>
    <s v="TMS"/>
    <s v="RICARDO BERCOT GALA"/>
    <s v="Tms"/>
    <s v="Tms"/>
    <x v="274"/>
    <n v="68820"/>
    <s v="Belo Horizonte / CNF"/>
    <s v="ON LINE"/>
    <s v="Invoice"/>
    <s v="Faturado"/>
    <s v="Carro"/>
    <s v="N"/>
    <s v="Grupo Motiva"/>
    <s v="Bloco Central"/>
    <s v="-"/>
    <s v="-"/>
    <s v="-"/>
    <s v="KON-OPE-SAO-PVI-CCR"/>
    <s v="-"/>
    <x v="254"/>
    <n v="0"/>
    <n v="0"/>
    <n v="0"/>
    <n v="0"/>
    <n v="0"/>
    <n v="0"/>
    <s v="Reserva importada do Sistema TMS. OS: 68820"/>
    <s v="Fornecedor não preenchido! (ACC01)"/>
    <s v="ARGO(TMS)"/>
    <s v="Falta de Fornecedor"/>
    <s v="Campo Fornecedor"/>
    <s v="Dados do Fornecedor"/>
    <s v="Qualidade dos dados"/>
    <s v="KONTIK BUSINESS TRAVEL"/>
  </r>
  <r>
    <n v="24846297"/>
    <n v="25682784"/>
    <s v="ACC01"/>
    <x v="289"/>
    <d v="2026-06-30T23:38:22"/>
    <s v="06 a 08 dias"/>
    <s v="06 a 08 dias"/>
    <s v="6Q13NN"/>
    <s v="TMS"/>
    <s v="SILVANA SILVA"/>
    <s v="Tms"/>
    <s v="Tms"/>
    <x v="275"/>
    <n v="4799"/>
    <s v="Rio de Janeiro / SDU"/>
    <s v="ON LINE"/>
    <s v="Invoice"/>
    <s v="Faturado"/>
    <s v="Carro"/>
    <s v="N"/>
    <s v="Grupo Yamaha"/>
    <s v="Banco Yamaha Motor do Brasil Sa Cj"/>
    <s v="-"/>
    <s v="-"/>
    <s v="-"/>
    <s v="KON-OPE-SAO-PVI-YAMAHA"/>
    <s v="-"/>
    <x v="255"/>
    <n v="0"/>
    <n v="0"/>
    <n v="0"/>
    <n v="0"/>
    <n v="0"/>
    <n v="0"/>
    <s v="Reserva importada do Sistema TMS. OS: 4799"/>
    <s v="Fornecedor não preenchido! (ACC01)"/>
    <s v="ARGO(TMS)"/>
    <s v="Falta de Fornecedor"/>
    <s v="Campo Fornecedor"/>
    <s v="Dados do Fornecedor"/>
    <s v="Qualidade dos dados"/>
    <s v="KONTIK BUSINESS TRAVEL"/>
  </r>
  <r>
    <n v="24837414"/>
    <n v="25674074"/>
    <s v="ACC01"/>
    <x v="290"/>
    <d v="2026-06-29T17:57:59"/>
    <s v="06 a 08 dias"/>
    <s v="06 a 08 dias"/>
    <s v="6Q8J26"/>
    <s v="TMS"/>
    <s v="JEFERSON BEU"/>
    <s v="Tms"/>
    <s v="Tms"/>
    <x v="276"/>
    <n v="4706"/>
    <s v="-"/>
    <s v="ON LINE"/>
    <s v="Cartão de crédito"/>
    <s v="Faturado"/>
    <s v="Hotel"/>
    <s v="N"/>
    <s v="Grupo Yamaha"/>
    <s v="Yamaha Motor da Amazonia Ltda - Inativo"/>
    <s v="-"/>
    <s v="-"/>
    <s v="-"/>
    <s v="KON-OPE-SAO-PVI-YAMAHA"/>
    <s v="-"/>
    <x v="256"/>
    <n v="0"/>
    <n v="0"/>
    <n v="0"/>
    <n v="0"/>
    <n v="0"/>
    <n v="0"/>
    <s v="Reserva importada do Sistema TMS. OS: 4706"/>
    <s v="Fornecedor não preenchido! (ACC01)"/>
    <s v="ARGO(TMS)"/>
    <s v="Falta de Fornecedor"/>
    <s v="Campo Fornecedor"/>
    <s v="Dados do Fornecedor"/>
    <s v="Sistêmico"/>
    <s v="GRUPO KONTIK"/>
  </r>
  <r>
    <n v="24835145"/>
    <n v="25671912"/>
    <s v="ACC01"/>
    <x v="291"/>
    <d v="2026-06-29T10:44:06"/>
    <s v="06 a 08 dias"/>
    <s v="06 a 08 dias"/>
    <s v="6Q51C5"/>
    <s v="TMS"/>
    <s v="ERIKA PIOVEZAN"/>
    <s v="BRUNA SPOSITO SOUSA DA SILVA"/>
    <s v="BRUNA SPOSITO SOUSA DA SILVA"/>
    <x v="277"/>
    <n v="4573"/>
    <s v="Belo Horizonte / CNF"/>
    <s v="OFF LINE"/>
    <s v="Invoice"/>
    <s v="Faturado"/>
    <s v="Carro"/>
    <s v="N"/>
    <s v="Grupo Yamaha"/>
    <s v="Yamaha Motor do Brasil Ltda"/>
    <s v="-"/>
    <s v="-"/>
    <s v="-"/>
    <s v="KON-OPE-SAO-PVI-YAMAHA"/>
    <s v="-"/>
    <x v="257"/>
    <n v="0"/>
    <n v="81.14"/>
    <n v="0"/>
    <n v="0"/>
    <n v="0"/>
    <n v="0"/>
    <s v="Reserva importada do Sistema TMS. OS: 4573"/>
    <s v="Fornecedor não preenchido! (ACC01)"/>
    <s v="ARGO(TMS)"/>
    <s v="Falta de Fornecedor"/>
    <s v="Campo Fornecedor"/>
    <s v="Dados do Fornecedor"/>
    <s v="Qualidade dos dados"/>
    <s v="KONTIK BUSINESS TRAVEL"/>
  </r>
  <r>
    <n v="24861500"/>
    <n v="25700302"/>
    <s v="ACC01"/>
    <x v="292"/>
    <d v="2026-07-03T12:48:58"/>
    <s v="03 a 05 dias"/>
    <s v="03 a 05 dias"/>
    <s v="6RQGUC"/>
    <s v="TMS"/>
    <s v="EVANIA PEREIRA DA SILVA"/>
    <s v="CORA TORLAI CIRINO"/>
    <s v="CORA TORLAI CIRINO"/>
    <x v="242"/>
    <n v="9627"/>
    <s v="Londrina / PR, Brasil (LDB)"/>
    <s v="OFF LINE"/>
    <s v="Pagamento direto"/>
    <s v="Pagamento direto"/>
    <s v="Carro"/>
    <s v="N"/>
    <s v="Grupo Syngenta"/>
    <s v="Syngenta Seeds"/>
    <s v="-"/>
    <s v="-"/>
    <s v="-"/>
    <s v="FCM-OPE-POA-PVI-SYNGENTA"/>
    <s v="-"/>
    <x v="258"/>
    <n v="0"/>
    <n v="0"/>
    <n v="0"/>
    <n v="0"/>
    <n v="0"/>
    <n v="0"/>
    <s v="Reserva importada do Sistema TMS. OS: 9627"/>
    <s v="Fornecedor não preenchido! (ACC01)"/>
    <s v="ARGO(TMS)"/>
    <s v="Falta de Fornecedor"/>
    <s v="Campo Fornecedor"/>
    <s v="Dados do Fornecedor"/>
    <s v="Qualidade dos dados"/>
    <s v="KONTIK BUSINESS TRAVEL"/>
  </r>
  <r>
    <n v="24843742"/>
    <n v="25680065"/>
    <s v="ACC01"/>
    <x v="293"/>
    <d v="2026-06-30T18:32:55"/>
    <s v="06 a 08 dias"/>
    <s v="06 a 08 dias"/>
    <s v="6Q8HOI"/>
    <s v="TMS"/>
    <s v="ERIC TORRES"/>
    <s v="Cintya Cocco Figueiredo"/>
    <s v="Cintya Cocco Figueiredo"/>
    <x v="278"/>
    <n v="1451"/>
    <s v="-"/>
    <s v="OFF LINE"/>
    <s v="Cartão de crédito"/>
    <s v="Faturado"/>
    <s v="Hotel"/>
    <s v="N"/>
    <s v="Grupo Tecban"/>
    <s v="Tbsi"/>
    <s v="-"/>
    <s v="-"/>
    <s v="-"/>
    <s v="KON-OPE-SAO-PVI-BTC ARGO"/>
    <s v="-"/>
    <x v="259"/>
    <n v="0"/>
    <n v="0"/>
    <n v="0"/>
    <n v="0"/>
    <n v="0"/>
    <n v="0"/>
    <s v="Reserva importada do Sistema TMS. OS: 1451"/>
    <s v="Fornecedor não preenchido! (ACC01)"/>
    <s v="ARGO(TMS)"/>
    <s v="Falta de Fornecedor"/>
    <s v="Campo Fornecedor"/>
    <s v="Dados do Fornecedor"/>
    <s v="Qualidade dos dados"/>
    <s v="KONTIK BUSINESS TRAVEL"/>
  </r>
  <r>
    <n v="24844411"/>
    <n v="25680797"/>
    <s v="ACC01"/>
    <x v="294"/>
    <d v="2026-06-30T19:26:35"/>
    <s v="06 a 08 dias"/>
    <s v="06 a 08 dias"/>
    <s v="6QRLSL"/>
    <s v="TMS"/>
    <s v="THAIS CARVALHO"/>
    <s v="Renata Claudia de Oliveira"/>
    <s v="Renata Claudia de Oliveira"/>
    <x v="279"/>
    <n v="3784"/>
    <s v="Sao Bernardo do Campo / SBC"/>
    <s v="OFF LINE"/>
    <s v="Cartão de crédito"/>
    <s v="Faturado"/>
    <s v="Carro"/>
    <s v="N"/>
    <s v="Grupo PWC"/>
    <s v="Pwcsbc Strategy&amp; do Brasil"/>
    <s v="-"/>
    <s v="-"/>
    <s v="-"/>
    <s v="KON-OPE-SAO-PVI-PWC"/>
    <s v="-"/>
    <x v="260"/>
    <n v="0"/>
    <n v="0"/>
    <n v="0"/>
    <n v="0"/>
    <n v="0"/>
    <n v="0"/>
    <s v="Reserva importada do Sistema TMS. OS: 3784"/>
    <s v="Fornecedor não preenchido! (ACC01)"/>
    <s v="ARGO(TMS)"/>
    <s v="Falta de Fornecedor"/>
    <s v="Campo Fornecedor"/>
    <s v="Dados do Fornecedor"/>
    <s v="Qualidade dos dados"/>
    <s v="KONTIK BUSINESS TRAVEL"/>
  </r>
  <r>
    <n v="24857213"/>
    <n v="25695210"/>
    <s v="ACC01"/>
    <x v="295"/>
    <d v="2026-07-02T19:48:41"/>
    <s v="03 a 05 dias"/>
    <s v="03 a 05 dias"/>
    <s v="6RNR82"/>
    <s v="TMS"/>
    <s v="JANAINA OLIVEIRA"/>
    <s v="Ercy Iwamoto"/>
    <s v="Ercy Iwamoto"/>
    <x v="280"/>
    <n v="3828"/>
    <s v="-"/>
    <s v="OFF LINE"/>
    <s v="Cartão de crédito"/>
    <s v="Cartão de crédito"/>
    <s v="Hotel"/>
    <s v="N"/>
    <s v="Grupo PWC"/>
    <s v="Pwcsbc Strategy&amp; do Brasil"/>
    <s v="-"/>
    <s v="-"/>
    <s v="-"/>
    <s v="KON-OPE-SAO-PVI-PWC"/>
    <s v="-"/>
    <x v="261"/>
    <n v="0"/>
    <n v="0"/>
    <n v="0"/>
    <n v="0"/>
    <n v="0"/>
    <n v="0"/>
    <s v="Reserva importada do Sistema TMS. OS: 3828"/>
    <s v="Fornecedor não preenchido! (ACC01)"/>
    <s v="ARGO(TMS)"/>
    <s v="Falta de Fornecedor"/>
    <s v="Campo Fornecedor"/>
    <s v="Dados do Fornecedor"/>
    <s v="Qualidade dos dados"/>
    <s v="KONTIK BUSINESS TRAVEL"/>
  </r>
  <r>
    <n v="24862099"/>
    <n v="25701031"/>
    <s v="ACC01"/>
    <x v="296"/>
    <d v="2026-07-03T14:35:26"/>
    <s v="03 a 05 dias"/>
    <s v="03 a 05 dias"/>
    <s v="QBSTBX"/>
    <s v="GOVER"/>
    <s v="PAULO ROBERTO FILHO"/>
    <s v="Gover"/>
    <s v="Gover"/>
    <x v="281"/>
    <n v="4718203"/>
    <s v="-"/>
    <s v="OFF LINE"/>
    <s v="Cartão de crédito"/>
    <s v="Cartão de crédito"/>
    <s v="Hotel"/>
    <s v="N"/>
    <s v="GRUPO ADM ARCHER DANIELS MIDLAND"/>
    <s v="Adm do Brasil Ltda"/>
    <s v="-"/>
    <s v="-"/>
    <s v="-"/>
    <s v="FCM-OPE-SAO-PVI-ADM"/>
    <s v="-"/>
    <x v="262"/>
    <n v="50.44"/>
    <n v="0"/>
    <n v="0"/>
    <n v="0"/>
    <n v="0"/>
    <n v="0"/>
    <s v="Reserva importada do sistema Gover. Id: 4718203"/>
    <s v="Fornecedor não preenchido! (ACC01)"/>
    <s v="GOVER"/>
    <s v="Falta de Fornecedor"/>
    <s v="Campo Fornecedor"/>
    <s v="Dados do Fornecedor"/>
    <s v="Sistêmico"/>
    <s v="GRUPO KONTIK"/>
  </r>
  <r>
    <n v="24861750"/>
    <n v="25700590"/>
    <s v="ACC01"/>
    <x v="297"/>
    <d v="2026-07-03T13:42:27"/>
    <s v="03 a 05 dias"/>
    <s v="03 a 05 dias"/>
    <s v="ADUYNHT"/>
    <s v="SABRE"/>
    <s v="YUKUYAMA/MEGUMI NISHITANI DR"/>
    <s v="Felipe Anderson da Silva"/>
    <s v="Felipe Anderson da Silva"/>
    <x v="282"/>
    <s v="3NVH"/>
    <s v="-"/>
    <s v="OFF LINE"/>
    <s v="Pagamento direto"/>
    <s v="Pagamento direto"/>
    <s v="Hotel"/>
    <s v="N"/>
    <s v="Grupo Ingredion"/>
    <s v="Ingredion Br"/>
    <s v="-"/>
    <s v="-"/>
    <s v="-"/>
    <s v="FCM-OPE-SAO-PVI-INGREDION"/>
    <s v="-"/>
    <x v="263"/>
    <n v="358.0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61750"/>
    <n v="25700591"/>
    <s v="ACC02"/>
    <x v="297"/>
    <d v="2026-07-03T13:42:27"/>
    <s v="03 a 05 dias"/>
    <s v="03 a 05 dias"/>
    <s v="ADUYNHT"/>
    <s v="SABRE"/>
    <s v="YUKUYAMA/MEGUMI NISHITANI DR"/>
    <s v="Felipe Anderson da Silva"/>
    <s v="Felipe Anderson da Silva"/>
    <x v="282"/>
    <s v="3NVH"/>
    <s v="-"/>
    <s v="OFF LINE"/>
    <s v="Pagamento direto"/>
    <s v="Pagamento direto"/>
    <s v="Hotel"/>
    <s v="N"/>
    <s v="Grupo Ingredion"/>
    <s v="Ingredion Br"/>
    <s v="-"/>
    <s v="-"/>
    <s v="-"/>
    <s v="FCM-OPE-SAO-PVI-INGREDION"/>
    <s v="-"/>
    <x v="264"/>
    <n v="93.9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61753"/>
    <n v="25700598"/>
    <s v="ACC01"/>
    <x v="298"/>
    <d v="2026-07-03T13:42:27"/>
    <s v="03 a 05 dias"/>
    <s v="03 a 05 dias"/>
    <s v="WTBGYAT"/>
    <s v="SABRE"/>
    <s v="LEVARD/NICOLAS HUBERT MARIE"/>
    <s v="Felipe Anderson da Silva"/>
    <s v="Felipe Anderson da Silva"/>
    <x v="283"/>
    <n v="9999"/>
    <s v="-"/>
    <s v="OFF LINE"/>
    <s v="Cartão de crédito"/>
    <s v="Cartão de crédito"/>
    <s v="Hotel"/>
    <s v="N"/>
    <s v="Grupo Ingredion"/>
    <s v="Ingredion Br"/>
    <s v="-"/>
    <s v="-"/>
    <s v="-"/>
    <s v="FCM-OPE-SAO-PVI-INGREDION"/>
    <s v="-"/>
    <x v="265"/>
    <n v="18810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43401"/>
    <n v="25679692"/>
    <s v="ACC01"/>
    <x v="299"/>
    <d v="2026-06-30T16:56:35"/>
    <s v="06 a 08 dias"/>
    <s v="06 a 08 dias"/>
    <s v="UXWOYR1"/>
    <s v="TMS"/>
    <s v="JULIANA ROMAO ROMERO"/>
    <s v="Jeane Alencar Pereira"/>
    <s v="Jeane Alencar Pereira"/>
    <x v="284"/>
    <n v="68609"/>
    <s v="-"/>
    <s v="OFF LINE"/>
    <s v="Invoice"/>
    <s v="Faturado"/>
    <s v="Aéreo"/>
    <s v="N"/>
    <s v="Grupo Motiva"/>
    <s v="Metro Bahia"/>
    <s v="-"/>
    <s v="Gol Linhas Aereas"/>
    <n v="2306872786"/>
    <s v="KON-OPE-SAO-PVI-CCR"/>
    <s v="-"/>
    <x v="8"/>
    <n v="0"/>
    <n v="0"/>
    <n v="0"/>
    <n v="0"/>
    <n v="0"/>
    <n v="0"/>
    <s v="Reserva importada do Sistema TMS. OS: 68609"/>
    <s v="Tarifa mínima não preenchida! (ACC01)"/>
    <s v="ARGO(TMS)"/>
    <s v="Tarifa mínima"/>
    <s v="Falta de informação Gerencial"/>
    <s v="Dados do Fornecedor"/>
    <s v="Qualidade dos dados"/>
    <s v="KONTIK BUSINESS TRAVEL"/>
  </r>
  <r>
    <n v="24859111"/>
    <n v="25697597"/>
    <s v="ACC01"/>
    <x v="300"/>
    <d v="2026-07-02T23:17:24"/>
    <s v="03 a 05 dias"/>
    <s v="03 a 05 dias"/>
    <s v="WTMGVG"/>
    <s v="TMS"/>
    <s v="SERGIO SCHWARTZ"/>
    <s v="Nathalia dos Santos Batista"/>
    <s v="Tms"/>
    <x v="268"/>
    <n v="3829"/>
    <s v="-"/>
    <s v="ON LINE"/>
    <s v="Invoice"/>
    <s v="Faturado"/>
    <s v="Aéreo"/>
    <s v="N"/>
    <s v="Grupo Banco Genial Investimentos"/>
    <s v="Genial Consig"/>
    <s v="-"/>
    <s v="Gol Linhas Aereas"/>
    <n v="2307046706"/>
    <s v="KON-OPE-SAO-PVI-BTC-ARGO"/>
    <s v="-"/>
    <x v="266"/>
    <n v="116.1"/>
    <n v="0"/>
    <n v="0"/>
    <n v="0"/>
    <n v="0"/>
    <n v="0"/>
    <s v="Reserva importada do Sistema TMS. OS: 3829"/>
    <s v="Finalidade não preenchida! (ACC01) Convidado não preenchido! (ACC01) Solicitante não preenchido! (ACC01)"/>
    <s v="ARGO(TMS)"/>
    <s v="Caractere inválido"/>
    <s v="Caractere invalido em campo gerencial"/>
    <s v="Dados Gerenciais"/>
    <s v="Qualidade dos dados"/>
    <s v="KONTIK BUSINESS TRAVEL"/>
  </r>
  <r>
    <n v="24856495"/>
    <n v="25694442"/>
    <s v="ACC01"/>
    <x v="301"/>
    <d v="2026-07-03T17:15:48"/>
    <s v="03 a 05 dias"/>
    <s v="03 a 05 dias"/>
    <s v="GFXXYX"/>
    <s v="SABRE"/>
    <s v="MACHADO/JULIANA"/>
    <s v="BRUNA SEBBEN"/>
    <s v="BRUNA SEBBEN"/>
    <x v="285"/>
    <s v="CQVLQE"/>
    <s v="-"/>
    <s v="OFF LINE"/>
    <s v="Cartão de crédito"/>
    <s v="Cartão de crédito"/>
    <s v="Aéreo"/>
    <s v="N"/>
    <s v="Grupo Baker Mckenzie"/>
    <s v="Baker Mckenzie - Brasillia"/>
    <s v="-"/>
    <s v="Gol Linhas Aereas"/>
    <n v="2307002353"/>
    <s v="FCM-OPE-SAO-PVI-BTC"/>
    <s v="-"/>
    <x v="267"/>
    <n v="32.869999999999997"/>
    <n v="0"/>
    <n v="0"/>
    <n v="0"/>
    <n v="0"/>
    <n v="0"/>
    <s v="Reserva importada por HubTravel"/>
    <s v="Projeto não preenchido! (ACC01)"/>
    <s v="SABRE"/>
    <s v="Projeto"/>
    <s v="Falta de informação Gerencial"/>
    <s v="Dados do Fornecedor"/>
    <s v="Qualidade dos dados"/>
    <s v="KONTIK BUSINESS TRAVEL"/>
  </r>
  <r>
    <n v="24849116"/>
    <n v="25685835"/>
    <s v="ACC01"/>
    <x v="302"/>
    <d v="2026-07-03T17:10:41"/>
    <s v="03 a 05 dias"/>
    <s v="03 a 05 dias"/>
    <s v="ASWBTE"/>
    <s v="SABRE"/>
    <s v="MORAIS DO NASCIMENTO DE VILA/FERNANDA MS"/>
    <s v="SHARON STONE RODRIGUES MARQUES"/>
    <s v="SHARON STONE RODRIGUES MARQUES"/>
    <x v="286"/>
    <s v="ASWBTE"/>
    <s v="-"/>
    <s v="ON LINE"/>
    <s v="Cartão de crédito"/>
    <s v="Cartão AMEX"/>
    <s v="Aéreo"/>
    <s v="N"/>
    <s v="Grupo Chanel"/>
    <s v="Chanel"/>
    <s v="-"/>
    <s v="Gol Linhas Aereas"/>
    <n v="7700090211"/>
    <s v="FCM-OPE-SAO-PVI-BTC-CONCUR-CHANEL"/>
    <s v="-"/>
    <x v="8"/>
    <n v="0"/>
    <n v="0"/>
    <n v="0"/>
    <n v="0"/>
    <n v="0"/>
    <n v="0"/>
    <s v="Reserva importada por HubTravel"/>
    <s v="Centro de cus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4844802"/>
    <n v="25681177"/>
    <s v="ACC01"/>
    <x v="303"/>
    <d v="2026-07-03T17:10:39"/>
    <s v="03 a 05 dias"/>
    <s v="06 a 08 dias"/>
    <s v="WPRSXE"/>
    <s v="SABRE"/>
    <s v="MACHADO/RENATA"/>
    <s v="WS"/>
    <s v="WS"/>
    <x v="287"/>
    <s v="WPRSXE"/>
    <s v="-"/>
    <s v="ON LINE"/>
    <s v="Cartão de crédito"/>
    <s v="Cartão de crédito"/>
    <s v="Aéreo"/>
    <s v="N"/>
    <s v="Grupo Sep"/>
    <s v="Ihs Informacoes Rio de Janeiro"/>
    <s v="Cliente FEE no POS"/>
    <s v="Gol Linhas Aereas"/>
    <n v="7700090179"/>
    <s v="FCM-OPE-SAO-PVI-BTC-CYTRIC-S&amp;P"/>
    <s v="-"/>
    <x v="8"/>
    <n v="0"/>
    <n v="0"/>
    <n v="0"/>
    <n v="0"/>
    <n v="0"/>
    <n v="0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840905"/>
    <n v="25677067"/>
    <s v="ACC01"/>
    <x v="304"/>
    <d v="2026-07-03T17:10:38"/>
    <s v="03 a 05 dias"/>
    <s v="06 a 08 dias"/>
    <s v="GJIYKI"/>
    <s v="SABRE"/>
    <s v="NOGUEIRA DA SILVA/CARLA PRISCILLA"/>
    <s v="WS"/>
    <s v="WS"/>
    <x v="288"/>
    <s v="IXLSGH"/>
    <s v="-"/>
    <s v="ON LINE"/>
    <s v="Cartão de crédito"/>
    <s v="Cartão de crédito"/>
    <s v="Aéreo"/>
    <s v="N"/>
    <s v="Grupo Worldvision"/>
    <s v="Visao Mundial"/>
    <s v="Cliente FEE no POS"/>
    <s v="Gol Linhas Aereas"/>
    <n v="2306812869"/>
    <s v="FCM-OPE-SAO-PVI-BTC-CONCUR-"/>
    <s v="-"/>
    <x v="8"/>
    <n v="64.56"/>
    <n v="0"/>
    <n v="0"/>
    <n v="0"/>
    <n v="0"/>
    <n v="31.02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856886"/>
    <n v="25694855"/>
    <s v="ACC01"/>
    <x v="305"/>
    <d v="2026-07-06T05:40:27"/>
    <s v="0 a 02 dias"/>
    <s v="03 a 05 dias"/>
    <s v="GHHFID"/>
    <s v="TMS"/>
    <s v="LEONARDO SCHLEINSTEIN"/>
    <s v="Claudia Lucia Stella"/>
    <s v="Claudia Lucia Stella"/>
    <x v="289"/>
    <n v="18084"/>
    <s v="-"/>
    <s v="OFF LINE"/>
    <s v="Cartão de crédito"/>
    <s v="Cartão AMEX"/>
    <s v="Aéreo"/>
    <s v="N"/>
    <s v="Grupo Odontoprev"/>
    <s v="Odontoprev Servicos Ltda"/>
    <s v="-"/>
    <s v="Gol Linhas Aereas"/>
    <n v="2307035035"/>
    <s v="KON-OPE-SAO-PVI-BTC-ARGO-ODONTOPREV"/>
    <s v="-"/>
    <x v="268"/>
    <n v="114.86"/>
    <n v="0"/>
    <n v="0"/>
    <n v="0"/>
    <n v="0"/>
    <n v="0"/>
    <s v="Reserva importada do Sistema TMS. OS: 18084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59345"/>
    <n v="25697837"/>
    <s v="ACC01"/>
    <x v="306"/>
    <d v="2026-07-06T05:40:27"/>
    <s v="0 a 02 dias"/>
    <s v="03 a 05 dias"/>
    <s v="GFNAUO"/>
    <s v="TMS"/>
    <s v="CARLOS AMERICO CAMILO DE CARVALHO"/>
    <s v="SAMANTHA OLIVEIRA NASCIMENTO"/>
    <s v="Tms"/>
    <x v="290"/>
    <n v="116398"/>
    <s v="-"/>
    <s v="ON LINE"/>
    <s v="Cartão de crédito"/>
    <s v="Cartão AMEX"/>
    <s v="Aéreo"/>
    <s v="N"/>
    <s v="Grupo Ultra"/>
    <s v="Ultragaz-matriz"/>
    <s v="-"/>
    <s v="Gol Linhas Aereas"/>
    <n v="2307040774"/>
    <s v="KON-OPE-SAO-PVI-BTC-ARGO"/>
    <s v="-"/>
    <x v="269"/>
    <n v="38.39"/>
    <n v="0"/>
    <n v="0"/>
    <n v="0"/>
    <n v="0"/>
    <n v="0"/>
    <s v="Reserva importada do Sistema TMS. OS: 116398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49633"/>
    <n v="25686398"/>
    <s v="ACC01"/>
    <x v="307"/>
    <d v="2026-07-01T17:10:51"/>
    <s v="03 a 05 dias"/>
    <s v="03 a 05 dias"/>
    <s v="UCYZQS0"/>
    <s v="TMS"/>
    <s v="EDMUNDO MOCHENSKI"/>
    <s v="Adriana Dias de Grano"/>
    <s v="Adriana Dias de Grano"/>
    <x v="291"/>
    <n v="133718"/>
    <s v="-"/>
    <s v="OFF LINE"/>
    <s v="Cartão de crédito"/>
    <s v="Cartão AMEX"/>
    <s v="Aéreo"/>
    <s v="N"/>
    <s v="Grupo Deloitte"/>
    <s v="Deloitte Outsourcing - Curitiba"/>
    <s v="-"/>
    <s v="Gol Linhas Aereas"/>
    <n v="2306940987"/>
    <s v="KON-OPE-SAO-PVI-BTC-ARGO-DELOITTE"/>
    <s v="-"/>
    <x v="8"/>
    <n v="0"/>
    <n v="0"/>
    <n v="0"/>
    <n v="0"/>
    <n v="0"/>
    <n v="0"/>
    <s v="Reserva importada do Sistema TMS. OS: 133718"/>
    <s v="Autorização do cartão da forma de pagamento não preenchida! (ACC01) Autorização do cartão da forma de recebimento não preenchida! (ACC01) Tarifa "/>
    <s v="ARGO(TMS)"/>
    <s v="Mais de um campo não preenchido"/>
    <s v="Falta de informação Gerencial"/>
    <s v="Dados do Fornecedor"/>
    <s v="Qualidade dos dados"/>
    <s v="KONTIK BUSINESS TRAVEL"/>
  </r>
  <r>
    <n v="24861024"/>
    <n v="25699766"/>
    <s v="ACC"/>
    <x v="308"/>
    <d v="2026-07-03T11:36:38"/>
    <s v="03 a 05 dias"/>
    <s v="03 a 05 dias"/>
    <s v="UABIJI"/>
    <s v="MANUAL"/>
    <s v="JOAO VITOR SILVA MOREIRA"/>
    <s v="Loizy Lima de Oliveira"/>
    <s v="Loizy Lima de Oliveira"/>
    <x v="292"/>
    <s v="-"/>
    <s v="-"/>
    <s v="OFF LINE"/>
    <s v="Cartão de crédito"/>
    <s v="Cartão de crédito"/>
    <s v="Aéreo"/>
    <s v="N"/>
    <s v="Grupo Petroreconcavo"/>
    <s v="Petroreconcavo"/>
    <s v="-"/>
    <s v="Gol Linhas Aereas"/>
    <n v="2305901266"/>
    <s v="KON-OPE-RIO-PVI-BTC-PETRORECONCAVO"/>
    <s v="-"/>
    <x v="270"/>
    <n v="0"/>
    <n v="0"/>
    <n v="0"/>
    <n v="0"/>
    <n v="0"/>
    <n v="0"/>
    <s v="-"/>
    <s v="Necessário cadastrar um contrato para o cliente &quot;&quot;"/>
    <s v="MANUAL"/>
    <s v="Contrato de fornecedor"/>
    <s v="Análise Cadastro"/>
    <s v="Dados do Fornecedor"/>
    <s v="Qualidade dos dados"/>
    <s v="KONTIK BUSINESS TRAVEL"/>
  </r>
  <r>
    <n v="24846348"/>
    <n v="25682826"/>
    <s v="ACC01"/>
    <x v="309"/>
    <d v="2026-07-06T05:40:27"/>
    <s v="0 a 02 dias"/>
    <s v="06 a 08 dias"/>
    <s v="DUFXJZ"/>
    <s v="TMS"/>
    <s v="SERGIO SOUZA"/>
    <s v="Wilson Jose Araujo de Gusmao Junior"/>
    <s v="Wilson Jose Araujo de Gusmao Junior"/>
    <x v="293"/>
    <n v="21460"/>
    <s v="-"/>
    <s v="OFF LINE"/>
    <s v="Cartão de crédito"/>
    <s v="Cartão AMEX"/>
    <s v="Aéreo"/>
    <s v="N"/>
    <s v="Grupo Braskem"/>
    <s v="Braskem - Camacari"/>
    <s v="-"/>
    <s v="Gol Linhas Aereas"/>
    <n v="2306883099"/>
    <s v="KON-OPE-SAO-PVI-BRASKEM"/>
    <s v="-"/>
    <x v="271"/>
    <n v="124.76"/>
    <n v="0"/>
    <n v="0"/>
    <n v="0"/>
    <n v="0"/>
    <n v="0"/>
    <s v="Reserva importada do Sistema TMS. OS: 21460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49273"/>
    <n v="25686023"/>
    <s v="ACC01"/>
    <x v="310"/>
    <d v="2026-07-01T17:04:29"/>
    <s v="03 a 05 dias"/>
    <s v="03 a 05 dias"/>
    <s v="AYBDMU"/>
    <s v="WOOBA"/>
    <s v="MORAES/MARCELLO MR"/>
    <s v="Toou"/>
    <s v="Toou"/>
    <x v="294"/>
    <n v="8993"/>
    <s v="-"/>
    <s v="OFF LINE"/>
    <s v="Cartão de crédito"/>
    <s v="Cartão AMEX"/>
    <s v="Aéreo"/>
    <s v="N"/>
    <s v="Grupo Rede Gazeta"/>
    <s v="Tv Gazeta"/>
    <s v="-"/>
    <s v="Gol Linhas Aereas"/>
    <n v="2306954624"/>
    <s v="KONTRIP"/>
    <s v="-"/>
    <x v="272"/>
    <n v="90"/>
    <n v="0"/>
    <n v="0"/>
    <n v="0"/>
    <n v="0"/>
    <n v="82"/>
    <s v="Reserva importada do Sistema WOOBA. Id: 16424"/>
    <s v="Empenho/departamento não preenchido! (ACC01) Matrícula não preenchida! (ACC01)"/>
    <s v="KONTRIP"/>
    <s v="Mais de um campo não preenchido"/>
    <s v="Falta de informação Gerencial"/>
    <s v="Dados do Fornecedor"/>
    <s v="Qualidade dos dados"/>
    <s v="KONTRIP VIAGENS"/>
  </r>
  <r>
    <n v="24844144"/>
    <n v="25680519"/>
    <s v="ACC01"/>
    <x v="311"/>
    <d v="2026-06-30T18:04:50"/>
    <s v="06 a 08 dias"/>
    <s v="06 a 08 dias"/>
    <s v="QCPWDW"/>
    <s v="WOOBA"/>
    <s v="DUBOIS/VINCENT MR"/>
    <s v="Toou"/>
    <s v="Toou"/>
    <x v="295"/>
    <n v="8741"/>
    <s v="-"/>
    <s v="OFF LINE"/>
    <s v="Cartão de crédito"/>
    <s v="Cartão AMEX"/>
    <s v="Aéreo"/>
    <s v="N"/>
    <s v="Grupo Rede Gazeta"/>
    <s v="Tv Gazeta"/>
    <s v="-"/>
    <s v="Gol Linhas Aereas"/>
    <n v="2306880302"/>
    <s v="KONTRIP"/>
    <s v="-"/>
    <x v="273"/>
    <n v="54.09"/>
    <n v="0"/>
    <n v="0"/>
    <n v="0"/>
    <n v="0"/>
    <n v="34.369999999999997"/>
    <s v="Reserva importada do Sistema WOOBA. Id: 15953"/>
    <s v="Empenho/departamento não preenchido! (ACC01) Matrícula não preenchida! (ACC01)"/>
    <s v="KONTRIP"/>
    <s v="Mais de um campo não preenchido"/>
    <s v="Falta de informação Gerencial"/>
    <s v="Dados do Fornecedor"/>
    <s v="Qualidade dos dados"/>
    <s v="KONTRIP VIAGENS"/>
  </r>
  <r>
    <n v="24847778"/>
    <n v="25684263"/>
    <s v="ACC01"/>
    <x v="312"/>
    <d v="2026-07-06T05:40:27"/>
    <s v="0 a 02 dias"/>
    <s v="03 a 05 dias"/>
    <s v="JYXDIJ"/>
    <s v="TMS"/>
    <s v="JOSE BULHOES"/>
    <s v="Wilson Jose Araujo de Gusmao Junior"/>
    <s v="Tms"/>
    <x v="296"/>
    <n v="21520"/>
    <s v="-"/>
    <s v="ON LINE"/>
    <s v="Cartão de crédito"/>
    <s v="Cartão AMEX"/>
    <s v="Aéreo"/>
    <s v="N"/>
    <s v="Grupo Braskem"/>
    <s v="Braskem - Camacari"/>
    <s v="-"/>
    <s v="Gol Linhas Aereas"/>
    <n v="2306918177"/>
    <s v="KON-OPE-SAO-PVI-BRASKEM"/>
    <s v="-"/>
    <x v="274"/>
    <n v="88.63"/>
    <n v="0"/>
    <n v="0"/>
    <n v="0"/>
    <n v="0"/>
    <n v="0"/>
    <s v="Reserva importada do Sistema TMS. OS: 21520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55614"/>
    <n v="25693470"/>
    <s v="ACC01"/>
    <x v="313"/>
    <d v="2026-07-02T16:18:42"/>
    <s v="03 a 05 dias"/>
    <s v="03 a 05 dias"/>
    <s v="WVHKCO"/>
    <s v="EBOOKING"/>
    <s v=" ROBERTO ALVAREZ/MARCIO"/>
    <s v="Kontrip"/>
    <s v="Kontrip"/>
    <x v="297"/>
    <s v="-"/>
    <s v="-"/>
    <s v="OFF LINE"/>
    <s v="Invoice"/>
    <s v="Faturado"/>
    <s v="Aéreo"/>
    <s v="N"/>
    <s v="Independente"/>
    <s v="Tap Air Portugal"/>
    <s v="-"/>
    <s v="Gol Linhas Aereas"/>
    <n v="2307037530"/>
    <s v="KONTRIP"/>
    <s v="-"/>
    <x v="275"/>
    <n v="66.510000000000005"/>
    <n v="0"/>
    <n v="0"/>
    <n v="0"/>
    <n v="0"/>
    <n v="386.12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4856257"/>
    <n v="25694200"/>
    <s v="ACC01"/>
    <x v="314"/>
    <d v="2026-07-02T17:10:23"/>
    <s v="03 a 05 dias"/>
    <s v="03 a 05 dias"/>
    <s v="AHTYEY"/>
    <s v="EBOOKING"/>
    <s v="HENRIQUE ALBUQUERQUE/SAULO"/>
    <s v="Kontrip"/>
    <s v="Kontrip"/>
    <x v="298"/>
    <s v="-"/>
    <s v="-"/>
    <s v="OFF LINE"/>
    <s v="Invoice"/>
    <s v="Faturado"/>
    <s v="Aéreo"/>
    <s v="N"/>
    <s v="Independente"/>
    <s v="Tap Air Portugal"/>
    <s v="-"/>
    <s v="Gol Linhas Aereas"/>
    <n v="2307042884"/>
    <s v="KONTRIP"/>
    <s v="-"/>
    <x v="276"/>
    <n v="35.909999999999997"/>
    <n v="0"/>
    <n v="0"/>
    <n v="0"/>
    <n v="0"/>
    <n v="63.72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4837359"/>
    <n v="25674017"/>
    <s v="ACC01"/>
    <x v="315"/>
    <d v="2026-06-29T16:39:47"/>
    <s v="06 a 08 dias"/>
    <s v="06 a 08 dias"/>
    <s v="GEZLPB"/>
    <s v="EBOOKING"/>
    <s v="HENRIQUE ALBUQUERQUE/SAULO"/>
    <s v="Kontrip"/>
    <s v="Kontrip"/>
    <x v="299"/>
    <s v="-"/>
    <s v="-"/>
    <s v="OFF LINE"/>
    <s v="Invoice"/>
    <s v="Faturado"/>
    <s v="Aéreo"/>
    <s v="N"/>
    <s v="Independente"/>
    <s v="Tap Air Portugal"/>
    <s v="-"/>
    <s v="Gol Linhas Aereas"/>
    <n v="2306806810"/>
    <s v="KONTRIP"/>
    <s v="-"/>
    <x v="277"/>
    <n v="35.909999999999997"/>
    <n v="0"/>
    <n v="0"/>
    <n v="0"/>
    <n v="0"/>
    <n v="95.19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4837401"/>
    <n v="25674061"/>
    <s v="ACC01"/>
    <x v="316"/>
    <d v="2026-06-29T16:42:27"/>
    <s v="06 a 08 dias"/>
    <s v="06 a 08 dias"/>
    <s v="YES2JM"/>
    <s v="EBOOKING"/>
    <s v="HENRIQUE ALBUQUERQUE/SAULO"/>
    <s v="Kontrip"/>
    <s v="Kontrip"/>
    <x v="300"/>
    <s v="-"/>
    <s v="-"/>
    <s v="OFF LINE"/>
    <s v="Invoice"/>
    <s v="Faturado"/>
    <s v="Aéreo"/>
    <s v="N"/>
    <s v="Independente"/>
    <s v="Tap Air Portugal"/>
    <s v="-"/>
    <s v="Gol Linhas Aereas"/>
    <n v="901870"/>
    <s v="KONTRIP"/>
    <s v="-"/>
    <x v="278"/>
    <n v="35.909999999999997"/>
    <n v="0"/>
    <n v="0"/>
    <n v="0"/>
    <n v="0"/>
    <n v="90.98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4842491"/>
    <n v="25678798"/>
    <s v="ACC01"/>
    <x v="317"/>
    <d v="2026-06-30T15:03:16"/>
    <s v="06 a 08 dias"/>
    <s v="06 a 08 dias"/>
    <s v="CMDXLP"/>
    <s v="EBOOKING"/>
    <s v="DAMASCENO/SÓSTENES"/>
    <s v="Kontrip"/>
    <s v="Kontrip"/>
    <x v="301"/>
    <s v="-"/>
    <s v="-"/>
    <s v="OFF LINE"/>
    <s v="Invoice"/>
    <s v="Faturado"/>
    <s v="Aéreo"/>
    <s v="N"/>
    <s v="Independente"/>
    <s v="Tap Air Portugal"/>
    <s v="-"/>
    <s v="Gol Linhas Aereas"/>
    <n v="2306866126"/>
    <s v="KONTRIP"/>
    <s v="-"/>
    <x v="279"/>
    <n v="35.909999999999997"/>
    <n v="0"/>
    <n v="0"/>
    <n v="0"/>
    <n v="0"/>
    <n v="145.99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4842492"/>
    <n v="25678799"/>
    <s v="ACC01"/>
    <x v="318"/>
    <d v="2026-06-30T15:04:27"/>
    <s v="06 a 08 dias"/>
    <s v="06 a 08 dias"/>
    <s v="NHYBJP"/>
    <s v="EBOOKING"/>
    <s v="DAMASCENO/SÓSTENES"/>
    <s v="Kontrip"/>
    <s v="Kontrip"/>
    <x v="301"/>
    <s v="-"/>
    <s v="-"/>
    <s v="OFF LINE"/>
    <s v="Invoice"/>
    <s v="Faturado"/>
    <s v="Aéreo"/>
    <s v="N"/>
    <s v="Independente"/>
    <s v="Tap Air Portugal"/>
    <s v="-"/>
    <s v="Gol Linhas Aereas"/>
    <n v="2306865805"/>
    <s v="KONTRIP"/>
    <s v="-"/>
    <x v="279"/>
    <n v="35.15"/>
    <n v="0"/>
    <n v="0"/>
    <n v="0"/>
    <n v="0"/>
    <n v="145.99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4848986"/>
    <n v="25685688"/>
    <s v="ACC01"/>
    <x v="319"/>
    <d v="2026-07-01T15:18:03"/>
    <s v="03 a 05 dias"/>
    <s v="03 a 05 dias"/>
    <s v="YIGHFH"/>
    <s v="WOOBA"/>
    <s v="BRITO DA SILVA/FERNANDO CARLOS"/>
    <s v="Kontrip"/>
    <s v="Kontrip"/>
    <x v="302"/>
    <s v="-"/>
    <s v="-"/>
    <s v="OFF LINE"/>
    <s v="Invoice"/>
    <s v="Faturado"/>
    <s v="Aéreo"/>
    <s v="N"/>
    <s v="Independente"/>
    <s v="Tap Air Portugal"/>
    <s v="-"/>
    <s v="Gol Linhas Aereas"/>
    <n v="2306427883"/>
    <s v="KONTRIP"/>
    <s v="-"/>
    <x v="280"/>
    <n v="92.33"/>
    <n v="0"/>
    <n v="0"/>
    <n v="0"/>
    <n v="0"/>
    <n v="0"/>
    <s v="Reserva importada do Sistema WOOBA. Id: 16377"/>
    <s v="Centro de custo não preenchido! (ACC01)"/>
    <s v="KONTRIP"/>
    <s v="Centro de custo"/>
    <s v="Falta de informação Gerencial"/>
    <s v="Dados do Fornecedor"/>
    <s v="Qualidade dos dados"/>
    <s v="KONTRIP VIAGENS"/>
  </r>
  <r>
    <n v="24848987"/>
    <n v="25685689"/>
    <s v="ACC01"/>
    <x v="320"/>
    <d v="2026-07-01T15:18:04"/>
    <s v="03 a 05 dias"/>
    <s v="03 a 05 dias"/>
    <s v="YIGHFH-3"/>
    <s v="WOOBA"/>
    <s v="BRITO DA SILVA/FERNANDO CARLOS"/>
    <s v="Kontrip"/>
    <s v="Kontrip"/>
    <x v="302"/>
    <s v="-"/>
    <s v="-"/>
    <s v="OFF LINE"/>
    <s v="Múltiplos"/>
    <s v="Múltiplos"/>
    <s v="Aéreo"/>
    <s v="N"/>
    <s v="Independente"/>
    <s v="Tap Air Portugal"/>
    <s v="-"/>
    <s v="Gol Linhas Aereas"/>
    <n v="2306946271"/>
    <s v="KONTRIP"/>
    <s v="-"/>
    <x v="281"/>
    <n v="92.33"/>
    <n v="475"/>
    <n v="0"/>
    <n v="0"/>
    <n v="0"/>
    <n v="0"/>
    <s v="Reserva importada do Sistema WOOBA. Id: 16378"/>
    <s v="Centro de custo não preenchido! (ACC01)"/>
    <s v="KONTRIP"/>
    <s v="Centro de custo"/>
    <s v="Falta de informação Gerencial"/>
    <s v="Dados do Fornecedor"/>
    <s v="Qualidade dos dados"/>
    <s v="KONTRIP VIAGENS"/>
  </r>
  <r>
    <n v="24848783"/>
    <n v="25685431"/>
    <s v="ACC01"/>
    <x v="321"/>
    <d v="2026-07-01T14:31:26"/>
    <s v="03 a 05 dias"/>
    <s v="03 a 05 dias"/>
    <s v="EPQYIN"/>
    <s v="EBOOKING"/>
    <s v="Alessandro Vitorino/Marcelo"/>
    <s v="Kontrip"/>
    <s v="Kontrip"/>
    <x v="303"/>
    <s v="-"/>
    <s v="-"/>
    <s v="OFF LINE"/>
    <s v="Invoice"/>
    <s v="Faturado"/>
    <s v="Aéreo"/>
    <s v="N"/>
    <s v="Independente"/>
    <s v="Tap Air Portugal"/>
    <s v="-"/>
    <s v="Gol Linhas Aereas"/>
    <n v="2306944395"/>
    <s v="KONTRIP"/>
    <s v="-"/>
    <x v="282"/>
    <n v="82.27"/>
    <n v="0"/>
    <n v="0"/>
    <n v="0"/>
    <n v="0"/>
    <n v="256.08999999999997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4862063"/>
    <n v="25700975"/>
    <s v="ACC01"/>
    <x v="322"/>
    <d v="2026-07-03T17:20:31"/>
    <s v="03 a 05 dias"/>
    <s v="03 a 05 dias"/>
    <s v="EZEMYB"/>
    <s v="SABRE"/>
    <s v="PIRES FREIRE/ISADORA"/>
    <s v="V7"/>
    <s v="MARIA CECILIA PEREIRA SILVA"/>
    <x v="304"/>
    <s v="EZEMYB"/>
    <s v="-"/>
    <s v="ON LINE"/>
    <s v="Invoice"/>
    <s v="Faturado"/>
    <s v="Aéreo"/>
    <s v="N"/>
    <s v="Grupo Livanova"/>
    <s v="Livanova Brasil"/>
    <s v="-"/>
    <s v="Avianca Internacional"/>
    <n v="5232184638"/>
    <s v="FCM-OPE-SAO-PVI-BTC"/>
    <s v="-"/>
    <x v="283"/>
    <n v="0"/>
    <n v="1067.74"/>
    <n v="0"/>
    <n v="0"/>
    <n v="0"/>
    <n v="0"/>
    <s v="Reserva importada por HubTravel"/>
    <s v="Centro de custo não preenchido! (ACC01) Matrícula não preenchida! (ACC01) Finalidade não preenchida! (ACC01)"/>
    <s v="SABRE"/>
    <s v="Mais de um campo não preenchido"/>
    <s v="Falta de informação Gerencial"/>
    <s v="Dados do Fornecedor"/>
    <s v="Qualidade dos dados"/>
    <s v="KONTIK BUSINESS TRAVEL"/>
  </r>
  <r>
    <n v="24864721"/>
    <n v="25703982"/>
    <s v="ACC01"/>
    <x v="323"/>
    <d v="2026-07-03T19:10:55"/>
    <s v="03 a 05 dias"/>
    <s v="03 a 05 dias"/>
    <s v="AHD55B"/>
    <s v="TMS"/>
    <s v="VANESSA LOBATO PIVA AZEVEDO"/>
    <s v="MARIA CECILIA PEREIRA SILVA"/>
    <s v="MARIA CECILIA PEREIRA SILVA"/>
    <x v="305"/>
    <n v="1590"/>
    <s v="-"/>
    <s v="ON LINE"/>
    <s v="Invoice"/>
    <s v="Faturado"/>
    <s v="Aéreo"/>
    <s v="N"/>
    <s v="-"/>
    <s v="-"/>
    <s v="-"/>
    <s v="Aeromexico"/>
    <n v="9285676876"/>
    <s v="-"/>
    <s v="-"/>
    <x v="284"/>
    <n v="358.46"/>
    <n v="0"/>
    <n v="0"/>
    <n v="0"/>
    <n v="0"/>
    <n v="0"/>
    <s v="Reserva importada do Sistema TMS. OS: 1590"/>
    <s v="Cliente não preenchido! (ACC01)"/>
    <s v="ARGO(TMS)"/>
    <s v="Cliente"/>
    <s v="Falta de informação Gerencial"/>
    <s v="Dados do Fornecedor"/>
    <s v="Qualidade dos dados"/>
    <s v="KONTIK BUSINESS TRAVEL"/>
  </r>
  <r>
    <n v="24864722"/>
    <n v="25703983"/>
    <s v="ACC01"/>
    <x v="324"/>
    <d v="2026-07-03T19:10:55"/>
    <s v="03 a 05 dias"/>
    <s v="03 a 05 dias"/>
    <s v="AHGXIZ"/>
    <s v="TMS"/>
    <s v="VANESSA LOBATO PIVA AZEVEDO"/>
    <s v="MARIA CECILIA PEREIRA SILVA"/>
    <s v="MARIA CECILIA PEREIRA SILVA"/>
    <x v="305"/>
    <n v="1590"/>
    <s v="-"/>
    <s v="ON LINE"/>
    <s v="Invoice"/>
    <s v="Faturado"/>
    <s v="Aéreo"/>
    <s v="N"/>
    <s v="-"/>
    <s v="-"/>
    <s v="-"/>
    <s v="Aeromexico"/>
    <n v="9285676877"/>
    <s v="-"/>
    <s v="-"/>
    <x v="285"/>
    <n v="469.65"/>
    <n v="0"/>
    <n v="0"/>
    <n v="0"/>
    <n v="0"/>
    <n v="0"/>
    <s v="Reserva importada do Sistema TMS. OS: 1590"/>
    <s v="Cliente não preenchido! (ACC01)"/>
    <s v="ARGO(TMS)"/>
    <s v="Cliente"/>
    <s v="Falta de informação Gerencial"/>
    <s v="Dados do Fornecedor"/>
    <s v="Qualidade dos dados"/>
    <s v="KONTIK BUSINESS TRAVEL"/>
  </r>
  <r>
    <n v="24860693"/>
    <n v="25699382"/>
    <s v="ACC01"/>
    <x v="325"/>
    <d v="2026-07-03T11:12:40"/>
    <s v="03 a 05 dias"/>
    <s v="03 a 05 dias"/>
    <s v="KQHYCZ"/>
    <s v="GOVER"/>
    <s v="Marcio Wilson Manchini"/>
    <s v="Gover"/>
    <s v="Gover"/>
    <x v="306"/>
    <n v="4678428"/>
    <s v="-"/>
    <s v="ON LINE"/>
    <s v="Invoice"/>
    <s v="Cartão convênio"/>
    <s v="Aéreo"/>
    <s v="N"/>
    <s v="Grupo Hypera"/>
    <s v="Hypera S.a."/>
    <s v="-"/>
    <s v="Latam Airlines Brasil"/>
    <n v="2279912122"/>
    <s v="KON-OPE-SAO-PVI-HYPERA"/>
    <s v="-"/>
    <x v="286"/>
    <n v="0"/>
    <n v="0"/>
    <n v="0"/>
    <n v="0"/>
    <n v="0"/>
    <n v="0"/>
    <s v="Reserva importada do sistema Gover. Id: 4678428"/>
    <s v="Accouting aérea não possui trechos (Bilhete: 2279912122)"/>
    <s v="GOVER"/>
    <s v="Falta informação nos trechos"/>
    <s v="Atualização de Trechos"/>
    <s v="Dados do Fornecedor"/>
    <s v="Qualidade dos dados"/>
    <s v="GRUPO KONTIK"/>
  </r>
  <r>
    <n v="24854771"/>
    <n v="25692455"/>
    <s v="ACC01"/>
    <x v="326"/>
    <d v="2026-07-02T13:01:38"/>
    <s v="03 a 05 dias"/>
    <s v="03 a 05 dias"/>
    <s v="LA9578885OOLD"/>
    <s v="EBOOKING"/>
    <s v="OLIVEIRA/MIZAEL"/>
    <s v="Kontrip"/>
    <s v="Kontrip"/>
    <x v="307"/>
    <s v="-"/>
    <s v="-"/>
    <s v="OFF LINE"/>
    <s v="Invoice"/>
    <s v="Faturado"/>
    <s v="Aéreo"/>
    <s v="N"/>
    <s v="Independente"/>
    <s v="Tap Air Portugal"/>
    <s v="-"/>
    <s v="Latam Airlines Brasil"/>
    <n v="2294250068"/>
    <s v="KONTRIP"/>
    <s v="-"/>
    <x v="287"/>
    <n v="60.54"/>
    <n v="0"/>
    <n v="0"/>
    <n v="0"/>
    <n v="0"/>
    <n v="65.03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4847780"/>
    <n v="25684265"/>
    <s v="ACC01"/>
    <x v="327"/>
    <d v="2026-07-06T05:40:27"/>
    <s v="0 a 02 dias"/>
    <s v="03 a 05 dias"/>
    <s v="LUQDAO"/>
    <s v="TMS"/>
    <s v="LUCIANA FERNANDES"/>
    <s v="Wilson Jose Araujo de Gusmao Junior"/>
    <s v="Wilson Jose Araujo de Gusmao Junior"/>
    <x v="308"/>
    <n v="21518"/>
    <s v="-"/>
    <s v="OFF LINE"/>
    <s v="Cartão de crédito"/>
    <s v="Cartão AMEX"/>
    <s v="Aéreo"/>
    <s v="N"/>
    <s v="Grupo Braskem"/>
    <s v="Braskem - Camacari"/>
    <s v="-"/>
    <s v="Latam Airlines Brasil"/>
    <n v="2294045086"/>
    <s v="KON-OPE-SAO-PVI-BRASKEM"/>
    <s v="-"/>
    <x v="288"/>
    <n v="110.77"/>
    <n v="0"/>
    <n v="0"/>
    <n v="0"/>
    <n v="0"/>
    <n v="0"/>
    <s v="Reserva importada do Sistema TMS. OS: 21518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50328"/>
    <n v="25687116"/>
    <s v="ACC01"/>
    <x v="328"/>
    <d v="2026-07-06T05:40:27"/>
    <s v="0 a 02 dias"/>
    <s v="03 a 05 dias"/>
    <s v="KHIPQN"/>
    <s v="TMS"/>
    <s v="RAPHAEL CAMPOS"/>
    <s v="Wilson Jose Araujo de Gusmao Junior"/>
    <s v="Wilson Jose Araujo de Gusmao Junior"/>
    <x v="309"/>
    <n v="21551"/>
    <s v="-"/>
    <s v="OFF LINE"/>
    <s v="Cartão de crédito"/>
    <s v="Cartão AMEX"/>
    <s v="Aéreo"/>
    <s v="N"/>
    <s v="Grupo Braskem"/>
    <s v="Braskem - Camacari"/>
    <s v="-"/>
    <s v="Latam Airlines Brasil"/>
    <n v="2294097251"/>
    <s v="KON-OPE-SAO-PVI-BRASKEM"/>
    <s v="-"/>
    <x v="289"/>
    <n v="62.14"/>
    <n v="0"/>
    <n v="0"/>
    <n v="0"/>
    <n v="0"/>
    <n v="0"/>
    <s v="Reserva importada do Sistema TMS. OS: 21551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50329"/>
    <n v="25687117"/>
    <s v="ACC01"/>
    <x v="329"/>
    <d v="2026-07-06T05:40:27"/>
    <s v="0 a 02 dias"/>
    <s v="03 a 05 dias"/>
    <s v="KGKWHC"/>
    <s v="TMS"/>
    <s v="RAPHAEL CAMPOS"/>
    <s v="Wilson Jose Araujo de Gusmao Junior"/>
    <s v="Wilson Jose Araujo de Gusmao Junior"/>
    <x v="309"/>
    <n v="21551"/>
    <s v="-"/>
    <s v="OFF LINE"/>
    <s v="Cartão de crédito"/>
    <s v="Cartão AMEX"/>
    <s v="Aéreo"/>
    <s v="N"/>
    <s v="Grupo Braskem"/>
    <s v="Braskem - Camacari"/>
    <s v="-"/>
    <s v="Latam Airlines Brasil"/>
    <n v="2294100581"/>
    <s v="KON-OPE-SAO-PVI-BRASKEM"/>
    <s v="-"/>
    <x v="290"/>
    <n v="52.72"/>
    <n v="0"/>
    <n v="0"/>
    <n v="0"/>
    <n v="0"/>
    <n v="0"/>
    <s v="Reserva importada do Sistema TMS. OS: 21551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44029"/>
    <n v="25680387"/>
    <s v="ACC01"/>
    <x v="330"/>
    <d v="2026-07-06T05:40:27"/>
    <s v="0 a 02 dias"/>
    <s v="06 a 08 dias"/>
    <s v="NEVLNP"/>
    <s v="TMS"/>
    <s v="DIEGO ZEOLLA"/>
    <s v="Wilson Jose Araujo de Gusmao Junior"/>
    <s v="Wilson Jose Araujo de Gusmao Junior"/>
    <x v="310"/>
    <n v="21509"/>
    <s v="-"/>
    <s v="OFF LINE"/>
    <s v="Cartão de crédito"/>
    <s v="Cartão AMEX"/>
    <s v="Aéreo"/>
    <s v="N"/>
    <s v="Grupo Braskem"/>
    <s v="Braskem - Camacari"/>
    <s v="-"/>
    <s v="Latam Airlines Brasil"/>
    <n v="2615432896"/>
    <s v="KON-OPE-SAO-PVI-BRASKEM"/>
    <s v="-"/>
    <x v="291"/>
    <n v="529.55999999999995"/>
    <n v="0"/>
    <n v="0"/>
    <n v="0"/>
    <n v="0"/>
    <n v="0"/>
    <s v="Reserva importada do Sistema TMS. OS: 21509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44059"/>
    <n v="25680416"/>
    <s v="ACC01"/>
    <x v="331"/>
    <d v="2026-07-06T05:40:27"/>
    <s v="0 a 02 dias"/>
    <s v="06 a 08 dias"/>
    <s v="UXUDRL"/>
    <s v="TMS"/>
    <s v="MARCIO PITZER"/>
    <s v="Wilson Jose Araujo de Gusmao Junior"/>
    <s v="Wilson Jose Araujo de Gusmao Junior"/>
    <x v="311"/>
    <n v="21490"/>
    <s v="-"/>
    <s v="OFF LINE"/>
    <s v="Cartão de crédito"/>
    <s v="Cartão AMEX"/>
    <s v="Aéreo"/>
    <s v="N"/>
    <s v="Grupo Braskem"/>
    <s v="Braskem - Camacari"/>
    <s v="-"/>
    <s v="Latam Airlines Brasil"/>
    <n v="2293895098"/>
    <s v="KON-OPE-SAO-PVI-BRASKEM"/>
    <s v="-"/>
    <x v="292"/>
    <n v="62.62"/>
    <n v="0"/>
    <n v="0"/>
    <n v="0"/>
    <n v="0"/>
    <n v="0"/>
    <s v="Reserva importada do Sistema TMS. OS: 21490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52459"/>
    <n v="25689797"/>
    <s v="ACC01"/>
    <x v="332"/>
    <d v="2026-07-06T05:40:27"/>
    <s v="0 a 02 dias"/>
    <s v="03 a 05 dias"/>
    <s v="JKRRJL"/>
    <s v="TMS"/>
    <s v="CAMILLA TAPIAS"/>
    <s v="Wilson Jose Araujo de Gusmao Junior"/>
    <s v="Wilson Jose Araujo de Gusmao Junior"/>
    <x v="312"/>
    <n v="21569"/>
    <s v="-"/>
    <s v="OFF LINE"/>
    <s v="Cartão de crédito"/>
    <s v="Cartão AMEX"/>
    <s v="Aéreo"/>
    <s v="N"/>
    <s v="Grupo Braskem"/>
    <s v="Braskem - Camacari"/>
    <s v="-"/>
    <s v="Latam Airlines Brasil"/>
    <n v="5232211050"/>
    <s v="KON-OPE-SAO-PVI-BRASKEM"/>
    <s v="-"/>
    <x v="293"/>
    <n v="505.71"/>
    <n v="0"/>
    <n v="0"/>
    <n v="0"/>
    <n v="0"/>
    <n v="0"/>
    <s v="Reserva importada do Sistema TMS. OS: 21569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61366"/>
    <n v="25700157"/>
    <s v="ACC01"/>
    <x v="333"/>
    <d v="2026-07-03T17:16:04"/>
    <s v="03 a 05 dias"/>
    <s v="03 a 05 dias"/>
    <s v="NEZKRT"/>
    <s v="SABRE"/>
    <s v="MELO/RENATA FRANCO DE ALMEIDA MS"/>
    <s v="WS"/>
    <s v="WS"/>
    <x v="313"/>
    <s v="NEZKRT"/>
    <s v="-"/>
    <s v="ON LINE"/>
    <s v="Cartão de crédito"/>
    <s v="Cartão de crédito"/>
    <s v="Aéreo"/>
    <s v="N"/>
    <s v="Grupo Vertex"/>
    <s v="Vertex Farmaceutica do Brasil"/>
    <s v="-"/>
    <s v="Latam Airlines Brasil"/>
    <s v="-"/>
    <s v="FCM-OPE-SAO-PVI-BTC-CONCUR"/>
    <s v="-"/>
    <x v="294"/>
    <n v="56.88"/>
    <n v="0"/>
    <n v="0"/>
    <n v="0"/>
    <n v="0"/>
    <n v="0"/>
    <s v="Reserva importada por HubTravel"/>
    <s v="Necessário informar o bilhete"/>
    <s v="SABRE"/>
    <s v="Venda sem bilhete"/>
    <s v="Validação de Dados"/>
    <s v="Dados do Fornecedor"/>
    <s v="Qualidade dos dados"/>
    <s v="KONTIK BUSINESS TRAVEL"/>
  </r>
  <r>
    <n v="24862054"/>
    <n v="25700966"/>
    <s v="ACC01"/>
    <x v="334"/>
    <d v="2026-07-03T17:16:30"/>
    <s v="03 a 05 dias"/>
    <s v="03 a 05 dias"/>
    <s v="NRYODP"/>
    <s v="SABRE"/>
    <s v="COREZOLA/EDUARDO FAGGION"/>
    <s v="DS"/>
    <s v="WS"/>
    <x v="304"/>
    <s v="NRYODP"/>
    <s v="-"/>
    <s v="ON LINE"/>
    <s v="?"/>
    <s v="TKT"/>
    <s v="Aéreo"/>
    <s v="N"/>
    <s v="Grupo Vertex"/>
    <s v="Vertex Farmaceutica do Brasil"/>
    <s v="-"/>
    <s v="Latam Airlines Brasil"/>
    <n v="5232184628"/>
    <s v="FCM-OPE-SAO-PVI-BTC-CONCUR"/>
    <s v="-"/>
    <x v="8"/>
    <n v="0"/>
    <n v="500"/>
    <n v="0"/>
    <n v="28.78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Pagamento não permitido para cobrança"/>
    <s v="Forma PG. e REC."/>
    <s v="Dados do Fornecedor"/>
    <s v="Qualidade dos dados"/>
    <s v="KONTIK BUSINESS TRAVEL"/>
  </r>
  <r>
    <n v="24847777"/>
    <n v="25684262"/>
    <s v="ACC01"/>
    <x v="335"/>
    <d v="2026-07-06T05:40:27"/>
    <s v="0 a 02 dias"/>
    <s v="03 a 05 dias"/>
    <s v="GZCSIV"/>
    <s v="TMS"/>
    <s v="JULIO HENRIQUE LOTTERMANN"/>
    <s v="Wilson Jose Araujo de Gusmao Junior"/>
    <s v="Wilson Jose Araujo de Gusmao Junior"/>
    <x v="314"/>
    <n v="21521"/>
    <s v="-"/>
    <s v="OFF LINE"/>
    <s v="Cartão de crédito"/>
    <s v="Cartão AMEX"/>
    <s v="Aéreo"/>
    <s v="N"/>
    <s v="Grupo Braskem"/>
    <s v="Braskem - Camacari"/>
    <s v="-"/>
    <s v="Latam Airlines Brasil"/>
    <n v="5232211049"/>
    <s v="KON-OPE-SAO-PVI-BRASKEM"/>
    <s v="-"/>
    <x v="295"/>
    <n v="429.87"/>
    <n v="0"/>
    <n v="0"/>
    <n v="0"/>
    <n v="0"/>
    <n v="0"/>
    <s v="Reserva importada do Sistema TMS. OS: 21521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62055"/>
    <n v="25700967"/>
    <s v="ACC01"/>
    <x v="336"/>
    <d v="2026-07-03T17:16:30"/>
    <s v="03 a 05 dias"/>
    <s v="03 a 05 dias"/>
    <s v="YTRYVI"/>
    <s v="SABRE"/>
    <s v="LOPES/MATHEUS GOMES"/>
    <s v="Beatrys Ferreira Rocha"/>
    <s v="WS"/>
    <x v="315"/>
    <s v="YTRYVI"/>
    <s v="-"/>
    <s v="ON LINE"/>
    <s v="?"/>
    <s v="TKT"/>
    <s v="Aéreo"/>
    <s v="N"/>
    <s v="Grupo Elanco"/>
    <s v="Elanco - Morumbi"/>
    <s v="-"/>
    <s v="Latam Airlines Brasil"/>
    <n v="5232184632"/>
    <s v="FCM-OPE-SAO-PVI-BTC-CONCUR"/>
    <s v="-"/>
    <x v="8"/>
    <n v="0"/>
    <n v="500"/>
    <n v="0"/>
    <n v="4.67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GRUPO KONTIK"/>
  </r>
  <r>
    <n v="24862058"/>
    <n v="25700970"/>
    <s v="ACC01"/>
    <x v="337"/>
    <d v="2026-07-03T17:16:32"/>
    <s v="03 a 05 dias"/>
    <s v="03 a 05 dias"/>
    <s v="QBPAYX"/>
    <s v="SABRE"/>
    <s v="LOPES/MATHEUS GOMES"/>
    <s v="Beatrys Ferreira Rocha"/>
    <s v="WS"/>
    <x v="316"/>
    <s v="QBPAYX"/>
    <s v="-"/>
    <s v="ON LINE"/>
    <s v="?"/>
    <s v="TKT"/>
    <s v="Aéreo"/>
    <s v="N"/>
    <s v="Grupo Elanco"/>
    <s v="Elanco - Morumbi"/>
    <s v="-"/>
    <s v="Latam Airlines Brasil"/>
    <n v="5232184637"/>
    <s v="FCM-OPE-SAO-PVI-BTC-CONCUR"/>
    <s v="-"/>
    <x v="8"/>
    <n v="0"/>
    <n v="500"/>
    <n v="0"/>
    <n v="7.83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GRUPO KONTIK"/>
  </r>
  <r>
    <n v="24860639"/>
    <n v="25699297"/>
    <s v="ACC01"/>
    <x v="338"/>
    <d v="2026-07-03T11:05:32"/>
    <s v="03 a 05 dias"/>
    <s v="03 a 05 dias"/>
    <s v="MUDYRV"/>
    <s v="TMS"/>
    <s v="ROGERIO ESTRELA CAMPOS"/>
    <s v="Herbert Amancio de Santana"/>
    <s v="Tms"/>
    <x v="317"/>
    <n v="135792"/>
    <s v="-"/>
    <s v="ON LINE"/>
    <s v="Invoice"/>
    <s v="Faturado"/>
    <s v="Aéreo"/>
    <s v="N"/>
    <s v="Grupo Claro Sa"/>
    <s v="Claro Sao Paulo (santo Amaro)"/>
    <s v="-"/>
    <s v="Latam Airlines Brasil"/>
    <n v="2279868353"/>
    <s v="KON-OPE-SAO-POS-CLARO"/>
    <s v="-"/>
    <x v="296"/>
    <n v="96.73"/>
    <n v="0"/>
    <n v="0"/>
    <n v="0"/>
    <n v="0"/>
    <n v="0"/>
    <s v="Reserva importada do Sistema TMS. OS: 135792"/>
    <s v="Matrícula não preenchida! (ACC01)"/>
    <s v="ARGO(TMS)"/>
    <s v="Matrícula"/>
    <s v="Falta de informação Gerencial"/>
    <s v="Dados do Fornecedor"/>
    <s v="Qualidade dos dados"/>
    <s v="KONTIK BUSINESS TRAVEL"/>
  </r>
  <r>
    <n v="24859364"/>
    <n v="25697858"/>
    <s v="ACC01"/>
    <x v="339"/>
    <d v="2026-07-06T05:40:27"/>
    <s v="0 a 02 dias"/>
    <s v="03 a 05 dias"/>
    <s v="LDIPDU"/>
    <s v="TMS"/>
    <s v="PEDRO SOUZA ALVES"/>
    <s v="Beatrys Ferreira Rocha"/>
    <s v="Beatrys Ferreira Rocha"/>
    <x v="318"/>
    <n v="116313"/>
    <s v="-"/>
    <s v="ON LINE"/>
    <s v="Cartão de crédito"/>
    <s v="Cartão AMEX"/>
    <s v="Aéreo"/>
    <s v="N"/>
    <s v="Grupo Ultra"/>
    <s v="Ultragaz-matriz"/>
    <s v="-"/>
    <s v="Latam Airlines Brasil"/>
    <n v="2294306326"/>
    <s v="KON-OPE-SAO-PVI-BTC-ARGO"/>
    <s v="-"/>
    <x v="297"/>
    <n v="88.09"/>
    <n v="0"/>
    <n v="0"/>
    <n v="0"/>
    <n v="0"/>
    <n v="0"/>
    <s v="Reserva importada do Sistema TMS. OS: 116313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57184"/>
    <n v="25695177"/>
    <s v="ACC01"/>
    <x v="340"/>
    <d v="2026-07-06T05:40:27"/>
    <s v="0 a 02 dias"/>
    <s v="03 a 05 dias"/>
    <s v="HWEJWW"/>
    <s v="TMS"/>
    <s v="FABIO VIEIRA"/>
    <s v="Beatrys Ferreira Rocha"/>
    <s v="Beatrys Ferreira Rocha"/>
    <x v="319"/>
    <n v="116266"/>
    <s v="-"/>
    <s v="ON LINE"/>
    <s v="Cartão de crédito"/>
    <s v="Cartão AMEX"/>
    <s v="Aéreo"/>
    <s v="N"/>
    <s v="Grupo Ultra"/>
    <s v="Ultragaz-matriz"/>
    <s v="-"/>
    <s v="Latam Airlines Brasil"/>
    <n v="2294261418"/>
    <s v="KON-OPE-SAO-PVI-BTC-ARGO"/>
    <s v="-"/>
    <x v="298"/>
    <n v="108.09"/>
    <n v="0"/>
    <n v="0"/>
    <n v="0"/>
    <n v="0"/>
    <n v="0"/>
    <s v="Reserva importada do Sistema TMS. OS: 116266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59344"/>
    <n v="25697836"/>
    <s v="ACC01"/>
    <x v="341"/>
    <d v="2026-07-06T05:40:27"/>
    <s v="0 a 02 dias"/>
    <s v="03 a 05 dias"/>
    <s v="KCBILV"/>
    <s v="TMS"/>
    <s v="CARLOS AMERICO CAMILO DE CARVALHO"/>
    <s v="Beatrys Ferreira Rocha"/>
    <s v="Beatrys Ferreira Rocha"/>
    <x v="290"/>
    <n v="116398"/>
    <s v="-"/>
    <s v="ON LINE"/>
    <s v="Cartão de crédito"/>
    <s v="Cartão AMEX"/>
    <s v="Aéreo"/>
    <s v="N"/>
    <s v="Grupo Ultra"/>
    <s v="Ultragaz-matriz"/>
    <s v="-"/>
    <s v="Latam Airlines Brasil"/>
    <n v="2294304745"/>
    <s v="KON-OPE-SAO-PVI-BTC-ARGO"/>
    <s v="-"/>
    <x v="299"/>
    <n v="33.64"/>
    <n v="0"/>
    <n v="0"/>
    <n v="0"/>
    <n v="0"/>
    <n v="0"/>
    <s v="Reserva importada do Sistema TMS. OS: 116398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58270"/>
    <n v="25696523"/>
    <s v="ACC01"/>
    <x v="342"/>
    <d v="2026-07-03T17:16:00"/>
    <s v="03 a 05 dias"/>
    <s v="03 a 05 dias"/>
    <s v="SLRLBI"/>
    <s v="SABRE"/>
    <s v="BUTTON/PAULO ALVARO NANTES"/>
    <s v="V7"/>
    <s v="WS"/>
    <x v="320"/>
    <s v="SLRLBI"/>
    <s v="-"/>
    <s v="ON LINE"/>
    <s v="Cartão de crédito"/>
    <s v="Cartão de crédito"/>
    <s v="Aéreo"/>
    <s v="N"/>
    <s v="Grupo Axa"/>
    <s v="Axa Cs - Inativo"/>
    <s v="Cliente FEE no POS"/>
    <s v="Latam Airlines Brasil"/>
    <n v="5232184627"/>
    <s v="FCM-OPE-SAO-PVI-BTC-CONCUR-AXA"/>
    <s v="-"/>
    <x v="300"/>
    <n v="0"/>
    <n v="443.53"/>
    <n v="0"/>
    <n v="0"/>
    <n v="0"/>
    <n v="0"/>
    <s v="Reserva importada por HubTravel"/>
    <s v="Centro de custo não preenchido! (ACC01) Empenho/departamento não preenchido! (ACC01)"/>
    <s v="SABRE"/>
    <s v="Mais de um campo não preenchido"/>
    <s v="Falta de informação Gerencial"/>
    <s v="Dados do Fornecedor"/>
    <s v="Qualidade dos dados"/>
    <s v="KONTIK BUSINESS TRAVEL"/>
  </r>
  <r>
    <n v="24862056"/>
    <n v="25700968"/>
    <s v="ACC01"/>
    <x v="343"/>
    <d v="2026-07-03T17:16:32"/>
    <s v="03 a 05 dias"/>
    <s v="03 a 05 dias"/>
    <s v="LNJVWC"/>
    <s v="SABRE"/>
    <s v="SILVA/KARINE ARRUDA MS"/>
    <s v="Beatrys Ferreira Rocha"/>
    <s v="CT"/>
    <x v="321"/>
    <s v="LNJVWC"/>
    <s v="-"/>
    <s v="ON LINE"/>
    <s v="?"/>
    <s v="TKT"/>
    <s v="Aéreo"/>
    <s v="N"/>
    <s v="Grupo Livanova"/>
    <s v="Livanova Brasil"/>
    <s v="-"/>
    <s v="Latam Airlines Brasil"/>
    <n v="5232184633"/>
    <s v="FCM-OPE-SAO-PVI-BTC"/>
    <s v="-"/>
    <x v="8"/>
    <n v="0"/>
    <n v="471.06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Pagamento não permitido para cobrança"/>
    <s v="Forma PG. e REC."/>
    <s v="Dados do Fornecedor"/>
    <s v="Qualidade dos dados"/>
    <s v="GRUPO KONTIK"/>
  </r>
  <r>
    <n v="24861401"/>
    <n v="25700198"/>
    <s v="ACC01"/>
    <x v="344"/>
    <d v="2026-07-03T12:35:12"/>
    <s v="03 a 05 dias"/>
    <s v="03 a 05 dias"/>
    <s v="FNUJOM"/>
    <s v="TMS"/>
    <s v="WILLIAM NEVER"/>
    <s v="Tms"/>
    <s v="Tms"/>
    <x v="322"/>
    <n v="38726"/>
    <s v="-"/>
    <s v="ON LINE"/>
    <s v="Invoice"/>
    <s v="Faturado"/>
    <s v="Aéreo"/>
    <s v="S"/>
    <s v="Grupo Taesa"/>
    <s v="Taesa Servicos"/>
    <s v="-"/>
    <s v="Latam Airlines Brasil"/>
    <n v="3025700198"/>
    <s v="KON-OPE-RIO-POS-TAESA"/>
    <s v="-"/>
    <x v="301"/>
    <n v="33.64"/>
    <n v="0"/>
    <n v="0"/>
    <n v="0"/>
    <n v="0"/>
    <n v="0"/>
    <s v="Reserva importada do Sistema TMS. OS: 38726"/>
    <s v="Tarifa mínima não preenchida! (ACC01)"/>
    <s v="ARGO(TMS)"/>
    <s v="Tarifa mínima"/>
    <s v="Falta de informação Gerencial"/>
    <s v="Dados do Fornecedor"/>
    <s v="Qualidade dos dados"/>
    <s v="GRUPO KONTIK"/>
  </r>
  <r>
    <n v="24844803"/>
    <n v="25681178"/>
    <s v="ACC01"/>
    <x v="345"/>
    <d v="2026-07-03T17:10:39"/>
    <s v="03 a 05 dias"/>
    <s v="06 a 08 dias"/>
    <s v="FMDCAU"/>
    <s v="SABRE"/>
    <s v="RODRIGUES DE MORAES/PEDRO IVO"/>
    <s v="DS"/>
    <s v="SHARON STONE RODRIGUES MARQUES"/>
    <x v="323"/>
    <s v="SP06041982"/>
    <s v="-"/>
    <s v="ON LINE"/>
    <s v="Invoice"/>
    <s v="Faturado"/>
    <s v="Aéreo"/>
    <s v="N"/>
    <s v="Grupo Sep"/>
    <s v="Sep Global Informacoes do Brasil Ltda"/>
    <s v="Cliente FEE no POS"/>
    <s v="Latam Airlines Brasil"/>
    <n v="2615540228"/>
    <s v="FCM-OPE-SAO-PVI-BTC"/>
    <s v="-"/>
    <x v="302"/>
    <n v="95.01"/>
    <n v="0"/>
    <n v="0"/>
    <n v="95.01"/>
    <n v="0"/>
    <n v="0"/>
    <s v="Reserva importada por HubTravel"/>
    <s v="Centro de custo não preenchido! (ACC01) Departamento não preenchido! (ACC01) Finalidade não preenchida! (ACC01)"/>
    <s v="SABRE"/>
    <s v="Mais de um campo não preenchido"/>
    <s v="Falta de informação Gerencial"/>
    <s v="Dados do Fornecedor"/>
    <s v="Qualidade dos dados"/>
    <s v="KONTIK BUSINESS TRAVEL"/>
  </r>
  <r>
    <n v="24861203"/>
    <n v="25699971"/>
    <s v="ACC01"/>
    <x v="346"/>
    <d v="2026-07-03T12:11:23"/>
    <s v="03 a 05 dias"/>
    <s v="03 a 05 dias"/>
    <s v="WEISTR"/>
    <s v="TMS"/>
    <s v="WILLIAM GONZALES"/>
    <s v="Tms"/>
    <s v="Tms"/>
    <x v="324"/>
    <n v="6364"/>
    <s v="-"/>
    <s v="ON LINE"/>
    <s v="Outros"/>
    <s v="Cartão convênio"/>
    <s v="Aéreo"/>
    <s v="S"/>
    <s v="Grupo Epson"/>
    <s v="Epson"/>
    <s v="-"/>
    <s v="Latam Airlines Brasil"/>
    <n v="3025699971"/>
    <s v="KON-OPE-SAO-PVI-BTC-ARGO"/>
    <s v="-"/>
    <x v="303"/>
    <n v="33.64"/>
    <n v="0"/>
    <n v="0"/>
    <n v="0"/>
    <n v="0"/>
    <n v="0"/>
    <s v="Reserva importada do Sistema TMS. OS: 6364"/>
    <s v="Tarifa mínima não preenchida! (ACC01)"/>
    <s v="ARGO(TMS)"/>
    <s v="Tarifa mínima"/>
    <s v="Falta de informação Gerencial"/>
    <s v="Dados do Fornecedor"/>
    <s v="Qualidade dos dados"/>
    <s v="GRUPO KONTIK"/>
  </r>
  <r>
    <n v="24861208"/>
    <n v="25699976"/>
    <s v="ACC01"/>
    <x v="347"/>
    <d v="2026-07-03T12:16:09"/>
    <s v="03 a 05 dias"/>
    <s v="03 a 05 dias"/>
    <s v="DGXVFQ"/>
    <s v="TMS"/>
    <s v="WILLIAM GONZALES"/>
    <s v="Tms"/>
    <s v="Tms"/>
    <x v="325"/>
    <n v="7867"/>
    <s v="-"/>
    <s v="ON LINE"/>
    <s v="Outros"/>
    <s v="Cartão convênio"/>
    <s v="Aéreo"/>
    <s v="S"/>
    <s v="Grupo Hpe"/>
    <s v="Hpe Automotores - Catalao"/>
    <s v="-"/>
    <s v="Latam Airlines Brasil"/>
    <n v="3025699976"/>
    <s v="KON-OPE-SAO-PVI-BTC-ARGO"/>
    <s v="-"/>
    <x v="303"/>
    <n v="33.64"/>
    <n v="0"/>
    <n v="0"/>
    <n v="0"/>
    <n v="0"/>
    <n v="0"/>
    <s v="Reserva importada do Sistema TMS. OS: 7867"/>
    <s v="Tarifa mínima não preenchida! (ACC01)"/>
    <s v="ARGO(TMS)"/>
    <s v="Tarifa mínima"/>
    <s v="Falta de informação Gerencial"/>
    <s v="Dados do Fornecedor"/>
    <s v="Qualidade dos dados"/>
    <s v="GRUPO KONTIK"/>
  </r>
  <r>
    <n v="24845303"/>
    <n v="25688696"/>
    <s v="ACC02"/>
    <x v="348"/>
    <d v="2026-07-03T17:10:40"/>
    <s v="03 a 05 dias"/>
    <s v="06 a 08 dias"/>
    <s v="NHYVVQ"/>
    <s v="SABRE"/>
    <s v="FLAVIA MIGUEL BEDRAN"/>
    <s v="V7"/>
    <s v="SHARON STONE RODRIGUES MARQUES"/>
    <x v="326"/>
    <s v="NHYVVQ"/>
    <s v="-"/>
    <s v="ON LINE"/>
    <s v="Cartão de crédito"/>
    <s v="Cartão de crédito"/>
    <s v="Aéreo"/>
    <s v="N"/>
    <s v="Grupo Sep"/>
    <s v="Standard And Poors Ratings do Brasil Ltda"/>
    <s v="Cliente FEE no POS"/>
    <s v="Latam Airlines Brasil"/>
    <s v="-"/>
    <s v="FCM-OPE-SAO-PVI-BTC-CYTRIC-S&amp;P"/>
    <s v="-"/>
    <x v="304"/>
    <n v="64.56"/>
    <n v="129.29"/>
    <n v="0"/>
    <n v="0"/>
    <n v="0"/>
    <n v="0"/>
    <s v="Reserva importada por HubTravel"/>
    <s v="Centro de custo não preenchido! (ACC02) Email do passageiro não preenchido! (ACC02) Departamento não preenchido! (ACC02) Finalidade não "/>
    <s v="SABRE"/>
    <s v="Mais de um campo não preenchido"/>
    <s v="Falta de informação Gerencial"/>
    <s v="Dados do Fornecedor"/>
    <s v="Qualidade dos dados"/>
    <s v="KONTIK BUSINESS TRAVEL"/>
  </r>
  <r>
    <n v="24847682"/>
    <n v="25684161"/>
    <s v="ACC01"/>
    <x v="349"/>
    <d v="2026-07-06T05:40:27"/>
    <s v="0 a 02 dias"/>
    <s v="03 a 05 dias"/>
    <s v="EZGQGO"/>
    <s v="TMS"/>
    <s v="HUGO FERREIRA"/>
    <s v="Beatrys Ferreira Rocha"/>
    <s v="Beatrys Ferreira Rocha"/>
    <x v="327"/>
    <n v="18069"/>
    <s v="-"/>
    <s v="ON LINE"/>
    <s v="Cartão de crédito"/>
    <s v="Cartão AMEX"/>
    <s v="Aéreo"/>
    <s v="N"/>
    <s v="Grupo Odontoprev"/>
    <s v="Odontoprev Servicos Ltda"/>
    <s v="-"/>
    <s v="Latam Airlines Brasil"/>
    <n v="2294047808"/>
    <s v="KON-OPE-SAO-PVI-BTC-ARGO-ODONTOPREV"/>
    <s v="-"/>
    <x v="305"/>
    <n v="42.88"/>
    <n v="0"/>
    <n v="0"/>
    <n v="0"/>
    <n v="0"/>
    <n v="0"/>
    <s v="Reserva importada do Sistema TMS. OS: 18069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62085"/>
    <n v="25701020"/>
    <s v="ACC01"/>
    <x v="350"/>
    <d v="2026-07-03T17:20:35"/>
    <s v="03 a 05 dias"/>
    <s v="03 a 05 dias"/>
    <s v="NHIIFN"/>
    <s v="SABRE"/>
    <s v="LIMA/BRUNO GUSTAVO"/>
    <s v="DS"/>
    <s v="Luciene Carvalho Santos"/>
    <x v="328"/>
    <s v="NHIIFN"/>
    <s v="-"/>
    <s v="ON LINE"/>
    <s v="?"/>
    <s v="TKT"/>
    <s v="Aéreo"/>
    <s v="N"/>
    <s v="Grupo Basf"/>
    <s v="Basf Sa"/>
    <s v="-"/>
    <s v="Latam Airlines Brasil"/>
    <n v="5232211797"/>
    <s v="FCM-OPE-SAO-PVI-BASF"/>
    <s v="-"/>
    <x v="8"/>
    <n v="0"/>
    <n v="500"/>
    <n v="0"/>
    <n v="71.52"/>
    <n v="0"/>
    <n v="0"/>
    <s v="Reserva importada por HubTravel"/>
    <s v="Finalidade não preenchida! (ACC01)"/>
    <s v="SABRE"/>
    <s v="Finalidade"/>
    <s v="Falta de informação Gerencial"/>
    <s v="Dados do Fornecedor"/>
    <s v="Qualidade dos dados"/>
    <s v="KONTIK BUSINESS TRAVEL"/>
  </r>
  <r>
    <n v="24862050"/>
    <n v="25700961"/>
    <s v="ACC01"/>
    <x v="351"/>
    <d v="2026-07-03T17:16:27"/>
    <s v="03 a 05 dias"/>
    <s v="03 a 05 dias"/>
    <s v="NTLUTU"/>
    <s v="SABRE"/>
    <s v="SANTOS/MARIO"/>
    <s v="5I"/>
    <s v="BRUNA SEBBEN"/>
    <x v="329"/>
    <s v="NTLUTU"/>
    <s v="-"/>
    <s v="ON LINE"/>
    <s v="Cartão de crédito"/>
    <s v="Cartão de crédito"/>
    <s v="Aéreo"/>
    <s v="N"/>
    <s v="Grupo Jti"/>
    <s v="Jti Distribuidora - Sao Paulo - Vila Nova Conceicao"/>
    <s v="-"/>
    <s v="Latam Airlines Brasil"/>
    <n v="9552144193"/>
    <s v="FCM-OPE-POA-PVI-BTC CONCUR"/>
    <s v="-"/>
    <x v="306"/>
    <n v="54.45"/>
    <n v="0"/>
    <n v="0"/>
    <n v="54.45"/>
    <n v="0"/>
    <n v="0"/>
    <s v="Reserva importada por HubTravel"/>
    <s v="Empenho/departamento não preenchido! (ACC01) Finalidade não preenchida! (ACC01)"/>
    <s v="SABRE"/>
    <s v="Mais de um campo não preenchido"/>
    <s v="Falta de informação Gerencial"/>
    <s v="Dados do Fornecedor"/>
    <s v="Qualidade dos dados"/>
    <s v="KONTIK BUSINESS TRAVEL"/>
  </r>
  <r>
    <n v="24861093"/>
    <n v="25699833"/>
    <s v="ACC01"/>
    <x v="352"/>
    <d v="2026-07-03T17:16:03"/>
    <s v="03 a 05 dias"/>
    <s v="03 a 05 dias"/>
    <s v="UFTYBA"/>
    <s v="SABRE"/>
    <s v="DE MORAES SOUZA/FELIPE"/>
    <s v="DS"/>
    <s v="CT"/>
    <x v="330"/>
    <s v="UFTYBA"/>
    <s v="-"/>
    <s v="ON LINE"/>
    <s v="?"/>
    <s v="TKT"/>
    <s v="Aéreo"/>
    <s v="N"/>
    <s v="Grupo Basf"/>
    <s v="Basf Sa"/>
    <s v="-"/>
    <s v="Latam Airlines Brasil"/>
    <n v="5232211790"/>
    <s v="FCM-OPE-SAO-PVI-BASF"/>
    <s v="-"/>
    <x v="8"/>
    <n v="0"/>
    <n v="500"/>
    <n v="0"/>
    <n v="2.78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Pagamento não permitido para cobrança"/>
    <s v="Forma PG. e REC."/>
    <s v="Dados do Fornecedor"/>
    <s v="Qualidade dos dados"/>
    <s v="KONTIK BUSINESS TRAVEL"/>
  </r>
  <r>
    <n v="24854627"/>
    <n v="25692270"/>
    <s v="ACC01"/>
    <x v="353"/>
    <d v="2026-07-03T17:10:44"/>
    <s v="03 a 05 dias"/>
    <s v="03 a 05 dias"/>
    <s v="IVTOLF"/>
    <s v="SABRE"/>
    <s v="MAZZONI/PAULO"/>
    <s v="DS"/>
    <s v="Luciene Carvalho Santos"/>
    <x v="331"/>
    <s v="IVTOLF"/>
    <s v="-"/>
    <s v="ON LINE"/>
    <s v="Invoice"/>
    <s v="Faturado"/>
    <s v="Aéreo"/>
    <s v="N"/>
    <s v="Grupo Basf"/>
    <s v="Basf Sa"/>
    <s v="-"/>
    <s v="Latam Airlines Brasil"/>
    <n v="5232169522"/>
    <s v="FCM-OPE-SAO-PVI-BASF"/>
    <s v="-"/>
    <x v="307"/>
    <n v="50.42"/>
    <n v="0"/>
    <n v="0"/>
    <n v="50.42"/>
    <n v="0"/>
    <n v="0"/>
    <s v="Reserva importada por HubTravel"/>
    <s v="Finalidade não preenchida! (ACC01)"/>
    <s v="SABRE"/>
    <s v="Finalidade"/>
    <s v="Falta de informação Gerencial"/>
    <s v="Dados do Fornecedor"/>
    <s v="Qualidade dos dados"/>
    <s v="KONTIK BUSINESS TRAVEL"/>
  </r>
  <r>
    <n v="24861760"/>
    <n v="25700607"/>
    <s v="ACC01"/>
    <x v="354"/>
    <d v="2026-07-03T17:16:12"/>
    <s v="03 a 05 dias"/>
    <s v="03 a 05 dias"/>
    <s v="QCSVLN"/>
    <s v="SABRE"/>
    <s v="ALDRIGHI/WILLIAM BORGES"/>
    <s v="DS"/>
    <s v="Luciene Carvalho Santos"/>
    <x v="332"/>
    <s v="QCSVLN"/>
    <s v="-"/>
    <s v="ON LINE"/>
    <s v="?"/>
    <s v="TKT"/>
    <s v="Aéreo"/>
    <s v="N"/>
    <s v="Grupo Basf"/>
    <s v="Basf Sa"/>
    <s v="-"/>
    <s v="Latam Airlines Brasil"/>
    <n v="5232211794"/>
    <s v="FCM-OPE-SAO-PVI-BASF"/>
    <s v="-"/>
    <x v="8"/>
    <n v="0"/>
    <n v="500"/>
    <n v="0"/>
    <n v="0"/>
    <n v="0"/>
    <n v="0"/>
    <s v="Reserva importada por HubTravel"/>
    <s v="Finalidade não preenchida! (ACC01)"/>
    <s v="SABRE"/>
    <s v="Finalidade"/>
    <s v="Falta de informação Gerencial"/>
    <s v="Dados do Fornecedor"/>
    <s v="Qualidade dos dados"/>
    <s v="KONTIK BUSINESS TRAVEL"/>
  </r>
  <r>
    <n v="24861763"/>
    <n v="25700610"/>
    <s v="ACC01"/>
    <x v="355"/>
    <d v="2026-07-03T17:16:14"/>
    <s v="03 a 05 dias"/>
    <s v="03 a 05 dias"/>
    <s v="YVQYYO"/>
    <s v="SABRE"/>
    <s v="JUNIOR/EGIDIO VIEIRA BATISTA"/>
    <s v="DS"/>
    <s v="CT"/>
    <x v="333"/>
    <s v="YVQYYO"/>
    <s v="-"/>
    <s v="ON LINE"/>
    <s v="?"/>
    <s v="TKT"/>
    <s v="Aéreo"/>
    <s v="N"/>
    <s v="Grupo Basf"/>
    <s v="Basf Sa"/>
    <s v="-"/>
    <s v="Latam Airlines Brasil"/>
    <n v="5232211795"/>
    <s v="FCM-OPE-SAO-PVI-BASF"/>
    <s v="-"/>
    <x v="8"/>
    <n v="0"/>
    <n v="500"/>
    <n v="0"/>
    <n v="82.59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Pagamento não permitido para cobrança"/>
    <s v="Forma PG. e REC."/>
    <s v="Dados do Fornecedor"/>
    <s v="Qualidade dos dados"/>
    <s v="KONTIK BUSINESS TRAVEL"/>
  </r>
  <r>
    <n v="24861204"/>
    <n v="25699972"/>
    <s v="ACC01"/>
    <x v="356"/>
    <d v="2026-07-03T12:11:23"/>
    <s v="03 a 05 dias"/>
    <s v="03 a 05 dias"/>
    <s v="ODVJGD"/>
    <s v="TMS"/>
    <s v="WILLIAM GONZALES"/>
    <s v="Tms"/>
    <s v="Tms"/>
    <x v="334"/>
    <n v="7789"/>
    <s v="-"/>
    <s v="ON LINE"/>
    <s v="Outros"/>
    <s v="Cartão convênio"/>
    <s v="Aéreo"/>
    <s v="S"/>
    <s v="Grupo Ferreira Costa"/>
    <s v="Ferreira Costa - Filial Garanhuns"/>
    <s v="-"/>
    <s v="Latam Airlines Brasil"/>
    <n v="3025699972"/>
    <s v="KON-OPE-RIO-PVI-FERREIRA COSTA"/>
    <s v="-"/>
    <x v="308"/>
    <n v="33.64"/>
    <n v="0"/>
    <n v="0"/>
    <n v="0"/>
    <n v="0"/>
    <n v="0"/>
    <s v="Reserva importada do Sistema TMS. OS: 7789"/>
    <s v="Tarifa mínima não preenchida! (ACC01)"/>
    <s v="ARGO(TMS)"/>
    <s v="Tarifa mínima"/>
    <s v="Falta de informação Gerencial"/>
    <s v="Dados do Fornecedor"/>
    <s v="Qualidade dos dados"/>
    <s v="GRUPO KONTIK"/>
  </r>
  <r>
    <n v="24862066"/>
    <n v="25700985"/>
    <s v="ACC01"/>
    <x v="357"/>
    <d v="2026-07-03T17:20:34"/>
    <s v="03 a 05 dias"/>
    <s v="03 a 05 dias"/>
    <s v="HKAYSM"/>
    <s v="SABRE"/>
    <s v="RODRIGUES/FILIPE"/>
    <s v="DS"/>
    <s v="WS"/>
    <x v="304"/>
    <s v="CONCUR"/>
    <s v="-"/>
    <s v="ON LINE"/>
    <s v="?"/>
    <s v="TKT"/>
    <s v="Aéreo"/>
    <s v="N"/>
    <s v="Grupo Shell"/>
    <s v="Shell"/>
    <s v="-"/>
    <s v="Latam Airlines Brasil"/>
    <n v="2615588576"/>
    <s v="FCM-OPE-SAO-PVI-SHELL"/>
    <s v="-"/>
    <x v="8"/>
    <n v="0"/>
    <n v="500"/>
    <n v="0"/>
    <n v="18.72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Pagamento não permitido para cobrança"/>
    <s v="Forma PG. e REC."/>
    <s v="Dados do Fornecedor"/>
    <s v="Qualidade dos dados"/>
    <s v="KONTIK BUSINESS TRAVEL"/>
  </r>
  <r>
    <n v="24861319"/>
    <n v="25700102"/>
    <s v="ACC01"/>
    <x v="358"/>
    <d v="2026-07-03T12:35:08"/>
    <s v="03 a 05 dias"/>
    <s v="03 a 05 dias"/>
    <s v="OCCKPI"/>
    <s v="TMS"/>
    <s v="WILLIAM GONZALES"/>
    <s v="Tms"/>
    <s v="Tms"/>
    <x v="335"/>
    <n v="2489"/>
    <s v="-"/>
    <s v="ON LINE"/>
    <s v="Outros"/>
    <s v="Cartão convênio"/>
    <s v="Aéreo"/>
    <s v="S"/>
    <s v="Grupo Sompo Seguros"/>
    <s v="Sompo Seguros S.a."/>
    <s v="-"/>
    <s v="Latam Airlines Brasil"/>
    <n v="3025700102"/>
    <s v="KON-OPE-RIO-PVI-BTC RJ"/>
    <s v="-"/>
    <x v="309"/>
    <n v="33.64"/>
    <n v="0"/>
    <n v="0"/>
    <n v="0"/>
    <n v="0"/>
    <n v="0"/>
    <s v="Reserva importada do Sistema TMS. OS: 2489"/>
    <s v="Tarifa mínima não preenchida! (ACC01)"/>
    <s v="ARGO(TMS)"/>
    <s v="Tarifa mínima"/>
    <s v="Falta de informação Gerencial"/>
    <s v="Dados do Fornecedor"/>
    <s v="Qualidade dos dados"/>
    <s v="GRUPO KONTIK"/>
  </r>
  <r>
    <n v="24861375"/>
    <n v="25700172"/>
    <s v="ACC01"/>
    <x v="359"/>
    <d v="2026-07-03T17:16:11"/>
    <s v="03 a 05 dias"/>
    <s v="03 a 05 dias"/>
    <s v="NFZPEW"/>
    <s v="SABRE"/>
    <s v="KIMURA SHIMURA/LILIAN YUKIKO"/>
    <s v="CT"/>
    <s v="CT"/>
    <x v="260"/>
    <s v="NFZPEW"/>
    <s v="-"/>
    <s v="ON LINE"/>
    <s v="Cartão de crédito"/>
    <s v="Cartão AMEX"/>
    <s v="Aéreo"/>
    <s v="N"/>
    <s v="Grupo Livanova"/>
    <s v="Livanova Brasil"/>
    <s v="-"/>
    <s v="Latam Airlines Brasil"/>
    <s v="-"/>
    <s v="FCM-OPE-SAO-PVI-BTC"/>
    <s v="-"/>
    <x v="310"/>
    <n v="90.42"/>
    <n v="0"/>
    <n v="0"/>
    <n v="0"/>
    <n v="0"/>
    <n v="0"/>
    <s v="Reserva importada por HubTravel"/>
    <s v="Necessário informar o bilhete"/>
    <s v="SABRE"/>
    <s v="Venda sem bilhete"/>
    <s v="Validação de Dados"/>
    <s v="Dados do Fornecedor"/>
    <s v="Qualidade dos dados"/>
    <s v="KONTIK BUSINESS TRAVEL"/>
  </r>
  <r>
    <n v="24861368"/>
    <n v="25700163"/>
    <s v="ACC01"/>
    <x v="360"/>
    <d v="2026-07-03T17:16:06"/>
    <s v="03 a 05 dias"/>
    <s v="03 a 05 dias"/>
    <s v="LORFOE"/>
    <s v="SABRE"/>
    <s v="PACHECO/FLAVIO"/>
    <s v="CT"/>
    <s v="CT"/>
    <x v="336"/>
    <s v="LORFOE"/>
    <s v="-"/>
    <s v="ON LINE"/>
    <s v="Cartão de crédito"/>
    <s v="Cartão AMEX"/>
    <s v="Aéreo"/>
    <s v="N"/>
    <s v="Grupo Livanova"/>
    <s v="Livanova Brasil"/>
    <s v="-"/>
    <s v="Latam Airlines Brasil"/>
    <s v="-"/>
    <s v="FCM-OPE-SAO-PVI-BTC"/>
    <s v="-"/>
    <x v="311"/>
    <n v="175.18"/>
    <n v="0"/>
    <n v="0"/>
    <n v="0"/>
    <n v="0"/>
    <n v="0"/>
    <s v="Reserva importada por HubTravel"/>
    <s v="Necessário informar o bilhete"/>
    <s v="SABRE"/>
    <s v="Venda sem bilhete"/>
    <s v="Validação de Dados"/>
    <s v="Dados do Fornecedor"/>
    <s v="Qualidade dos dados"/>
    <s v="KONTIK BUSINESS TRAVEL"/>
  </r>
  <r>
    <n v="24861370"/>
    <n v="25700165"/>
    <s v="ACC01"/>
    <x v="361"/>
    <d v="2026-07-03T17:16:08"/>
    <s v="03 a 05 dias"/>
    <s v="03 a 05 dias"/>
    <s v="NFAHXN"/>
    <s v="SABRE"/>
    <s v="KIMURA SHIMURA/LILIAN YUKIKO"/>
    <s v="CT"/>
    <s v="CT"/>
    <x v="337"/>
    <s v="NFAHXN"/>
    <s v="-"/>
    <s v="ON LINE"/>
    <s v="Cartão de crédito"/>
    <s v="Cartão AMEX"/>
    <s v="Aéreo"/>
    <s v="N"/>
    <s v="Grupo Livanova"/>
    <s v="Livanova Brasil"/>
    <s v="-"/>
    <s v="Latam Airlines Brasil"/>
    <s v="-"/>
    <s v="FCM-OPE-SAO-PVI-BTC"/>
    <s v="-"/>
    <x v="311"/>
    <n v="175.18"/>
    <n v="0"/>
    <n v="0"/>
    <n v="0"/>
    <n v="0"/>
    <n v="0"/>
    <s v="Reserva importada por HubTravel"/>
    <s v="Necessário informar o bilhete"/>
    <s v="SABRE"/>
    <s v="Venda sem bilhete"/>
    <s v="Validação de Dados"/>
    <s v="Dados do Fornecedor"/>
    <s v="Qualidade dos dados"/>
    <s v="KONTIK BUSINESS TRAVEL"/>
  </r>
  <r>
    <n v="24861373"/>
    <n v="25700168"/>
    <s v="ACC01"/>
    <x v="362"/>
    <d v="2026-07-03T17:16:09"/>
    <s v="03 a 05 dias"/>
    <s v="03 a 05 dias"/>
    <s v="LPPJIV"/>
    <s v="SABRE"/>
    <s v="PACHECO/FLAVIO"/>
    <s v="CT"/>
    <s v="CT"/>
    <x v="259"/>
    <s v="LPPJIV"/>
    <s v="-"/>
    <s v="ON LINE"/>
    <s v="Cartão de crédito"/>
    <s v="Cartão AMEX"/>
    <s v="Aéreo"/>
    <s v="N"/>
    <s v="Grupo Livanova"/>
    <s v="Livanova Brasil"/>
    <s v="-"/>
    <s v="Latam Airlines Brasil"/>
    <s v="-"/>
    <s v="FCM-OPE-SAO-PVI-BTC"/>
    <s v="-"/>
    <x v="310"/>
    <n v="90.42"/>
    <n v="0"/>
    <n v="0"/>
    <n v="0"/>
    <n v="0"/>
    <n v="0"/>
    <s v="Reserva importada por HubTravel"/>
    <s v="Necessário informar o bilhete"/>
    <s v="SABRE"/>
    <s v="Venda sem bilhete"/>
    <s v="Validação de Dados"/>
    <s v="Dados do Fornecedor"/>
    <s v="Qualidade dos dados"/>
    <s v="KONTIK BUSINESS TRAVEL"/>
  </r>
  <r>
    <n v="24839186"/>
    <n v="25675942"/>
    <s v="ACC01"/>
    <x v="363"/>
    <d v="2026-06-29T22:16:26"/>
    <s v="06 a 08 dias"/>
    <s v="06 a 08 dias"/>
    <s v="FDCQKV"/>
    <s v="TMS"/>
    <s v="BEATRIZ ARAUJO JOBIM STUDART"/>
    <s v="Jeane Alencar Pereira"/>
    <s v="Jeane Alencar Pereira"/>
    <x v="338"/>
    <n v="68534"/>
    <s v="-"/>
    <s v="OFF LINE"/>
    <s v="Invoice"/>
    <s v="Faturado"/>
    <s v="Aéreo"/>
    <s v="N"/>
    <s v="Grupo Motiva"/>
    <s v="Metro Bahia"/>
    <s v="-"/>
    <s v="Latam Airlines Brasil"/>
    <n v="2293809345"/>
    <s v="KON-OPE-SAO-PVI-CCR"/>
    <s v="-"/>
    <x v="8"/>
    <n v="0"/>
    <n v="0"/>
    <n v="0"/>
    <n v="0"/>
    <n v="0"/>
    <n v="0"/>
    <s v="Reserva importada do Sistema TMS. OS: 68534"/>
    <s v="Tarifa mínima não preenchida! (ACC01)"/>
    <s v="ARGO(TMS)"/>
    <s v="Tarifa mínima"/>
    <s v="Falta de informação Gerencial"/>
    <s v="Dados do Fornecedor"/>
    <s v="Qualidade dos dados"/>
    <s v="KONTIK BUSINESS TRAVEL"/>
  </r>
  <r>
    <n v="24861318"/>
    <n v="25700101"/>
    <s v="ACC01"/>
    <x v="364"/>
    <d v="2026-07-03T12:35:08"/>
    <s v="03 a 05 dias"/>
    <s v="03 a 05 dias"/>
    <s v="MBXYZM"/>
    <s v="TMS"/>
    <s v="WILLIAM GONZALES"/>
    <s v="Tms"/>
    <s v="Tms"/>
    <x v="339"/>
    <n v="690"/>
    <s v="-"/>
    <s v="ON LINE"/>
    <s v="Outros"/>
    <s v="Cartão convênio"/>
    <s v="Aéreo"/>
    <s v="S"/>
    <s v="Grupo Santo Antonio Energia"/>
    <s v="Santo Antonio Energia S.a."/>
    <s v="-"/>
    <s v="Latam Airlines Brasil"/>
    <n v="3025700101"/>
    <s v="KON-OPE-RIO-PVI-BTC RJ"/>
    <s v="-"/>
    <x v="308"/>
    <n v="33.64"/>
    <n v="0"/>
    <n v="0"/>
    <n v="0"/>
    <n v="0"/>
    <n v="0"/>
    <s v="Reserva importada do Sistema TMS. OS: 690"/>
    <s v="Tarifa mínima não preenchida! (ACC01)"/>
    <s v="ARGO(TMS)"/>
    <s v="Tarifa mínima"/>
    <s v="Falta de informação Gerencial"/>
    <s v="Dados do Fornecedor"/>
    <s v="Qualidade dos dados"/>
    <s v="GRUPO KONTIK"/>
  </r>
  <r>
    <n v="24862065"/>
    <n v="25700980"/>
    <s v="ACC01"/>
    <x v="365"/>
    <d v="2026-07-03T17:20:32"/>
    <s v="03 a 05 dias"/>
    <s v="03 a 05 dias"/>
    <s v="LNPTMK"/>
    <s v="SABRE"/>
    <s v="FULEKI JUNIOR/FERNANDO"/>
    <s v="V7"/>
    <s v="SHARON STONE RODRIGUES MARQUES"/>
    <x v="340"/>
    <s v="3TF7"/>
    <s v="-"/>
    <s v="ON LINE"/>
    <s v="Cartão de crédito"/>
    <s v="Cartão AMEX"/>
    <s v="Aéreo"/>
    <s v="N"/>
    <s v="Grupo Atento"/>
    <s v="Atento Brasil S/a"/>
    <s v="-"/>
    <s v="Latam Airlines Brasil"/>
    <n v="2615339924"/>
    <s v="FCM-OPE-POA-PVI-ATENTO"/>
    <s v="-"/>
    <x v="312"/>
    <n v="64.56"/>
    <n v="337.63"/>
    <n v="0"/>
    <n v="64.56"/>
    <n v="0"/>
    <n v="0"/>
    <s v="Reserva importada por HubTravel"/>
    <s v="Centro de custo não preenchido! (ACC01) Projeto não preenchido! (ACC01)"/>
    <s v="SABRE"/>
    <s v="Mais de um campo não preenchido"/>
    <s v="Falta de informação Gerencial"/>
    <s v="Dados do Fornecedor"/>
    <s v="Qualidade dos dados"/>
    <s v="KONTIK BUSINESS TRAVEL"/>
  </r>
  <r>
    <n v="24852460"/>
    <n v="25689798"/>
    <s v="ACC01"/>
    <x v="366"/>
    <d v="2026-07-06T05:40:27"/>
    <s v="0 a 02 dias"/>
    <s v="03 a 05 dias"/>
    <s v="GYVKJO"/>
    <s v="TMS"/>
    <s v="CAMILLA TAPIAS"/>
    <s v="Wilson Jose Araujo de Gusmao Junior"/>
    <s v="Wilson Jose Araujo de Gusmao Junior"/>
    <x v="312"/>
    <n v="21569"/>
    <s v="-"/>
    <s v="OFF LINE"/>
    <s v="Cartão de crédito"/>
    <s v="Cartão AMEX"/>
    <s v="Aéreo"/>
    <s v="N"/>
    <s v="Grupo Braskem"/>
    <s v="Braskem - Camacari"/>
    <s v="-"/>
    <s v="American Airlines"/>
    <n v="5232211051"/>
    <s v="KON-OPE-SAO-PVI-BRASKEM"/>
    <s v="-"/>
    <x v="313"/>
    <n v="163.12"/>
    <n v="0"/>
    <n v="0"/>
    <n v="0"/>
    <n v="0"/>
    <n v="0"/>
    <s v="Reserva importada do Sistema TMS. OS: 21569"/>
    <s v="A venda possui enriquecimento de dados pendente. Aguarde a conclusão antes de prosseguir"/>
    <s v="ARGO(TMS)"/>
    <s v="Enriquecimento de dados pendente"/>
    <s v="Validação de Dados"/>
    <s v="Dados do Fornecedor"/>
    <s v="Qualidade dos dados"/>
    <s v="GRUPO KONTIK"/>
  </r>
  <r>
    <n v="24857769"/>
    <n v="25695857"/>
    <s v="ACC01"/>
    <x v="367"/>
    <d v="2026-07-03T17:15:48"/>
    <s v="03 a 05 dias"/>
    <s v="03 a 05 dias"/>
    <s v="YBEJOG"/>
    <s v="SABRE"/>
    <s v="LUCAS CUNHA BELTRAME"/>
    <s v="5I"/>
    <s v="Felipe Anderson da Silva"/>
    <x v="341"/>
    <n v="60255"/>
    <s v="-"/>
    <s v="OFF LINE"/>
    <s v="Invoice"/>
    <s v="Faturado"/>
    <s v="Aéreo"/>
    <s v="N"/>
    <s v="Grupo Ingredion"/>
    <s v="Ingredion Br"/>
    <s v="-"/>
    <s v="United"/>
    <n v="5232171649"/>
    <s v="FCM-OPE-SAO-PVI-INGREDION"/>
    <s v="-"/>
    <x v="314"/>
    <n v="64.56"/>
    <n v="388.7"/>
    <n v="0"/>
    <n v="64.56"/>
    <n v="0"/>
    <n v="0"/>
    <s v="Reserva importada por HubTravel"/>
    <s v="Departamento não preenchido! (ACC01) Projeto não preenchido! (ACC01)"/>
    <s v="SABRE"/>
    <s v="Mais de um campo não preenchido"/>
    <s v="Falta de informação Gerencial"/>
    <s v="Dados do Fornecedor"/>
    <s v="Qualidade dos dados"/>
    <s v="KONTIK BUSINESS TRAVEL"/>
  </r>
  <r>
    <n v="24862003"/>
    <n v="25700906"/>
    <s v="ACC01"/>
    <x v="368"/>
    <d v="2026-07-03T17:16:15"/>
    <s v="03 a 05 dias"/>
    <s v="03 a 05 dias"/>
    <s v="OIJPOT"/>
    <s v="SABRE"/>
    <s v="VITALIS/CHARLES"/>
    <s v="V7"/>
    <s v="WY"/>
    <x v="246"/>
    <s v="OIJPOT"/>
    <s v="-"/>
    <s v="ON LINE"/>
    <s v="Cartão de crédito"/>
    <s v="Cartão de crédito"/>
    <s v="Aéreo"/>
    <s v="N"/>
    <s v="Grupo Jti"/>
    <s v="Jti Processadora"/>
    <s v="-"/>
    <s v="Swiss"/>
    <n v="9552144191"/>
    <s v="FCM-OPE-POA-PVI-BTC CONCUR"/>
    <s v="-"/>
    <x v="315"/>
    <n v="159.93"/>
    <n v="692.51"/>
    <n v="0"/>
    <n v="159.93"/>
    <n v="0"/>
    <n v="0"/>
    <s v="Reserva importada por HubTravel"/>
    <s v="Centro de custo não preenchido! (ACC01) Empenho/departamento não preenchido! (ACC01) Finalidade não preenchida! (ACC01)"/>
    <s v="SABRE"/>
    <s v="Mais de um campo não preenchido"/>
    <s v="Falta de informação Gerencial"/>
    <s v="Dados do Fornecedor"/>
    <s v="Qualidade dos dados"/>
    <s v="KONTIK BUSINESS TRAVEL"/>
  </r>
  <r>
    <n v="24858268"/>
    <n v="25696521"/>
    <s v="ACC01"/>
    <x v="369"/>
    <d v="2026-07-03T17:18:35"/>
    <s v="03 a 05 dias"/>
    <s v="03 a 05 dias"/>
    <s v="WUOJKNT"/>
    <s v="SABRE"/>
    <s v="ASAPU/NAMASIVAYA  MR"/>
    <s v="VANESSA ARAUJO ALVES"/>
    <s v="VANESSA ARAUJO ALVES"/>
    <x v="342"/>
    <s v="WUOJKN"/>
    <s v="-"/>
    <s v="ON LINE"/>
    <s v="Invoice"/>
    <s v="Faturado"/>
    <s v="Hotel"/>
    <s v="N"/>
    <s v="Grupo Innomotics"/>
    <s v="Innomotics Motores e Grandes Conversores Ltda"/>
    <s v="-"/>
    <s v="Ibis Sao Paulo Paulista"/>
    <s v="-"/>
    <s v="FCM-OPE-SAO-PVI-BTC"/>
    <s v="-"/>
    <x v="316"/>
    <n v="0"/>
    <n v="0"/>
    <n v="0"/>
    <n v="0"/>
    <n v="0"/>
    <n v="0"/>
    <s v="Reserva importada por HubTravel"/>
    <s v="Centro de cus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4858269"/>
    <n v="25696522"/>
    <s v="ACC01"/>
    <x v="370"/>
    <d v="2026-07-03T17:18:35"/>
    <s v="03 a 05 dias"/>
    <s v="03 a 05 dias"/>
    <s v="KYUNAXT"/>
    <s v="SABRE"/>
    <s v="ZANDER/MATHIAS MR"/>
    <s v="VANESSA ARAUJO ALVES"/>
    <s v="VANESSA ARAUJO ALVES"/>
    <x v="343"/>
    <s v="KYUNAX"/>
    <s v="-"/>
    <s v="ON LINE"/>
    <s v="Invoice"/>
    <s v="Faturado"/>
    <s v="Hotel"/>
    <s v="N"/>
    <s v="Grupo Innomotics"/>
    <s v="Innomotics Motores e Grandes Conversores Ltda"/>
    <s v="-"/>
    <s v="Ibis Sao Paulo Paulista"/>
    <s v="-"/>
    <s v="FCM-OPE-SAO-PVI-BTC"/>
    <s v="-"/>
    <x v="316"/>
    <n v="0"/>
    <n v="0"/>
    <n v="0"/>
    <n v="0"/>
    <n v="0"/>
    <n v="0"/>
    <s v="Reserva importada por HubTravel"/>
    <s v="Centro de cus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4848232"/>
    <n v="25684783"/>
    <s v="ACC01"/>
    <x v="371"/>
    <d v="2026-07-02T03:15:58"/>
    <s v="03 a 05 dias"/>
    <s v="03 a 05 dias"/>
    <s v="EVWTJA"/>
    <s v="GOVER"/>
    <s v="N/I"/>
    <s v="Jose Luiz Lace Rodrigues"/>
    <s v="Jose Luiz Lace Rodrigues"/>
    <x v="344"/>
    <n v="4716891"/>
    <s v="-"/>
    <s v="OFF LINE"/>
    <s v="Cartão de crédito"/>
    <s v="Cartão de crédito"/>
    <s v="Hotel"/>
    <s v="N"/>
    <s v="Grupo British American Tobacco"/>
    <s v="Bat | Souza Cruz - Matriz"/>
    <s v="-"/>
    <s v="Hotel Deville Prime Porto Alegre"/>
    <s v="-"/>
    <s v="FCM-OPE-SAO-PVI-BAT"/>
    <s v="-"/>
    <x v="317"/>
    <n v="266.39999999999998"/>
    <n v="0"/>
    <n v="0"/>
    <n v="0"/>
    <n v="0"/>
    <n v="0"/>
    <s v="Reserva importada do sistema Gover. Id: 4716891"/>
    <s v="Centro de custo não preenchido! (ACC01)"/>
    <s v="GOVER"/>
    <s v="Centro de custo"/>
    <s v="Falta de informação Gerencial"/>
    <s v="Dados do Fornecedor"/>
    <s v="Qualidade dos dados"/>
    <s v="KONTIK BUSINESS TRAVEL"/>
  </r>
  <r>
    <n v="24838052"/>
    <n v="25674779"/>
    <s v="ACC01"/>
    <x v="372"/>
    <d v="2026-06-30T04:03:21"/>
    <s v="06 a 08 dias"/>
    <s v="06 a 08 dias"/>
    <s v="H4716282"/>
    <s v="GOVER"/>
    <s v="N/I"/>
    <s v="Jose Luiz Lace Rodrigues"/>
    <s v="Jose Luiz Lace Rodrigues"/>
    <x v="345"/>
    <n v="4716282"/>
    <s v="-"/>
    <s v="OFF LINE"/>
    <s v="Cartão de crédito"/>
    <s v="Cartão de crédito"/>
    <s v="Hotel"/>
    <s v="N"/>
    <s v="Grupo British American Tobacco"/>
    <s v="Bat | Souza Cruz - Matriz"/>
    <s v="-"/>
    <s v="Hotel Deville Prime Porto Alegre"/>
    <s v="-"/>
    <s v="FCM-OPE-SAO-PVI-BAT"/>
    <s v="-"/>
    <x v="318"/>
    <n v="726.75"/>
    <n v="0"/>
    <n v="0"/>
    <n v="0"/>
    <n v="0"/>
    <n v="0"/>
    <s v="Reserva importada do sistema Gover. Id: 4716282"/>
    <s v="Centro de custo não preenchido! (ACC01)"/>
    <s v="GOVER"/>
    <s v="Centro de custo"/>
    <s v="Falta de informação Gerencial"/>
    <s v="Dados do Fornecedor"/>
    <s v="Qualidade dos dados"/>
    <s v="KONTIK BUSINESS TRAVEL"/>
  </r>
  <r>
    <n v="24849121"/>
    <n v="25685840"/>
    <s v="ACC01"/>
    <x v="373"/>
    <d v="2026-07-03T17:14:11"/>
    <s v="03 a 05 dias"/>
    <s v="03 a 05 dias"/>
    <s v="ASWBTET"/>
    <s v="SABRE"/>
    <s v="MORAIS DO NASCIMENTO DE VILA/FERNANDA MS"/>
    <s v="SHARON STONE RODRIGUES MARQUES"/>
    <s v="SHARON STONE RODRIGUES MARQUES"/>
    <x v="286"/>
    <s v="ASWBTE"/>
    <s v="-"/>
    <s v="OFF LINE"/>
    <s v="Invoice"/>
    <s v="Faturado"/>
    <s v="Hotel"/>
    <s v="N"/>
    <s v="Grupo Chanel"/>
    <s v="Chanel"/>
    <s v="-"/>
    <s v="Quality Faria Lima"/>
    <s v="-"/>
    <s v="FCM-OPE-SAO-PVI-BTC-CONCUR-CHANEL"/>
    <s v="-"/>
    <x v="319"/>
    <n v="0"/>
    <n v="0"/>
    <n v="0"/>
    <n v="0"/>
    <n v="0"/>
    <n v="0"/>
    <s v="Reserva importada por HubTravel"/>
    <s v="Centro de cus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4834863"/>
    <n v="25671646"/>
    <s v="ACC01"/>
    <x v="374"/>
    <d v="2026-06-29T09:57:40"/>
    <s v="06 a 08 dias"/>
    <s v="06 a 08 dias"/>
    <s v="6Q7IMT"/>
    <s v="MANUAL"/>
    <s v="CASAGRANDE/PAULO LEONARDO"/>
    <s v="BRUNA SEBBEN"/>
    <s v="BRUNA SEBBEN"/>
    <x v="346"/>
    <s v="-"/>
    <s v="-"/>
    <s v="OFF LINE"/>
    <s v="Outros"/>
    <s v="Cartão de crédito"/>
    <s v="Serviço"/>
    <s v="N"/>
    <s v="Grupo Baker Mckenzie"/>
    <s v="Baker Mckenzie - Sao Paulo"/>
    <s v="-"/>
    <s v="Tt Operadora"/>
    <s v="-"/>
    <s v="FCM-OPE-SAO-PVI-BTC"/>
    <s v="-"/>
    <x v="320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MANUAL"/>
    <s v="Pagamento não permitido para cobrança"/>
    <s v="Forma PG. e REC."/>
    <s v="Dados do Fornecedor"/>
    <s v="Qualidade dos dados"/>
    <s v="KONTIK BUSINESS TRAVEL"/>
  </r>
  <r>
    <n v="24854875"/>
    <n v="25692575"/>
    <s v="ACC01"/>
    <x v="375"/>
    <d v="2026-07-02T13:16:21"/>
    <s v="03 a 05 dias"/>
    <s v="03 a 05 dias"/>
    <n v="23559154"/>
    <s v="GOVER"/>
    <s v="Matheus Gayer do Amaral"/>
    <s v="DANIELLE RIZZETO BEZERRA ALVES"/>
    <s v="DANIELLE RIZZETO BEZERRA ALVES"/>
    <x v="347"/>
    <n v="4717665"/>
    <s v="-"/>
    <s v="OFF LINE"/>
    <s v="Cartão de crédito"/>
    <s v="Cartão de crédito"/>
    <s v="Hotel"/>
    <s v="N"/>
    <s v="Grupo Intercement"/>
    <s v="Intercement Nacoes Unidas"/>
    <s v="-"/>
    <s v="Intercity Premium Berrini"/>
    <s v="-"/>
    <s v="KON-OPE-SAO-PVI-MOVER"/>
    <s v="-"/>
    <x v="321"/>
    <n v="55.1"/>
    <n v="0"/>
    <n v="0"/>
    <n v="0"/>
    <n v="0"/>
    <n v="0"/>
    <s v="Reserva importada do sistema Gover. Id: 4717665"/>
    <s v=" Configurações        -&gt; Configurações do sistema turismo          -&gt; Importação das vendas            -&gt; Impedir vendas com data superior à atual"/>
    <s v="GOVER"/>
    <s v="Pagamento não permitido para cobrança"/>
    <s v="Forma PG. e REC."/>
    <s v="Dados do Fornecedor"/>
    <s v="Qualidade dos dados"/>
    <s v="KONTIK BUSINESS TRAVEL"/>
  </r>
  <r>
    <n v="24853806"/>
    <n v="25691357"/>
    <s v="ACC01"/>
    <x v="376"/>
    <d v="2026-07-02T10:55:11"/>
    <s v="03 a 05 dias"/>
    <s v="03 a 05 dias"/>
    <s v="h4716872"/>
    <s v="GOVER"/>
    <s v="João  Vitor Valcarenghi"/>
    <s v="Valeria Aparecida Civitate"/>
    <s v="Valeria Aparecida Civitate"/>
    <x v="246"/>
    <n v="4716872"/>
    <s v="-"/>
    <s v="OFF LINE"/>
    <s v="Cartão de crédito"/>
    <s v="Cartão de crédito"/>
    <s v="Hotel"/>
    <s v="N"/>
    <s v="Grupo Atlas Copco"/>
    <s v="Atlas Copco Brasil"/>
    <s v="-"/>
    <s v="Hotel Coroados - Nova Prata - Inativo"/>
    <s v="-"/>
    <s v="FCM-OPE-SAO-PVI-BTC"/>
    <s v="-"/>
    <x v="322"/>
    <n v="0"/>
    <n v="0"/>
    <n v="0"/>
    <n v="0"/>
    <n v="0"/>
    <n v="0"/>
    <s v="Reserva importada do sistema Gover. Id: 4716872"/>
    <s v="Não foi possível encontrar um contrato válido para o fornecedor 15455 (Código fornecedor) "/>
    <s v="GOVER"/>
    <s v="Contrato de fornecedor"/>
    <s v="Análise Cadastro"/>
    <s v="Dados do Fornecedor"/>
    <s v="Qualidade dos dados"/>
    <s v="KONTIK BUSINESS TRAVEL"/>
  </r>
  <r>
    <n v="24861202"/>
    <n v="25699970"/>
    <s v="ACC01"/>
    <x v="346"/>
    <d v="2026-07-03T12:11:22"/>
    <s v="03 a 05 dias"/>
    <s v="03 a 05 dias"/>
    <s v="JRVB4R"/>
    <s v="TMS"/>
    <s v="WILLIAM GONZALES"/>
    <s v="Tms"/>
    <s v="Tms"/>
    <x v="324"/>
    <n v="6364"/>
    <s v="-"/>
    <s v="ON LINE"/>
    <s v="Outros"/>
    <s v="Cartão convênio"/>
    <s v="Aéreo"/>
    <s v="S"/>
    <s v="Grupo Epson"/>
    <s v="Epson"/>
    <s v="-"/>
    <s v="Azul Linhas Aereas"/>
    <n v="3025699970"/>
    <s v="KON-OPE-SAO-PVI-BTC-ARGO"/>
    <s v="-"/>
    <x v="323"/>
    <n v="35.15"/>
    <n v="0"/>
    <n v="0"/>
    <n v="0"/>
    <n v="0"/>
    <n v="0"/>
    <s v="Reserva importada do Sistema TMS. OS: 6364"/>
    <s v="Tarifa mínima não preenchida! (ACC01)"/>
    <s v="ARGO(TMS)"/>
    <s v="Tarifa mínima"/>
    <s v="Falta de informação Gerencial"/>
    <s v="Dados do Fornecedor"/>
    <s v="Qualidade dos dados"/>
    <s v="GRUPO KONTIK"/>
  </r>
  <r>
    <n v="24861207"/>
    <n v="25699975"/>
    <s v="ACC01"/>
    <x v="377"/>
    <d v="2026-07-03T12:16:09"/>
    <s v="03 a 05 dias"/>
    <s v="03 a 05 dias"/>
    <s v="KR2VXX"/>
    <s v="TMS"/>
    <s v="WILLIAM GONZALES"/>
    <s v="Tms"/>
    <s v="Tms"/>
    <x v="325"/>
    <n v="7867"/>
    <s v="-"/>
    <s v="ON LINE"/>
    <s v="Outros"/>
    <s v="Cartão convênio"/>
    <s v="Aéreo"/>
    <s v="S"/>
    <s v="Grupo Hpe"/>
    <s v="Hpe Automotores - Catalao"/>
    <s v="-"/>
    <s v="Azul Linhas Aereas"/>
    <n v="3025699975"/>
    <s v="KON-OPE-SAO-PVI-BTC-ARGO"/>
    <s v="-"/>
    <x v="324"/>
    <n v="35.15"/>
    <n v="0"/>
    <n v="0"/>
    <n v="0"/>
    <n v="0"/>
    <n v="0"/>
    <s v="Reserva importada do Sistema TMS. OS: 7867"/>
    <s v="Tarifa mínima não preenchida! (ACC01)"/>
    <s v="ARGO(TMS)"/>
    <s v="Tarifa mínima"/>
    <s v="Falta de informação Gerencial"/>
    <s v="Dados do Fornecedor"/>
    <s v="Qualidade dos dados"/>
    <s v="GRUPO KONTIK"/>
  </r>
  <r>
    <n v="24853839"/>
    <n v="25691393"/>
    <s v="ACC01"/>
    <x v="378"/>
    <d v="2026-07-02T10:56:39"/>
    <s v="03 a 05 dias"/>
    <s v="03 a 05 dias"/>
    <s v="6RLM81"/>
    <s v="TMS"/>
    <s v="PAZ/LUIS HENRIQUE"/>
    <s v="Jessica Soares Teixeira"/>
    <s v="Jessica Soares Teixeira"/>
    <x v="348"/>
    <n v="128601"/>
    <s v="-"/>
    <s v="OFF LINE"/>
    <s v="Cartão de crédito"/>
    <s v="Cartão de crédito"/>
    <s v="Aéreo"/>
    <s v="N"/>
    <s v="Grupo Ache"/>
    <s v="Ache Laboratorios Farmaceuticos Sa"/>
    <s v="-"/>
    <s v="Azul Linhas Aereas"/>
    <n v="3025691393"/>
    <s v="KON-OPE-SAO-PVI-ACHE"/>
    <s v="-"/>
    <x v="8"/>
    <n v="175"/>
    <n v="0"/>
    <n v="0"/>
    <n v="0"/>
    <n v="0"/>
    <n v="0"/>
    <s v="Reserva importada do Sistema TMS. OS: 128601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853840"/>
    <n v="25691394"/>
    <s v="ACC01"/>
    <x v="379"/>
    <d v="2026-07-02T10:56:39"/>
    <s v="03 a 05 dias"/>
    <s v="03 a 05 dias"/>
    <s v="6R11KQ"/>
    <s v="TMS"/>
    <s v="PAZ/LUIS HENRIQUE"/>
    <s v="Jessica Soares Teixeira"/>
    <s v="Jessica Soares Teixeira"/>
    <x v="348"/>
    <n v="128601"/>
    <s v="-"/>
    <s v="OFF LINE"/>
    <s v="Cartão de crédito"/>
    <s v="Cartão de crédito"/>
    <s v="Aéreo"/>
    <s v="N"/>
    <s v="Grupo Ache"/>
    <s v="Ache Laboratorios Farmaceuticos Sa"/>
    <s v="-"/>
    <s v="Azul Linhas Aereas"/>
    <n v="3025691394"/>
    <s v="KON-OPE-SAO-PVI-ACHE"/>
    <s v="-"/>
    <x v="8"/>
    <n v="175"/>
    <n v="0"/>
    <n v="0"/>
    <n v="0"/>
    <n v="0"/>
    <n v="0"/>
    <s v="Reserva importada do Sistema TMS. OS: 128601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843269"/>
    <n v="25679578"/>
    <s v="ACC01"/>
    <x v="380"/>
    <d v="2026-06-30T16:51:35"/>
    <s v="06 a 08 dias"/>
    <s v="06 a 08 dias"/>
    <s v="TR664H"/>
    <s v="TMS"/>
    <s v="MATHEUS MAIA"/>
    <s v="SAMANTHA OLIVEIRA NASCIMENTO"/>
    <s v="SAMANTHA OLIVEIRA NASCIMENTO"/>
    <x v="349"/>
    <n v="133667"/>
    <s v="-"/>
    <s v="OFF LINE"/>
    <s v="Cartão de crédito"/>
    <s v="Cartão de crédito"/>
    <s v="Aéreo"/>
    <s v="N"/>
    <s v="Grupo Deloitte"/>
    <s v="Deloitte Auditores - Fortaleza"/>
    <s v="-"/>
    <s v="Azul Linhas Aereas"/>
    <n v="3025679577"/>
    <s v="KON-OPE-SAO-PVI-BTC-ARGO-DELOITTE"/>
    <s v="-"/>
    <x v="325"/>
    <n v="55.17"/>
    <n v="0"/>
    <n v="0"/>
    <n v="0"/>
    <n v="0"/>
    <n v="0"/>
    <s v="Reserva importada do Sistema TMS. OS: 133667"/>
    <s v="Autorização do cartão da forma de pagamento não preenchida! (ACC01) Autorização do cartão da forma de recebimento não preenchida! (ACC01)"/>
    <s v="ARGO(TMS)"/>
    <s v="Mais de um campo não preenchido"/>
    <s v="Falta de informação Gerencial"/>
    <s v="Dados do Fornecedor"/>
    <s v="Qualidade dos dados"/>
    <s v="KONTIK BUSINESS TRAVEL"/>
  </r>
  <r>
    <n v="24849618"/>
    <n v="25686384"/>
    <s v="ACC01"/>
    <x v="381"/>
    <d v="2026-07-01T16:56:17"/>
    <s v="03 a 05 dias"/>
    <s v="03 a 05 dias"/>
    <s v="QKDQ5M1"/>
    <s v="TMS"/>
    <s v="CLAUDIA GOMES"/>
    <s v="Adriana Dias de Grano"/>
    <s v="Adriana Dias de Grano"/>
    <x v="350"/>
    <n v="133746"/>
    <s v="-"/>
    <s v="OFF LINE"/>
    <s v="Cartão de crédito"/>
    <s v="Cartão AMEX"/>
    <s v="Aéreo"/>
    <s v="N"/>
    <s v="Grupo Deloitte"/>
    <s v="Deloitte Consultores - Sao Paulo"/>
    <s v="-"/>
    <s v="Azul Linhas Aereas"/>
    <n v="3025686384"/>
    <s v="KON-OPE-SAO-PVI-BTC-ARGO-DELOITTE"/>
    <s v="-"/>
    <x v="8"/>
    <n v="0"/>
    <n v="0"/>
    <n v="0"/>
    <n v="0"/>
    <n v="0"/>
    <n v="0"/>
    <s v="Reserva importada do Sistema TMS. OS: 133746"/>
    <s v="Autorização do cartão da forma de pagamento não preenchida! (ACC01) Autorização do cartão da forma de recebimento não preenchida! (ACC01)"/>
    <s v="ARGO(TMS)"/>
    <s v="Mais de um campo não preenchido"/>
    <s v="Falta de informação Gerencial"/>
    <s v="Dados do Fornecedor"/>
    <s v="Qualidade dos dados"/>
    <s v="KONTIK BUSINESS TRAVEL"/>
  </r>
  <r>
    <n v="24860441"/>
    <n v="25699034"/>
    <s v="ACC01"/>
    <x v="382"/>
    <d v="2026-07-03T17:16:00"/>
    <s v="03 a 05 dias"/>
    <s v="03 a 05 dias"/>
    <s v="UUQKKQ"/>
    <s v="SABRE"/>
    <s v="ALVES/GLEYCE"/>
    <s v="Valeria Domingues Cavalcante"/>
    <s v="Valeria Domingues Cavalcante"/>
    <x v="351"/>
    <s v="UUQKKQ"/>
    <s v="-"/>
    <s v="OFF LINE"/>
    <s v="?"/>
    <s v="?"/>
    <s v="Aéreo"/>
    <s v="N"/>
    <s v="Grupo Bosch"/>
    <s v="Bosch Home Comfort do Brasil Ltda"/>
    <s v="-"/>
    <s v="Azul Linhas Aereas"/>
    <s v="-"/>
    <s v="FCM-OPE-SAO-PVI-BOSCH"/>
    <s v="-"/>
    <x v="8"/>
    <n v="0"/>
    <n v="0"/>
    <n v="0"/>
    <n v="0"/>
    <n v="0"/>
    <n v="0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836416"/>
    <n v="25673088"/>
    <s v="ACC01"/>
    <x v="383"/>
    <d v="2026-07-03T05:18:46"/>
    <s v="03 a 05 dias"/>
    <s v="06 a 08 dias"/>
    <s v="SYJGTY01"/>
    <s v="MANUAL"/>
    <s v="MONTEIRO/MANUELA CHEQUER"/>
    <s v="Ernani Afranio dos Santos"/>
    <s v="Ernani Afranio dos Santos"/>
    <x v="352"/>
    <s v="XIS8GS"/>
    <s v="-"/>
    <s v="OFF LINE"/>
    <s v="Cartão de crédito"/>
    <s v="Cartão AMEX"/>
    <s v="Aéreo"/>
    <s v="N"/>
    <s v="Grupo Bosch"/>
    <s v="Robert Bosch Limitada - 908a"/>
    <s v="Cliente FEE no POS"/>
    <s v="Azul Linhas Aereas"/>
    <n v="3025673094"/>
    <s v="FCM-OPE-SAO-PVI-BOSCH"/>
    <s v="-"/>
    <x v="326"/>
    <n v="56.52"/>
    <n v="1424.09"/>
    <n v="0"/>
    <n v="0"/>
    <n v="0"/>
    <n v="21.9"/>
    <s v="Reserva importada por HubTravel"/>
    <s v="Validação do documento: Documento está dentro de um período financeiro já fechado!"/>
    <s v="MANUAL"/>
    <s v="Documento fora do período financeiro"/>
    <s v="Financeiro Conciliado"/>
    <s v="Dados Gerenciais"/>
    <s v="Qualidade dos dados"/>
    <s v="KONTIK BUSINESS TRAVEL"/>
  </r>
  <r>
    <n v="24861317"/>
    <n v="25700100"/>
    <s v="ACC01"/>
    <x v="364"/>
    <d v="2026-07-03T12:35:07"/>
    <s v="03 a 05 dias"/>
    <s v="03 a 05 dias"/>
    <s v="QJLW6P"/>
    <s v="TMS"/>
    <s v="WILLIAM GONZALES"/>
    <s v="Tms"/>
    <s v="Tms"/>
    <x v="339"/>
    <n v="690"/>
    <s v="-"/>
    <s v="ON LINE"/>
    <s v="Outros"/>
    <s v="Cartão convênio"/>
    <s v="Aéreo"/>
    <s v="S"/>
    <s v="Grupo Santo Antonio Energia"/>
    <s v="Santo Antonio Energia S.a."/>
    <s v="-"/>
    <s v="Azul Linhas Aereas"/>
    <n v="3025700100"/>
    <s v="KON-OPE-RIO-PVI-BTC RJ"/>
    <s v="-"/>
    <x v="327"/>
    <n v="62.62"/>
    <n v="0"/>
    <n v="0"/>
    <n v="0"/>
    <n v="0"/>
    <n v="0"/>
    <s v="Reserva importada do Sistema TMS. OS: 690"/>
    <s v="Tarifa mínima não preenchida! (ACC01)"/>
    <s v="ARGO(TMS)"/>
    <s v="Tarifa mínima"/>
    <s v="Falta de informação Gerencial"/>
    <s v="Dados do Fornecedor"/>
    <s v="Qualidade dos dados"/>
    <s v="GRUPO KONTIK"/>
  </r>
  <r>
    <n v="24858271"/>
    <n v="25696524"/>
    <s v="ACC01"/>
    <x v="384"/>
    <d v="2026-07-03T17:18:36"/>
    <s v="03 a 05 dias"/>
    <s v="03 a 05 dias"/>
    <s v="SLRLBIT"/>
    <s v="SABRE"/>
    <s v="BUTTON/PAULO ALVARO NANTES MR"/>
    <s v="WS"/>
    <s v="WS"/>
    <x v="320"/>
    <s v="SLRLBI"/>
    <s v="-"/>
    <s v="ON LINE"/>
    <s v="Cartão de crédito"/>
    <s v="Cartão de crédito"/>
    <s v="Hotel"/>
    <s v="N"/>
    <s v="Grupo Axa"/>
    <s v="Axa Cs - Inativo"/>
    <s v="Cliente FEE no POS"/>
    <s v="Ibis Buenos Aires Obelisco"/>
    <s v="-"/>
    <s v="FCM-OPE-SAO-PVI-BTC-CONCUR-AXA"/>
    <s v="-"/>
    <x v="328"/>
    <n v="56.48"/>
    <n v="0"/>
    <n v="0"/>
    <n v="0"/>
    <n v="0"/>
    <n v="39"/>
    <s v="Reserva importada por HubTravel"/>
    <s v="Centro de custo não preenchido! (ACC01) Empenho/departamento não preenchido! (ACC01)"/>
    <s v="SABRE"/>
    <s v="Mais de um campo não preenchido"/>
    <s v="Falta de informação Gerencial"/>
    <s v="Dados do Fornecedor"/>
    <s v="Qualidade dos dados"/>
    <s v="KONTIK BUSINESS TRAVEL"/>
  </r>
  <r>
    <n v="24844568"/>
    <n v="25680936"/>
    <s v="ACC01"/>
    <x v="385"/>
    <d v="2026-07-03T17:13:29"/>
    <s v="03 a 05 dias"/>
    <s v="06 a 08 dias"/>
    <s v="LOJURET"/>
    <s v="SABRE"/>
    <s v="IZZO/JULIA"/>
    <s v="VANESSA ARAUJO ALVES"/>
    <s v="VANESSA ARAUJO ALVES"/>
    <x v="353"/>
    <s v="LOJURE"/>
    <s v="-"/>
    <s v="OFF LINE"/>
    <s v="Invoice"/>
    <s v="Faturado"/>
    <s v="Hotel"/>
    <s v="N"/>
    <s v="Grupo Lyondell Basell"/>
    <s v="Schulman"/>
    <s v="-"/>
    <s v="Nh Panorama Classic"/>
    <s v="-"/>
    <s v="FCM-OPE-POA-PVI-BTC CONCUR"/>
    <s v="-"/>
    <x v="329"/>
    <n v="0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861753"/>
    <n v="25700599"/>
    <s v="ACC02"/>
    <x v="298"/>
    <d v="2026-07-03T13:42:27"/>
    <s v="03 a 05 dias"/>
    <s v="03 a 05 dias"/>
    <s v="WTBGYAT"/>
    <s v="SABRE"/>
    <s v="LEVARD/NICOLAS HUBERT MARIE"/>
    <s v="Felipe Anderson da Silva"/>
    <s v="Felipe Anderson da Silva"/>
    <x v="283"/>
    <n v="9999"/>
    <s v="-"/>
    <s v="OFF LINE"/>
    <s v="Cartão de crédito"/>
    <s v="Cartão de crédito"/>
    <s v="Hotel"/>
    <s v="N"/>
    <s v="Grupo Ingredion"/>
    <s v="Ingredion Br"/>
    <s v="-"/>
    <s v="Intercontinental Cali"/>
    <s v="-"/>
    <s v="FCM-OPE-SAO-PVI-INGREDION"/>
    <s v="-"/>
    <x v="330"/>
    <n v="88.0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61376"/>
    <n v="25700175"/>
    <s v="ACC03"/>
    <x v="277"/>
    <d v="2026-07-03T12:26:21"/>
    <s v="03 a 05 dias"/>
    <s v="03 a 05 dias"/>
    <s v="NFZPEWT"/>
    <s v="SABRE"/>
    <s v="KIMURA SHIMURA/LILIAN YUKIKO MRS"/>
    <s v="CT"/>
    <s v="CT"/>
    <x v="260"/>
    <s v="NFZPEW"/>
    <s v="-"/>
    <s v="ON LINE"/>
    <s v="Cartão de crédito"/>
    <s v="Cartão de crédito"/>
    <s v="Hotel"/>
    <s v="N"/>
    <s v="Grupo Livanova"/>
    <s v="Livanova Brasil"/>
    <s v="-"/>
    <s v="Golden Plaza Hotel"/>
    <s v="-"/>
    <s v="FCM-OPE-SAO-PVI-BTC"/>
    <s v="-"/>
    <x v="331"/>
    <n v="25.88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861374"/>
    <n v="25700169"/>
    <s v="ACC01"/>
    <x v="272"/>
    <d v="2026-07-03T12:26:20"/>
    <s v="03 a 05 dias"/>
    <s v="03 a 05 dias"/>
    <s v="LPPJIVT"/>
    <s v="SABRE"/>
    <s v="PACHECO/FLAVIO"/>
    <s v="CT"/>
    <s v="CT"/>
    <x v="259"/>
    <s v="LPPJIV"/>
    <s v="-"/>
    <s v="ON LINE"/>
    <s v="Cartão de crédito"/>
    <s v="Cartão de crédito"/>
    <s v="Hotel"/>
    <s v="N"/>
    <s v="Grupo Livanova"/>
    <s v="Livanova Brasil"/>
    <s v="-"/>
    <s v="Golden Plaza Hotel"/>
    <s v="-"/>
    <s v="FCM-OPE-SAO-PVI-BTC"/>
    <s v="-"/>
    <x v="332"/>
    <n v="22.5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861376"/>
    <n v="25700173"/>
    <s v="ACC01"/>
    <x v="277"/>
    <d v="2026-07-03T12:26:21"/>
    <s v="03 a 05 dias"/>
    <s v="03 a 05 dias"/>
    <s v="NFZPEWT"/>
    <s v="SABRE"/>
    <s v="KIMURA SHIMURA/LILIAN YUKIKO MRS"/>
    <s v="CT"/>
    <s v="CT"/>
    <x v="260"/>
    <s v="NFZPEW"/>
    <s v="-"/>
    <s v="ON LINE"/>
    <s v="Cartão de crédito"/>
    <s v="Cartão de crédito"/>
    <s v="Hotel"/>
    <s v="N"/>
    <s v="Grupo Livanova"/>
    <s v="Livanova Brasil"/>
    <s v="-"/>
    <s v="Golden Plaza Hotel"/>
    <s v="-"/>
    <s v="FCM-OPE-SAO-PVI-BTC"/>
    <s v="-"/>
    <x v="332"/>
    <n v="22.5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861374"/>
    <n v="25700171"/>
    <s v="ACC03"/>
    <x v="272"/>
    <d v="2026-07-03T12:26:20"/>
    <s v="03 a 05 dias"/>
    <s v="03 a 05 dias"/>
    <s v="LPPJIVT"/>
    <s v="SABRE"/>
    <s v="PACHECO/FLAVIO"/>
    <s v="CT"/>
    <s v="CT"/>
    <x v="259"/>
    <s v="LPPJIV"/>
    <s v="-"/>
    <s v="ON LINE"/>
    <s v="Cartão de crédito"/>
    <s v="Cartão de crédito"/>
    <s v="Hotel"/>
    <s v="N"/>
    <s v="Grupo Livanova"/>
    <s v="Livanova Brasil"/>
    <s v="-"/>
    <s v="Golden Plaza Hotel"/>
    <s v="-"/>
    <s v="FCM-OPE-SAO-PVI-BTC"/>
    <s v="-"/>
    <x v="332"/>
    <n v="22.5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844110"/>
    <n v="25680468"/>
    <s v="ACC01"/>
    <x v="386"/>
    <d v="2026-06-30T19:25:59"/>
    <s v="06 a 08 dias"/>
    <s v="06 a 08 dias"/>
    <s v="6QCY19"/>
    <s v="TMS"/>
    <s v="GABRIEL MIRANDA"/>
    <s v="Tms"/>
    <s v="Tms"/>
    <x v="354"/>
    <n v="1583"/>
    <s v="-"/>
    <s v="ON LINE"/>
    <s v="Cartão de crédito"/>
    <s v="Cartão de crédito"/>
    <s v="Hotel"/>
    <s v="N"/>
    <s v="-"/>
    <s v="-"/>
    <s v="-"/>
    <s v="Hyatt Regency Mexico City"/>
    <s v="-"/>
    <s v="-"/>
    <s v="-"/>
    <x v="333"/>
    <n v="0"/>
    <n v="0"/>
    <n v="0"/>
    <n v="0"/>
    <n v="1648.3"/>
    <n v="0"/>
    <s v="Reserva importada do Sistema TMS. OS: 1583"/>
    <s v="Cliente não preenchido! (ACC01)"/>
    <s v="ARGO(TMS)"/>
    <s v="Cliente"/>
    <s v="Falta de informação Gerencial"/>
    <s v="Dados do Fornecedor"/>
    <s v="Qualidade dos dados"/>
    <s v="KONTIK BUSINESS TRAVEL"/>
  </r>
  <r>
    <n v="24848939"/>
    <n v="25685636"/>
    <s v="ACC01"/>
    <x v="387"/>
    <d v="2026-07-01T15:05:23"/>
    <s v="03 a 05 dias"/>
    <s v="03 a 05 dias"/>
    <n v="23543234"/>
    <s v="GOVER"/>
    <s v="THIAGO ESTEVES DE SOUZA SIQUEIRA   "/>
    <s v="DANIELLE RIZZETO BEZERRA ALVES"/>
    <s v="DANIELLE RIZZETO BEZERRA ALVES"/>
    <x v="355"/>
    <n v="4716815"/>
    <s v="-"/>
    <s v="OFF LINE"/>
    <s v="Invoice"/>
    <s v="Faturado"/>
    <s v="Hotel"/>
    <s v="N"/>
    <s v="Grupo Biomerieux"/>
    <s v="Biomerieux"/>
    <s v="-"/>
    <s v="Mercure Sao Paulo Moema Times Square"/>
    <s v="-"/>
    <s v="KON-OPE-RIO-PVI-BTC-BIOMERIEUX"/>
    <s v="-"/>
    <x v="334"/>
    <n v="20.9"/>
    <n v="0"/>
    <n v="0"/>
    <n v="0"/>
    <n v="0"/>
    <n v="0"/>
    <s v="Reserva importada do sistema Gover. Id: 4716815"/>
    <s v=" Configurações        -&gt; Configurações do sistema turismo          -&gt; Importação das vendas            -&gt; Impedir vendas com data superior à atual"/>
    <s v="GOVER"/>
    <s v="Pagamento não permitido para cobrança"/>
    <s v="Forma PG. e REC."/>
    <s v="Dados do Fornecedor"/>
    <s v="Qualidade dos dados"/>
    <s v="KONTIK BUSINESS TRAVEL"/>
  </r>
  <r>
    <n v="24847429"/>
    <n v="25683886"/>
    <s v="ACC01"/>
    <x v="283"/>
    <d v="2026-07-03T10:12:22"/>
    <s v="03 a 05 dias"/>
    <s v="03 a 05 dias"/>
    <s v="HPSCOMT"/>
    <s v="SABRE"/>
    <s v="WOITECHEN/ANDERSON"/>
    <s v="WU"/>
    <s v="WU"/>
    <x v="269"/>
    <s v="HPSCOM"/>
    <s v="-"/>
    <s v="OFF LINE"/>
    <s v="Pagamento direto"/>
    <s v="Pagamento direto"/>
    <s v="Hotel"/>
    <s v="N"/>
    <s v="Grupo Casas Bahia"/>
    <s v="Grupo Casas Bahia S.a."/>
    <s v="-"/>
    <s v="Hotel Mont Blanc Premium"/>
    <s v="-"/>
    <s v="KON-OPE-RIO-PVI-CASAS BAHIA"/>
    <s v="-"/>
    <x v="335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837666"/>
    <n v="25674349"/>
    <s v="ACC01"/>
    <x v="388"/>
    <d v="2026-07-03T17:13:11"/>
    <s v="03 a 05 dias"/>
    <s v="06 a 08 dias"/>
    <s v="MMYNUOT"/>
    <s v="SABRE"/>
    <s v="HILARIO/RENATA  MRS"/>
    <s v="VANESSA ARAUJO ALVES"/>
    <s v="VANESSA ARAUJO ALVES"/>
    <x v="356"/>
    <s v="MMYNUO"/>
    <s v="-"/>
    <s v="OFF LINE"/>
    <s v="Invoice"/>
    <s v="Faturado"/>
    <s v="Hotel"/>
    <s v="N"/>
    <s v="Grupo Rhenus"/>
    <s v="Freight Logistics International do Brasil Ltda - Inativo"/>
    <s v="-"/>
    <s v="Royal Design Savassi"/>
    <s v="-"/>
    <s v="-"/>
    <s v="-"/>
    <x v="336"/>
    <n v="0"/>
    <n v="0"/>
    <n v="0"/>
    <n v="0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KONTIK BUSINESS TRAVEL"/>
  </r>
  <r>
    <n v="24856167"/>
    <n v="25694106"/>
    <s v="ACC01"/>
    <x v="389"/>
    <d v="2026-07-02T17:05:40"/>
    <s v="03 a 05 dias"/>
    <s v="03 a 05 dias"/>
    <n v="23561067"/>
    <s v="GOVER"/>
    <s v="WINFRIED KLOREN"/>
    <s v="Marcia Pereira dos Santos Soares"/>
    <s v="Marcia Pereira dos Santos Soares"/>
    <x v="304"/>
    <n v="4717155"/>
    <s v="-"/>
    <s v="OFF LINE"/>
    <s v="Pagamento direto"/>
    <s v="Pagamento direto"/>
    <s v="Hotel"/>
    <s v="N"/>
    <s v="GRUPO ADM ARCHER DANIELS MIDLAND"/>
    <s v="Neovia Nutricao e Saude Animal Ltda."/>
    <s v="-"/>
    <s v="Plaza Inn Breeze Aeroporto Goiania"/>
    <s v="-"/>
    <s v="FCM-OPE-SAO-PVI-ADM"/>
    <s v="-"/>
    <x v="337"/>
    <n v="0"/>
    <n v="0"/>
    <n v="0"/>
    <n v="0"/>
    <n v="0"/>
    <n v="0"/>
    <s v="Reserva importada do sistema Gover. Id: 4717155"/>
    <s v=" Configurações        -&gt; Configurações do sistema turismo          -&gt; Importação das vendas            -&gt; Impedir vendas com data superior à atual"/>
    <s v="GOVER"/>
    <s v="Pagamento não permitido para cobrança"/>
    <s v="Forma PG. e REC."/>
    <s v="Dados do Fornecedor"/>
    <s v="Qualidade dos dados"/>
    <s v="KONTIK BUSINESS TRAVEL"/>
  </r>
  <r>
    <n v="24837053"/>
    <n v="25673702"/>
    <s v="ACC01"/>
    <x v="390"/>
    <d v="2026-07-03T17:13:10"/>
    <s v="03 a 05 dias"/>
    <s v="06 a 08 dias"/>
    <s v="HKUQHLT"/>
    <s v="SABRE"/>
    <s v="ULIANO/NATALIA"/>
    <s v="VITOR TEICHMANN"/>
    <s v="VITOR TEICHMANN"/>
    <x v="357"/>
    <s v="HKUQHL_0"/>
    <s v="-"/>
    <s v="ON LINE"/>
    <s v="Cartão de crédito"/>
    <s v="Cartão de crédito"/>
    <s v="Hotel"/>
    <s v="N"/>
    <s v="Grupo Nielseniq"/>
    <s v="Nielseniq do Brasil"/>
    <s v="Cliente FEE no POS"/>
    <s v="Novotel Rio de Janeiro Leme"/>
    <s v="-"/>
    <s v="FCM-OPE-SAO-PVI-BTC-CONCUR-NIELSENIQ"/>
    <s v="-"/>
    <x v="338"/>
    <n v="308.24"/>
    <n v="0"/>
    <n v="0"/>
    <n v="0"/>
    <n v="0"/>
    <n v="25.95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848005"/>
    <n v="25684531"/>
    <s v="ACC01"/>
    <x v="391"/>
    <d v="2026-07-03T17:14:10"/>
    <s v="03 a 05 dias"/>
    <s v="03 a 05 dias"/>
    <s v="WAWAXVT"/>
    <s v="SABRE"/>
    <s v="DOUGLAS GOMES DE SOUZA REZZUTTI/VICTOR"/>
    <s v="BRUNA SEBBEN"/>
    <s v="BRUNA SEBBEN"/>
    <x v="358"/>
    <s v="WAWAXV"/>
    <s v="-"/>
    <s v="OFF LINE"/>
    <s v="Invoice"/>
    <s v="Faturado"/>
    <s v="Hotel"/>
    <s v="N"/>
    <s v="Grupo Ihs"/>
    <s v="Ihs Brasil Cessao de Infraestruturas S a"/>
    <s v="-"/>
    <s v="Ghl Hotel Bioxury"/>
    <s v="-"/>
    <s v="FCM-OPE-SAO-PVI-BTC-CONCUR"/>
    <s v="-"/>
    <x v="339"/>
    <n v="494819"/>
    <n v="0"/>
    <n v="0"/>
    <n v="0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848580"/>
    <n v="25685207"/>
    <s v="ACC01"/>
    <x v="392"/>
    <d v="2026-07-01T13:46:27"/>
    <s v="03 a 05 dias"/>
    <s v="03 a 05 dias"/>
    <n v="23540852"/>
    <s v="GOVER"/>
    <s v="Dafi DE ABREU"/>
    <s v="Gover"/>
    <s v="Gover"/>
    <x v="359"/>
    <n v="4716935"/>
    <s v="-"/>
    <s v="ON LINE"/>
    <s v="Cartão de crédito"/>
    <s v="Cartão de crédito"/>
    <s v="Hotel"/>
    <s v="N"/>
    <s v="Grupo Arcadis"/>
    <s v="Arcadis"/>
    <s v="-"/>
    <s v="Maper Mardan Hotel - Inativo"/>
    <s v="-"/>
    <s v="FCM-OPE-SAO-PVI-ARCADIS"/>
    <s v="-"/>
    <x v="340"/>
    <n v="36.36"/>
    <n v="0"/>
    <n v="0"/>
    <n v="0"/>
    <n v="0"/>
    <n v="0"/>
    <s v="Reserva importada do sistema Gover. Id: 4716935"/>
    <s v="Não foi possível encontrar um contrato válido para o fornecedor 52882 (Código fornecedor) "/>
    <s v="GOVER"/>
    <s v="Contrato de fornecedor"/>
    <s v="Análise Cadastro"/>
    <s v="Dados do Fornecedor"/>
    <s v="Qualidade dos dados"/>
    <s v="KONTIK BUSINESS TRAVEL"/>
  </r>
  <r>
    <n v="24841433"/>
    <n v="25677653"/>
    <s v="ACC01"/>
    <x v="393"/>
    <d v="2026-07-01T03:25:34"/>
    <s v="03 a 05 dias"/>
    <s v="06 a 08 dias"/>
    <s v="h4716449"/>
    <s v="GOVER"/>
    <s v="N/I"/>
    <s v="Cristiane Santos Pio Memoria"/>
    <s v="Cristiane Santos Pio Memoria"/>
    <x v="360"/>
    <n v="4716449"/>
    <s v="-"/>
    <s v="OFF LINE"/>
    <s v="Cartão de crédito"/>
    <s v="Cartão de crédito"/>
    <s v="Hotel"/>
    <s v="N"/>
    <s v="Grupo British American Tobacco"/>
    <s v="Bat | Souza Cruz - Matriz"/>
    <s v="-"/>
    <s v="Bartz Hotel - Camaqua"/>
    <s v="-"/>
    <s v="FCM-OPE-SAO-PVI-BAT"/>
    <s v="-"/>
    <x v="88"/>
    <n v="0"/>
    <n v="0"/>
    <n v="0"/>
    <n v="0"/>
    <n v="0"/>
    <n v="0"/>
    <s v="Reserva importada do sistema Gover. Id: 4716449"/>
    <s v="Centro de custo não preenchido! (ACC01)"/>
    <s v="GOVER"/>
    <s v="Centro de custo"/>
    <s v="Falta de informação Gerencial"/>
    <s v="Dados do Fornecedor"/>
    <s v="Qualidade dos dados"/>
    <s v="KONTIK BUSINESS TRAVEL"/>
  </r>
  <r>
    <n v="24841433"/>
    <n v="25677655"/>
    <s v="ACC03"/>
    <x v="393"/>
    <d v="2026-07-01T03:25:34"/>
    <s v="03 a 05 dias"/>
    <s v="06 a 08 dias"/>
    <s v="h4716449"/>
    <s v="GOVER"/>
    <s v="FLUVIO  JANISCH"/>
    <s v="Cristiane Santos Pio Memoria"/>
    <s v="Cristiane Santos Pio Memoria"/>
    <x v="360"/>
    <n v="4716449"/>
    <s v="-"/>
    <s v="OFF LINE"/>
    <s v="Cartão de crédito"/>
    <s v="Cartão de crédito"/>
    <s v="Hotel"/>
    <s v="N"/>
    <s v="Grupo British American Tobacco"/>
    <s v="Bat | Souza Cruz - Matriz"/>
    <s v="-"/>
    <s v="Bartz Hotel - Camaqua"/>
    <s v="-"/>
    <s v="FCM-OPE-SAO-PVI-BAT"/>
    <s v="-"/>
    <x v="88"/>
    <n v="0"/>
    <n v="0"/>
    <n v="0"/>
    <n v="0"/>
    <n v="0"/>
    <n v="0"/>
    <s v="Reserva importada do sistema Gover. Id: 4716449"/>
    <s v="Centro de custo não preenchido! (ACC01)"/>
    <s v="GOVER"/>
    <s v="Centro de custo"/>
    <s v="Falta de informação Gerencial"/>
    <s v="Dados do Fornecedor"/>
    <s v="Qualidade dos dados"/>
    <s v="KONTIK BUSINESS TRAVEL"/>
  </r>
  <r>
    <n v="24848176"/>
    <n v="25684720"/>
    <s v="ACC01"/>
    <x v="394"/>
    <d v="2026-07-03T17:14:10"/>
    <s v="03 a 05 dias"/>
    <s v="03 a 05 dias"/>
    <s v="CAYBVWT"/>
    <s v="SABRE"/>
    <s v="CORTES/MATHEUS HENRIQUE MR"/>
    <s v="SHARON STONE RODRIGUES MARQUES"/>
    <s v="SHARON STONE RODRIGUES MARQUES"/>
    <x v="361"/>
    <s v="CAYBVW"/>
    <s v="-"/>
    <s v="ON LINE"/>
    <s v="Cartão de crédito"/>
    <s v="Cartão de crédito"/>
    <s v="Hotel"/>
    <s v="N"/>
    <s v="Grupo Sep"/>
    <s v="Standard And Poors Ratings do Brasil Ltda"/>
    <s v="Cliente FEE no POS"/>
    <s v="Hyatt Centric Las Condes Santiago"/>
    <s v="-"/>
    <s v="FCM-OPE-SAO-PVI-BTC-CYTRIC-S&amp;P"/>
    <s v="-"/>
    <x v="341"/>
    <n v="0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848177"/>
    <n v="25684721"/>
    <s v="ACC01"/>
    <x v="395"/>
    <d v="2026-07-03T17:14:11"/>
    <s v="03 a 05 dias"/>
    <s v="03 a 05 dias"/>
    <s v="CDYIGXT"/>
    <s v="SABRE"/>
    <s v="MIGUEL BEDRAN/FLAVIA MRS"/>
    <s v="SHARON STONE RODRIGUES MARQUES"/>
    <s v="SHARON STONE RODRIGUES MARQUES"/>
    <x v="362"/>
    <s v="CDYIGX"/>
    <s v="-"/>
    <s v="ON LINE"/>
    <s v="Cartão de crédito"/>
    <s v="Cartão de crédito"/>
    <s v="Hotel"/>
    <s v="N"/>
    <s v="Grupo Sep"/>
    <s v="Standard And Poors Ratings do Brasil Ltda"/>
    <s v="Cliente FEE no POS"/>
    <s v="Hyatt Centric Las Condes Santiago"/>
    <s v="-"/>
    <s v="FCM-OPE-SAO-PVI-BTC-CYTRIC-S&amp;P"/>
    <s v="-"/>
    <x v="341"/>
    <n v="0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862143"/>
    <n v="25701078"/>
    <s v="ACC01"/>
    <x v="396"/>
    <d v="2026-07-03T14:45:48"/>
    <s v="03 a 05 dias"/>
    <s v="03 a 05 dias"/>
    <n v="23579015"/>
    <s v="GOVER"/>
    <s v="Milena Rocha"/>
    <s v="Gover"/>
    <s v="Gover"/>
    <x v="363"/>
    <n v="4718505"/>
    <s v="-"/>
    <s v="ON LINE"/>
    <s v="Cartão de crédito"/>
    <s v="Cartão de crédito"/>
    <s v="Hotel"/>
    <s v="N"/>
    <s v="Grupo Atlas Copco"/>
    <s v="Chicago Pneumatic Brasil Ltda - Matriz"/>
    <s v="-"/>
    <s v="Trip Hotel Uba Centro Mg - Inativo"/>
    <s v="-"/>
    <s v="FCM-OPE-SAO-PVI-BTC"/>
    <s v="-"/>
    <x v="92"/>
    <n v="0"/>
    <n v="0"/>
    <n v="0"/>
    <n v="0"/>
    <n v="0"/>
    <n v="0"/>
    <s v="Reserva importada do sistema Gover. Id: 4718505"/>
    <s v="Não foi possível encontrar um contrato válido para o fornecedor 69338 (Código fornecedor) "/>
    <s v="GOVER"/>
    <s v="Contrato de fornecedor"/>
    <s v="Análise Cadastro"/>
    <s v="Dados do Fornecedor"/>
    <s v="Qualidade dos dados"/>
    <s v="KONTIK BUSINESS TRAVEL"/>
  </r>
  <r>
    <n v="24857569"/>
    <n v="25695614"/>
    <s v="ACC01"/>
    <x v="397"/>
    <d v="2026-07-02T18:46:07"/>
    <s v="03 a 05 dias"/>
    <s v="03 a 05 dias"/>
    <n v="23566880"/>
    <s v="GOVER"/>
    <s v="Raffaela Teixeira Crosta"/>
    <s v="Gover"/>
    <s v="Gover"/>
    <x v="290"/>
    <n v="4718122"/>
    <s v="-"/>
    <s v="ON LINE"/>
    <s v="Cartão de crédito"/>
    <s v="Cartão de crédito"/>
    <s v="Hotel"/>
    <s v="N"/>
    <s v="Grupo Atlas Copco"/>
    <s v="Chicago Pneumatic Brasil Ltda - Matriz"/>
    <s v="-"/>
    <s v="Trip Hotel Uba Centro Mg - Inativo"/>
    <s v="-"/>
    <s v="FCM-OPE-SAO-PVI-BTC"/>
    <s v="-"/>
    <x v="342"/>
    <n v="0"/>
    <n v="0"/>
    <n v="0"/>
    <n v="0"/>
    <n v="0"/>
    <n v="0"/>
    <s v="Reserva importada do sistema Gover. Id: 4718122"/>
    <s v="Não foi possível encontrar um contrato válido para o fornecedor 69338 (Código fornecedor) "/>
    <s v="GOVER"/>
    <s v="Contrato de fornecedor"/>
    <s v="Análise Cadastro"/>
    <s v="Dados do Fornecedor"/>
    <s v="Qualidade dos dados"/>
    <s v="KONTIK BUSINESS TRAVEL"/>
  </r>
  <r>
    <n v="24845309"/>
    <n v="25681708"/>
    <s v="ACC01"/>
    <x v="398"/>
    <d v="2026-07-03T17:13:42"/>
    <s v="03 a 05 dias"/>
    <s v="06 a 08 dias"/>
    <s v="HNTRHQT"/>
    <s v="SABRE"/>
    <s v="PINHEIRO/DAYANE  DE ALMEIDA MS"/>
    <s v="VANESSA ARAUJO ALVES"/>
    <s v="VANESSA ARAUJO ALVES"/>
    <x v="364"/>
    <s v="HNTRHQ"/>
    <s v="-"/>
    <s v="ON LINE"/>
    <s v="Cartão de crédito"/>
    <s v="Cartão de crédito"/>
    <s v="Hotel"/>
    <s v="N"/>
    <s v="Grupo Iron Mountain"/>
    <s v="Iron Mountain"/>
    <s v="-"/>
    <s v="Silverton Paiva Experience"/>
    <s v="-"/>
    <s v="FCM-OPE-SAO-PVI-BTC-CONCUR-IRON "/>
    <s v="-"/>
    <x v="243"/>
    <n v="9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841050"/>
    <n v="25677217"/>
    <s v="ACC01"/>
    <x v="399"/>
    <d v="2026-07-01T11:30:20"/>
    <s v="03 a 05 dias"/>
    <s v="06 a 08 dias"/>
    <s v="6QVOI7"/>
    <s v="TMS"/>
    <s v="LUIS MIGUEL KLINSKY"/>
    <s v="Jeane Alencar Pereira"/>
    <s v="Jeane Alencar Pereira"/>
    <x v="365"/>
    <n v="68535"/>
    <s v="Limeira / SP, Brasil (VCP)"/>
    <s v="OFF LINE"/>
    <s v="Invoice"/>
    <s v="Faturado"/>
    <s v="Carro"/>
    <s v="N"/>
    <s v="Grupo Motiva"/>
    <s v="Motiva Filial"/>
    <s v="-"/>
    <s v="Movida - Br - Sp - Sao Paulo - Limeira"/>
    <s v="-"/>
    <s v="KON-OPE-SAO-PVI-CCR"/>
    <s v="-"/>
    <x v="343"/>
    <n v="0"/>
    <n v="69.52"/>
    <n v="0"/>
    <n v="0"/>
    <n v="0"/>
    <n v="0"/>
    <s v="Reserva importada do Sistema TMS. OS: 68535"/>
    <s v="Não foi possível encontrar um contrato válido para o fornecedor 464646 (Código fornecedor) "/>
    <s v="ARGO(TMS)"/>
    <s v="Contrato de fornecedor"/>
    <s v="Análise Cadastro"/>
    <s v="Dados do Fornecedor"/>
    <s v="Qualidade dos dados"/>
    <s v="KONTIK BUSINESS TRAVEL"/>
  </r>
  <r>
    <n v="24841052"/>
    <n v="25677219"/>
    <s v="ACC01"/>
    <x v="400"/>
    <d v="2026-07-01T11:30:22"/>
    <s v="03 a 05 dias"/>
    <s v="06 a 08 dias"/>
    <s v="6QH98J"/>
    <s v="TMS"/>
    <s v="LUIS MIGUEL KLINSKY"/>
    <s v="EVA SILVA FERREIRA"/>
    <s v="EVA SILVA FERREIRA"/>
    <x v="366"/>
    <n v="68478"/>
    <s v="Limeira / SP, Brasil (VCP)"/>
    <s v="OFF LINE"/>
    <s v="Invoice"/>
    <s v="Faturado"/>
    <s v="Carro"/>
    <s v="N"/>
    <s v="Grupo Motiva"/>
    <s v="Motiva Filial"/>
    <s v="-"/>
    <s v="Movida - Br - Sp - Sao Paulo - Limeira"/>
    <s v="-"/>
    <s v="KON-OPE-SAO-PVI-CCR"/>
    <s v="-"/>
    <x v="344"/>
    <n v="0"/>
    <n v="208.56"/>
    <n v="0"/>
    <n v="0"/>
    <n v="0"/>
    <n v="0"/>
    <s v="Reserva importada do Sistema TMS. OS: 68478"/>
    <s v="Não foi possível encontrar um contrato válido para o fornecedor 464646 (Código fornecedor) "/>
    <s v="ARGO(TMS)"/>
    <s v="Contrato de fornecedor"/>
    <s v="Análise Cadastro"/>
    <s v="Dados do Fornecedor"/>
    <s v="Qualidade dos dados"/>
    <s v="KONTIK BUSINESS TRAVEL"/>
  </r>
  <r>
    <n v="24838187"/>
    <n v="25674930"/>
    <s v="ACC01"/>
    <x v="278"/>
    <d v="2026-07-03T09:59:01"/>
    <s v="03 a 05 dias"/>
    <s v="06 a 08 dias"/>
    <s v="h4715519a"/>
    <s v="GOVER"/>
    <s v="Fernando Gomes Da Mota"/>
    <s v="Gover"/>
    <s v="Gover"/>
    <x v="264"/>
    <n v="4715519"/>
    <s v="-"/>
    <s v="OFF LINE"/>
    <s v="Cartão de crédito"/>
    <s v="Cartão de crédito"/>
    <s v="Hotel"/>
    <s v="N"/>
    <s v="Grupo British American Tobacco"/>
    <s v="Bat | Souza Cruz - Matriz"/>
    <s v="-"/>
    <s v="Ferronatos Hotel"/>
    <s v="-"/>
    <s v="FCM-OPE-SAO-PVI-BAT"/>
    <s v="-"/>
    <x v="63"/>
    <n v="0"/>
    <n v="0"/>
    <n v="0"/>
    <n v="0"/>
    <n v="0"/>
    <n v="0"/>
    <s v="Reserva importada do sistema Gover. Id: 4715519"/>
    <s v="Fornecedor não preenchido! (ACC02)"/>
    <s v="GOVER"/>
    <s v="Falta de Fornecedor"/>
    <s v="Campo Fornecedor"/>
    <s v="Dados do Fornecedor"/>
    <s v="Sistêmico"/>
    <s v="GRUPO KONTIK"/>
  </r>
  <r>
    <n v="24841587"/>
    <n v="25677836"/>
    <s v="ACC01"/>
    <x v="401"/>
    <d v="2026-07-01T03:25:58"/>
    <s v="03 a 05 dias"/>
    <s v="06 a 08 dias"/>
    <s v="H4716477"/>
    <s v="GOVER"/>
    <s v="N/I"/>
    <s v="Cristiane Santos Pio Memoria"/>
    <s v="Cristiane Santos Pio Memoria"/>
    <x v="360"/>
    <n v="4716477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345"/>
    <n v="0"/>
    <n v="0"/>
    <n v="0"/>
    <n v="0"/>
    <n v="0"/>
    <n v="0"/>
    <s v="Reserva importada do sistema Gover. Id: 4716477"/>
    <s v="Centro de custo não preenchido! (ACC01)"/>
    <s v="GOVER"/>
    <s v="Centro de custo"/>
    <s v="Falta de informação Gerencial"/>
    <s v="Dados do Fornecedor"/>
    <s v="Qualidade dos dados"/>
    <s v="KONTIK BUSINESS TRAVEL"/>
  </r>
  <r>
    <n v="24841587"/>
    <n v="25677838"/>
    <s v="ACC03"/>
    <x v="401"/>
    <d v="2026-07-01T03:25:58"/>
    <s v="03 a 05 dias"/>
    <s v="06 a 08 dias"/>
    <s v="H4716477"/>
    <s v="GOVER"/>
    <s v="ENIO FEIL"/>
    <s v="Cristiane Santos Pio Memoria"/>
    <s v="Cristiane Santos Pio Memoria"/>
    <x v="360"/>
    <n v="4716477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345"/>
    <n v="0"/>
    <n v="0"/>
    <n v="0"/>
    <n v="0"/>
    <n v="0"/>
    <n v="0"/>
    <s v="Reserva importada do sistema Gover. Id: 4716477"/>
    <s v="Centro de custo não preenchido! (ACC01)"/>
    <s v="GOVER"/>
    <s v="Centro de custo"/>
    <s v="Falta de informação Gerencial"/>
    <s v="Dados do Fornecedor"/>
    <s v="Qualidade dos dados"/>
    <s v="KONTIK BUSINESS TRAVEL"/>
  </r>
  <r>
    <n v="24855454"/>
    <n v="25693282"/>
    <s v="ACC01"/>
    <x v="402"/>
    <d v="2026-07-03T03:34:22"/>
    <s v="03 a 05 dias"/>
    <s v="03 a 05 dias"/>
    <s v="H4717960"/>
    <s v="GOVER"/>
    <s v=" WANILDO TIMM"/>
    <s v="Francisca Maria Mangueira"/>
    <s v="Francisca Maria Mangueira"/>
    <x v="367"/>
    <n v="4717960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346"/>
    <n v="0"/>
    <n v="0"/>
    <n v="0"/>
    <n v="0"/>
    <n v="0"/>
    <n v="0"/>
    <s v="Reserva importada do sistema Gover. Id: 4717960"/>
    <s v=" Configurações        -&gt; Configurações do sistema turismo          -&gt; Importação das vendas            -&gt; Impedir vendas com data superior à atual"/>
    <s v="GOVER"/>
    <s v="Pagamento não permitido para cobrança"/>
    <s v="Forma PG. e REC."/>
    <s v="Dados do Fornecedor"/>
    <s v="Qualidade dos dados"/>
    <s v="KONTIK BUSINESS TRAVEL"/>
  </r>
  <r>
    <n v="24854574"/>
    <n v="25692199"/>
    <s v="ACC01"/>
    <x v="276"/>
    <d v="2026-07-03T10:00:50"/>
    <s v="03 a 05 dias"/>
    <s v="03 a 05 dias"/>
    <s v="h4716838a"/>
    <s v="GOVER"/>
    <s v="Laerti Cabral da Silva"/>
    <s v="Gover"/>
    <s v="Gover"/>
    <x v="263"/>
    <n v="4716838"/>
    <s v="-"/>
    <s v="OFF LINE"/>
    <s v="Invoice"/>
    <s v="Faturado"/>
    <s v="Hotel"/>
    <s v="N"/>
    <s v="Grupo British American Tobacco"/>
    <s v="Bat | Souza Cruz - Matriz"/>
    <s v="-"/>
    <s v="Pousada Sol Nascente Guapimirim"/>
    <s v="-"/>
    <s v="FCM-OPE-SAO-PVI-BAT"/>
    <s v="-"/>
    <x v="243"/>
    <n v="0"/>
    <n v="0"/>
    <n v="0"/>
    <n v="0"/>
    <n v="0"/>
    <n v="0"/>
    <s v="Reserva importada do sistema Gover. Id: 4716838"/>
    <s v="Fornecedor não preenchido! (ACC02)"/>
    <s v="GOVER"/>
    <s v="Falta de Fornecedor"/>
    <s v="Campo Fornecedor"/>
    <s v="Dados do Fornecedor"/>
    <s v="Sistêmico"/>
    <s v="GRUPO KONTIK"/>
  </r>
  <r>
    <n v="24862984"/>
    <n v="25702103"/>
    <s v="ACC01"/>
    <x v="403"/>
    <d v="2026-07-03T17:11:45"/>
    <s v="03 a 05 dias"/>
    <s v="03 a 05 dias"/>
    <n v="246359"/>
    <s v="GOVER"/>
    <s v="Henrique CHAGAS"/>
    <s v="DANIELLE RIZZETO BEZERRA ALVES"/>
    <s v="DANIELLE RIZZETO BEZERRA ALVES"/>
    <x v="368"/>
    <n v="4716766"/>
    <s v="-"/>
    <s v="OFF LINE"/>
    <s v="Cartão de crédito"/>
    <s v="Faturado"/>
    <s v="Hotel"/>
    <s v="N"/>
    <s v="Grupo Biomerieux"/>
    <s v="Biomerieux"/>
    <s v="-"/>
    <s v="-"/>
    <s v="-"/>
    <s v="KON-OPE-RIO-PVI-BTC-BIOMERIEUX"/>
    <s v="-"/>
    <x v="347"/>
    <n v="57.85"/>
    <n v="0"/>
    <n v="0"/>
    <n v="0"/>
    <n v="0"/>
    <n v="0"/>
    <s v="Reserva importada do sistema Gover. Id: 4716766"/>
    <s v="Fornecedor não preenchido! (ACC01)"/>
    <s v="GOVER"/>
    <s v="Falta de Fornecedor"/>
    <s v="Campo Fornecedor"/>
    <s v="Dados do Fornecedor"/>
    <s v="Sistêmico"/>
    <s v="GRUPO KONTIK"/>
  </r>
  <r>
    <n v="24861753"/>
    <n v="25700600"/>
    <s v="ACC03"/>
    <x v="298"/>
    <d v="2026-07-03T13:42:27"/>
    <s v="03 a 05 dias"/>
    <s v="03 a 05 dias"/>
    <s v="WTBGYAT"/>
    <s v="SABRE"/>
    <s v="LEVARD/NICOLAS HUBERT MARIE"/>
    <s v="Felipe Anderson da Silva"/>
    <s v="Felipe Anderson da Silva"/>
    <x v="283"/>
    <n v="9999"/>
    <s v="-"/>
    <s v="OFF LINE"/>
    <s v="Cartão de crédito"/>
    <s v="Cartão de crédito"/>
    <s v="Hotel"/>
    <s v="N"/>
    <s v="Grupo Ingredion"/>
    <s v="Ingredion Br"/>
    <s v="-"/>
    <s v="-"/>
    <s v="-"/>
    <s v="FCM-OPE-SAO-PVI-INGREDION"/>
    <s v="-"/>
    <x v="348"/>
    <n v="28.56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62904"/>
    <n v="25701997"/>
    <s v="ACC01"/>
    <x v="404"/>
    <d v="2026-07-03T16:57:59"/>
    <s v="03 a 05 dias"/>
    <s v="03 a 05 dias"/>
    <n v="5651868"/>
    <s v="GOVER"/>
    <s v="Hendel Meireles"/>
    <s v="Marcos de Oliveira Miklos"/>
    <s v="Marcos de Oliveira Miklos"/>
    <x v="249"/>
    <n v="4716578"/>
    <s v="-"/>
    <s v="OFF LINE"/>
    <s v="Invoice"/>
    <s v="Faturado"/>
    <s v="Hotel"/>
    <s v="N"/>
    <s v="Grupo Intercement"/>
    <s v="Intercement Nacoes Unidas"/>
    <s v="-"/>
    <s v="-"/>
    <s v="-"/>
    <s v="KON-OPE-SAO-PVI-MOVER"/>
    <s v="-"/>
    <x v="349"/>
    <n v="0"/>
    <n v="0"/>
    <n v="0"/>
    <n v="0"/>
    <n v="0"/>
    <n v="0"/>
    <s v="Reserva importada do sistema Gover. Id: 4716578"/>
    <s v="Fornecedor não preenchido! (ACC01)"/>
    <s v="GOVER"/>
    <s v="Falta de Fornecedor"/>
    <s v="Campo Fornecedor"/>
    <s v="Dados do Fornecedor"/>
    <s v="Sistêmico"/>
    <s v="GRUPO KONTIK"/>
  </r>
  <r>
    <n v="24862982"/>
    <n v="25702101"/>
    <s v="ACC01"/>
    <x v="405"/>
    <d v="2026-07-03T17:11:45"/>
    <s v="03 a 05 dias"/>
    <s v="03 a 05 dias"/>
    <n v="23550092"/>
    <s v="GOVER"/>
    <s v="Frederico Alberto Sousa Almeida"/>
    <s v="DANIELLE RIZZETO BEZERRA ALVES"/>
    <s v="DANIELLE RIZZETO BEZERRA ALVES"/>
    <x v="369"/>
    <n v="4716744"/>
    <s v="-"/>
    <s v="OFF LINE"/>
    <s v="Cartão de crédito"/>
    <s v="Cartão de crédito"/>
    <s v="Hotel"/>
    <s v="N"/>
    <s v="Grupo Intercement"/>
    <s v="Intercement Nacoes Unidas"/>
    <s v="-"/>
    <s v="-"/>
    <s v="-"/>
    <s v="KON-OPE-SAO-PVI-MOVER"/>
    <s v="-"/>
    <x v="350"/>
    <n v="33.299999999999997"/>
    <n v="0"/>
    <n v="0"/>
    <n v="0"/>
    <n v="0"/>
    <n v="0"/>
    <s v="Reserva importada do sistema Gover. Id: 4716744"/>
    <s v="Fornecedor não preenchido! (ACC01)"/>
    <s v="GOVER"/>
    <s v="Falta de Fornecedor"/>
    <s v="Campo Fornecedor"/>
    <s v="Dados do Fornecedor"/>
    <s v="Sistêmico"/>
    <s v="GRUPO KONTIK"/>
  </r>
  <r>
    <n v="24862331"/>
    <n v="25701317"/>
    <s v="ACC01"/>
    <x v="406"/>
    <d v="2026-07-03T15:05:34"/>
    <s v="03 a 05 dias"/>
    <s v="03 a 05 dias"/>
    <s v="AV78Y4933YA"/>
    <s v="GOVER"/>
    <s v="Leticia Siqueira Mendes"/>
    <s v="DANIELLE RIZZETO BEZERRA ALVES"/>
    <s v="DANIELLE RIZZETO BEZERRA ALVES"/>
    <x v="370"/>
    <n v="4718234"/>
    <s v="Localiza - Br - Sp - Sao Jose dos Campos - Agencia Endereço: Av Andromeda, 100 - Agencia Centro "/>
    <s v="OFF LINE"/>
    <s v="Invoice"/>
    <s v="Faturado"/>
    <s v="Carro"/>
    <s v="N"/>
    <s v="Grupo Intercement"/>
    <s v="Intercement Nacoes Unidas"/>
    <s v="-"/>
    <s v="-"/>
    <s v="-"/>
    <s v="KON-OPE-SAO-PVI-MOVER"/>
    <s v="-"/>
    <x v="351"/>
    <n v="0"/>
    <n v="0"/>
    <n v="0"/>
    <n v="0"/>
    <n v="0"/>
    <n v="0"/>
    <s v="Reserva importada do sistema Gover. Id: 4718234"/>
    <s v="Fornecedor não preenchido! (ACC01)"/>
    <s v="GOVER"/>
    <s v="Falta de Fornecedor"/>
    <s v="Campo Fornecedor"/>
    <s v="Dados do Fornecedor"/>
    <s v="Qualidade dos dados"/>
    <s v="KONTIK BUSINESS TRAVEL"/>
  </r>
  <r>
    <n v="24864653"/>
    <n v="25703916"/>
    <s v="ACC01"/>
    <x v="407"/>
    <d v="2026-07-03T19:27:58"/>
    <s v="03 a 05 dias"/>
    <s v="03 a 05 dias"/>
    <s v="6RZGYV"/>
    <s v="TMS"/>
    <s v="LEANDRO FIORIN"/>
    <s v="Tms"/>
    <s v="Tms"/>
    <x v="371"/>
    <n v="21647"/>
    <s v="Salvador / SSA"/>
    <s v="ON LINE"/>
    <s v="Invoice"/>
    <s v="Faturado"/>
    <s v="Carro"/>
    <s v="N"/>
    <s v="Grupo Braskem"/>
    <s v="Braskem - Camacari"/>
    <s v="-"/>
    <s v="-"/>
    <s v="-"/>
    <s v="KON-OPE-SAO-PVI-BRASKEM"/>
    <s v="-"/>
    <x v="352"/>
    <n v="0"/>
    <n v="0"/>
    <n v="0"/>
    <n v="0"/>
    <n v="0"/>
    <n v="0"/>
    <s v="Reserva importada do Sistema TMS. OS: 21647"/>
    <s v="Fornecedor não preenchido! (ACC01)"/>
    <s v="ARGO(TMS)"/>
    <s v="Falta de Fornecedor"/>
    <s v="Campo Fornecedor"/>
    <s v="Dados do Fornecedor"/>
    <s v="Qualidade dos dados"/>
    <s v="KONTIK BUSINESS TRAVEL"/>
  </r>
  <r>
    <n v="24864658"/>
    <n v="25703921"/>
    <s v="ACC01"/>
    <x v="408"/>
    <d v="2026-07-03T19:28:21"/>
    <s v="03 a 05 dias"/>
    <s v="03 a 05 dias"/>
    <s v="6RRTYF"/>
    <s v="TMS"/>
    <s v="ANDRE SILVA"/>
    <s v="Tms"/>
    <s v="Tms"/>
    <x v="372"/>
    <n v="21643"/>
    <s v="Belo Horizonte / BHZ"/>
    <s v="ON LINE"/>
    <s v="Invoice"/>
    <s v="Faturado"/>
    <s v="Carro"/>
    <s v="N"/>
    <s v="Grupo Braskem"/>
    <s v="Braskem - Camacari"/>
    <s v="-"/>
    <s v="-"/>
    <s v="-"/>
    <s v="KON-OPE-SAO-PVI-BRASKEM"/>
    <s v="-"/>
    <x v="353"/>
    <n v="0"/>
    <n v="0"/>
    <n v="0"/>
    <n v="0"/>
    <n v="0"/>
    <n v="0"/>
    <s v="Reserva importada do Sistema TMS. OS: 21643"/>
    <s v="Fornecedor não preenchido! (ACC01)"/>
    <s v="ARGO(TMS)"/>
    <s v="Falta de Fornecedor"/>
    <s v="Campo Fornecedor"/>
    <s v="Dados do Fornecedor"/>
    <s v="Qualidade dos dados"/>
    <s v="KONTIK BUSINESS TRAVEL"/>
  </r>
  <r>
    <n v="24864665"/>
    <n v="25703928"/>
    <s v="ACC01"/>
    <x v="409"/>
    <d v="2026-07-03T19:30:47"/>
    <s v="03 a 05 dias"/>
    <s v="03 a 05 dias"/>
    <s v="6RKGH4"/>
    <s v="TMS"/>
    <s v="IBIS CURCINO"/>
    <s v="Tms"/>
    <s v="Tms"/>
    <x v="373"/>
    <n v="21637"/>
    <s v="Ribeirão Preto / RAO"/>
    <s v="ON LINE"/>
    <s v="Invoice"/>
    <s v="Faturado"/>
    <s v="Carro"/>
    <s v="N"/>
    <s v="Grupo Braskem"/>
    <s v="Braskem - Camacari"/>
    <s v="-"/>
    <s v="-"/>
    <s v="-"/>
    <s v="KON-OPE-SAO-PVI-BRASKEM"/>
    <s v="-"/>
    <x v="354"/>
    <n v="0"/>
    <n v="0"/>
    <n v="0"/>
    <n v="0"/>
    <n v="0"/>
    <n v="0"/>
    <s v="Reserva importada do Sistema TMS. OS: 21637"/>
    <s v="Fornecedor não preenchido! (ACC01)"/>
    <s v="ARGO(TMS)"/>
    <s v="Falta de Fornecedor"/>
    <s v="Campo Fornecedor"/>
    <s v="Dados do Fornecedor"/>
    <s v="Qualidade dos dados"/>
    <s v="KONTIK BUSINESS TRAVEL"/>
  </r>
  <r>
    <n v="24872461"/>
    <n v="25713152"/>
    <s v="ACC01"/>
    <x v="410"/>
    <d v="2026-07-06T00:40:31"/>
    <s v="0 a 02 dias"/>
    <s v="0 a 02 dias"/>
    <s v="6RHUCG"/>
    <s v="TMS"/>
    <s v="LUCAS SCHMIDT"/>
    <s v="Tms"/>
    <s v="Tms"/>
    <x v="374"/>
    <n v="21662"/>
    <s v="Passo Fundo / PFB"/>
    <s v="ON LINE"/>
    <s v="Invoice"/>
    <s v="Faturado"/>
    <s v="Carro"/>
    <s v="N"/>
    <s v="Grupo Braskem"/>
    <s v="Braskem - Camacari"/>
    <s v="-"/>
    <s v="-"/>
    <s v="-"/>
    <s v="KON-OPE-SAO-PVI-BRASKEM"/>
    <s v="-"/>
    <x v="355"/>
    <n v="0"/>
    <n v="0"/>
    <n v="0"/>
    <n v="0"/>
    <n v="0"/>
    <n v="0"/>
    <s v="Reserva importada do Sistema TMS. OS: 21662"/>
    <s v="Fornecedor não preenchido! (ACC01)"/>
    <s v="ARGO(TMS)"/>
    <s v="Falta de Fornecedor"/>
    <s v="Campo Fornecedor"/>
    <s v="Dados do Fornecedor"/>
    <s v="Qualidade dos dados"/>
    <s v="KONTIK BUSINESS TRAVEL"/>
  </r>
  <r>
    <n v="24862777"/>
    <n v="25701863"/>
    <s v="ACC01"/>
    <x v="411"/>
    <d v="2026-07-03T16:31:22"/>
    <s v="03 a 05 dias"/>
    <s v="03 a 05 dias"/>
    <s v="FZJHMJT"/>
    <s v="SABRE"/>
    <s v="ALVES/GLEYCE"/>
    <s v="Valeria Domingues Cavalcante"/>
    <s v="Valeria Domingues Cavalcante"/>
    <x v="375"/>
    <s v="FZJHMJ"/>
    <s v="-"/>
    <s v="OFF LINE"/>
    <s v="Invoice"/>
    <s v="Faturado"/>
    <s v="Hotel"/>
    <s v="N"/>
    <s v="Grupo Bosch"/>
    <s v="Bosch Home Comfort do Brasil Ltda"/>
    <s v="-"/>
    <s v="-"/>
    <s v="-"/>
    <s v="FCM-OPE-SAO-PVI-BOSCH"/>
    <s v="-"/>
    <x v="35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64161"/>
    <n v="25703380"/>
    <s v="ACC01"/>
    <x v="412"/>
    <d v="2026-07-03T18:48:09"/>
    <s v="03 a 05 dias"/>
    <s v="03 a 05 dias"/>
    <s v="6RFRFV"/>
    <s v="TMS"/>
    <s v="MAURO MESQUITA"/>
    <s v="Tms"/>
    <s v="Tms"/>
    <x v="376"/>
    <n v="22670"/>
    <s v="Salvador / SSA"/>
    <s v="ON LINE"/>
    <s v="Invoice"/>
    <s v="Faturado"/>
    <s v="Carro"/>
    <s v="N"/>
    <s v="Grupo Petroreconcavo"/>
    <s v="Petroreconcavo S/a"/>
    <s v="-"/>
    <s v="-"/>
    <s v="-"/>
    <s v="KON-OPE-RIO-PVI-BTC-PETRORECONCAVO"/>
    <s v="-"/>
    <x v="357"/>
    <n v="0"/>
    <n v="0"/>
    <n v="0"/>
    <n v="0"/>
    <n v="0"/>
    <n v="0"/>
    <s v="Reserva importada do Sistema TMS. OS: 22670"/>
    <s v="Fornecedor não preenchido! (ACC01)"/>
    <s v="ARGO(TMS)"/>
    <s v="Falta de Fornecedor"/>
    <s v="Campo Fornecedor"/>
    <s v="Dados do Fornecedor"/>
    <s v="Qualidade dos dados"/>
    <s v="KONTIK BUSINESS TRAVEL"/>
  </r>
  <r>
    <n v="24862611"/>
    <n v="25701684"/>
    <s v="ACC01"/>
    <x v="413"/>
    <d v="2026-07-03T16:00:23"/>
    <s v="03 a 05 dias"/>
    <s v="03 a 05 dias"/>
    <n v="2119766671"/>
    <s v="WOOBA"/>
    <s v="Freitas Colaço/Daniel "/>
    <s v="Kontrip"/>
    <s v="Kontrip"/>
    <x v="377"/>
    <s v="-"/>
    <s v="-"/>
    <s v="OFF LINE"/>
    <s v="?"/>
    <s v="?"/>
    <s v="Hotel"/>
    <s v="N"/>
    <s v="Grupo Kontrip"/>
    <s v="Instituto Atlantico"/>
    <s v="-"/>
    <s v="-"/>
    <s v="-"/>
    <s v="KONTRIP"/>
    <s v="-"/>
    <x v="358"/>
    <n v="0"/>
    <n v="0"/>
    <n v="0"/>
    <n v="0"/>
    <n v="39.76"/>
    <n v="0"/>
    <s v="Reserva importada do Sistema WOOBA. Id: 13809"/>
    <s v="Fornecedor não preenchido! (ACC01)"/>
    <s v="KONTRIP"/>
    <s v="Falta de Fornecedor"/>
    <s v="Campo Fornecedor"/>
    <s v="Dados do Fornecedor"/>
    <s v="Qualidade dos dados"/>
    <s v="KONTRIP VIAGENS"/>
  </r>
  <r>
    <n v="24864283"/>
    <n v="25703505"/>
    <s v="ACC01"/>
    <x v="414"/>
    <d v="2026-07-03T18:07:07"/>
    <s v="03 a 05 dias"/>
    <s v="03 a 05 dias"/>
    <n v="5661263"/>
    <s v="GOVER"/>
    <s v="Anderson Batista Junior"/>
    <s v="ALEXANDRE DA CONCEIÇÃO ALVES"/>
    <s v="ALEXANDRE DA CONCEIÇÃO ALVES"/>
    <x v="304"/>
    <n v="4718205"/>
    <s v="-"/>
    <s v="OFF LINE"/>
    <s v="Invoice"/>
    <s v="Faturado"/>
    <s v="Hotel"/>
    <s v="N"/>
    <s v="Grupo Cmoc"/>
    <s v="Cmoc - Dom Domenico Rangoni"/>
    <s v="-"/>
    <s v="-"/>
    <s v="-"/>
    <s v="KON-OPE-RIO-PVI-BTC-CMOC"/>
    <s v="-"/>
    <x v="342"/>
    <n v="0"/>
    <n v="0"/>
    <n v="0"/>
    <n v="0"/>
    <n v="0"/>
    <n v="0"/>
    <s v="Reserva importada do sistema Gover. Id: 4718205"/>
    <s v="Fornecedor não preenchido! (ACC01)"/>
    <s v="GOVER"/>
    <s v="Falta de Fornecedor"/>
    <s v="Campo Fornecedor"/>
    <s v="Dados do Fornecedor"/>
    <s v="Sistêmico"/>
    <s v="GRUPO KONTIK"/>
  </r>
  <r>
    <n v="24863076"/>
    <n v="25702198"/>
    <s v="ACC01"/>
    <x v="415"/>
    <d v="2026-07-04T04:51:13"/>
    <s v="0 a 02 dias"/>
    <s v="03 a 05 dias"/>
    <s v="HNJELP"/>
    <s v="GOVER"/>
    <s v="Igor Jose Rhoden"/>
    <s v="Gover"/>
    <s v="Gover"/>
    <x v="378"/>
    <n v="4717481"/>
    <s v="-"/>
    <s v="ON LINE"/>
    <s v="Cartão de crédito"/>
    <s v="Cartão de crédito"/>
    <s v="Hotel"/>
    <s v="N"/>
    <s v="Grupo Diageo"/>
    <s v="Diageo Brasil"/>
    <s v="Cliente FEE no POS"/>
    <s v="-"/>
    <s v="-"/>
    <s v="FCM-OPE-SAO-PVI-DIAGEO"/>
    <s v="-"/>
    <x v="359"/>
    <n v="9.75"/>
    <n v="0"/>
    <n v="0"/>
    <n v="0"/>
    <n v="0"/>
    <n v="27.34"/>
    <s v="Reserva importada do sistema Gover. Id: 4717481"/>
    <s v="Fornecedor não preenchido! (ACC01)"/>
    <s v="GOVER"/>
    <s v="Falta de Fornecedor"/>
    <s v="Campo Fornecedor"/>
    <s v="Dados do Fornecedor"/>
    <s v="Sistêmico"/>
    <s v="GRUPO KONTIK"/>
  </r>
  <r>
    <n v="24863750"/>
    <n v="25702941"/>
    <s v="ACC01"/>
    <x v="416"/>
    <d v="2026-07-03T18:00:54"/>
    <s v="03 a 05 dias"/>
    <s v="03 a 05 dias"/>
    <s v="6RU2XR"/>
    <s v="TMS"/>
    <s v="ISABELLE DASSIER"/>
    <s v="SAMANTHA OLIVEIRA NASCIMENTO"/>
    <s v="SAMANTHA OLIVEIRA NASCIMENTO"/>
    <x v="379"/>
    <n v="133789"/>
    <s v="-"/>
    <s v="OFF LINE"/>
    <s v="Pagamento direto"/>
    <s v="Pagamento direto"/>
    <s v="Hotel"/>
    <s v="N"/>
    <s v="Grupo Deloitte"/>
    <s v="Deloitte Consultores - Sao Paulo"/>
    <s v="-"/>
    <s v="-"/>
    <s v="-"/>
    <s v="KON-OPE-SAO-PVI-BTC-ARGO-DELOITTE"/>
    <s v="-"/>
    <x v="360"/>
    <n v="0"/>
    <n v="0"/>
    <n v="0"/>
    <n v="0"/>
    <n v="0"/>
    <n v="0"/>
    <s v="Reserva importada do Sistema TMS. OS: 133789"/>
    <s v="Fornecedor não preenchido! (ACC01)"/>
    <s v="ARGO(TMS)"/>
    <s v="Falta de Fornecedor"/>
    <s v="Campo Fornecedor"/>
    <s v="Dados do Fornecedor"/>
    <s v="Qualidade dos dados"/>
    <s v="KONTIK BUSINESS TRAVEL"/>
  </r>
  <r>
    <n v="24863751"/>
    <n v="25702942"/>
    <s v="ACC01"/>
    <x v="417"/>
    <d v="2026-07-03T18:00:54"/>
    <s v="03 a 05 dias"/>
    <s v="03 a 05 dias"/>
    <s v="6RI2WF"/>
    <s v="TMS"/>
    <s v="MAXIMILIANO LUZ"/>
    <s v="SAMANTHA OLIVEIRA NASCIMENTO"/>
    <s v="SAMANTHA OLIVEIRA NASCIMENTO"/>
    <x v="380"/>
    <n v="133775"/>
    <s v="-"/>
    <s v="OFF LINE"/>
    <s v="Pagamento direto"/>
    <s v="Pagamento direto"/>
    <s v="Hotel"/>
    <s v="N"/>
    <s v="Grupo Deloitte"/>
    <s v="Deloitte Assessoria - Sao Paulo"/>
    <s v="-"/>
    <s v="-"/>
    <s v="-"/>
    <s v="KON-OPE-SAO-PVI-BTC-ARGO-DELOITTE"/>
    <s v="-"/>
    <x v="361"/>
    <n v="0"/>
    <n v="0"/>
    <n v="0"/>
    <n v="0"/>
    <n v="0"/>
    <n v="0"/>
    <s v="Reserva importada do Sistema TMS. OS: 133775"/>
    <s v="Fornecedor não preenchido! (ACC01)"/>
    <s v="ARGO(TMS)"/>
    <s v="Falta de Fornecedor"/>
    <s v="Campo Fornecedor"/>
    <s v="Dados do Fornecedor"/>
    <s v="Qualidade dos dados"/>
    <s v="KONTIK BUSINESS TRAVEL"/>
  </r>
  <r>
    <n v="24863752"/>
    <n v="25702943"/>
    <s v="ACC01"/>
    <x v="418"/>
    <d v="2026-07-03T18:00:55"/>
    <s v="03 a 05 dias"/>
    <s v="03 a 05 dias"/>
    <s v="6RNS2F"/>
    <s v="TMS"/>
    <s v="MAXIMILIANO LUZ"/>
    <s v="SAMANTHA OLIVEIRA NASCIMENTO"/>
    <s v="SAMANTHA OLIVEIRA NASCIMENTO"/>
    <x v="372"/>
    <n v="133774"/>
    <s v="-"/>
    <s v="OFF LINE"/>
    <s v="Pagamento direto"/>
    <s v="Pagamento direto"/>
    <s v="Hotel"/>
    <s v="N"/>
    <s v="Grupo Deloitte"/>
    <s v="Deloitte Assessoria - Sao Paulo"/>
    <s v="-"/>
    <s v="-"/>
    <s v="-"/>
    <s v="KON-OPE-SAO-PVI-BTC-ARGO-DELOITTE"/>
    <s v="-"/>
    <x v="362"/>
    <n v="0"/>
    <n v="0"/>
    <n v="0"/>
    <n v="0"/>
    <n v="0"/>
    <n v="0"/>
    <s v="Reserva importada do Sistema TMS. OS: 133774"/>
    <s v="Fornecedor não preenchido! (ACC01)"/>
    <s v="ARGO(TMS)"/>
    <s v="Falta de Fornecedor"/>
    <s v="Campo Fornecedor"/>
    <s v="Dados do Fornecedor"/>
    <s v="Qualidade dos dados"/>
    <s v="KONTIK BUSINESS TRAVEL"/>
  </r>
  <r>
    <n v="24863754"/>
    <n v="25702947"/>
    <s v="ACC01"/>
    <x v="419"/>
    <d v="2026-07-03T18:00:55"/>
    <s v="03 a 05 dias"/>
    <s v="03 a 05 dias"/>
    <s v="6RPCSF"/>
    <s v="TMS"/>
    <s v="MAXIMILIANO LUZ"/>
    <s v="SAMANTHA OLIVEIRA NASCIMENTO"/>
    <s v="SAMANTHA OLIVEIRA NASCIMENTO"/>
    <x v="381"/>
    <n v="133773"/>
    <s v="-"/>
    <s v="OFF LINE"/>
    <s v="Pagamento direto"/>
    <s v="Pagamento direto"/>
    <s v="Hotel"/>
    <s v="N"/>
    <s v="Grupo Deloitte"/>
    <s v="Deloitte Assessoria - Sao Paulo"/>
    <s v="-"/>
    <s v="-"/>
    <s v="-"/>
    <s v="KON-OPE-SAO-PVI-BTC-ARGO-DELOITTE"/>
    <s v="-"/>
    <x v="363"/>
    <n v="0"/>
    <n v="0"/>
    <n v="0"/>
    <n v="0"/>
    <n v="0"/>
    <n v="0"/>
    <s v="Reserva importada do Sistema TMS. OS: 133773"/>
    <s v="Fornecedor não preenchido! (ACC01)"/>
    <s v="ARGO(TMS)"/>
    <s v="Falta de Fornecedor"/>
    <s v="Campo Fornecedor"/>
    <s v="Dados do Fornecedor"/>
    <s v="Qualidade dos dados"/>
    <s v="KONTIK BUSINESS TRAVEL"/>
  </r>
  <r>
    <n v="24863909"/>
    <n v="25703105"/>
    <s v="ACC01"/>
    <x v="420"/>
    <d v="2026-07-03T17:47:42"/>
    <s v="03 a 05 dias"/>
    <s v="03 a 05 dias"/>
    <n v="23585699"/>
    <s v="GOVER"/>
    <s v="Bruna Mariquito Simoes"/>
    <s v="Gover"/>
    <s v="Gover"/>
    <x v="382"/>
    <n v="4718686"/>
    <s v="-"/>
    <s v="ON LINE"/>
    <s v="Cartão de crédito"/>
    <s v="Cartão de crédito"/>
    <s v="Hotel"/>
    <s v="N"/>
    <s v="Grupo Energisa"/>
    <s v="Energisa Solucoes S.a."/>
    <s v="-"/>
    <s v="-"/>
    <s v="-"/>
    <s v="KON-OPE-SAO-PVI-ENERGISA"/>
    <s v="-"/>
    <x v="364"/>
    <n v="0"/>
    <n v="0"/>
    <n v="0"/>
    <n v="0"/>
    <n v="0"/>
    <n v="0"/>
    <s v="Reserva importada do sistema Gover. Id: 4718686"/>
    <s v="Fornecedor não preenchido! (ACC01)"/>
    <s v="GOVER"/>
    <s v="Falta de Fornecedor"/>
    <s v="Campo Fornecedor"/>
    <s v="Dados do Fornecedor"/>
    <s v="Sistêmico"/>
    <s v="GRUPO KONTIK"/>
  </r>
  <r>
    <n v="24863910"/>
    <n v="25703106"/>
    <s v="ACC01"/>
    <x v="421"/>
    <d v="2026-07-03T18:05:45"/>
    <s v="03 a 05 dias"/>
    <s v="03 a 05 dias"/>
    <n v="23585700"/>
    <s v="GOVER"/>
    <s v="LUIS SILVA"/>
    <s v="Gover"/>
    <s v="Gover"/>
    <x v="382"/>
    <n v="4718686"/>
    <s v="-"/>
    <s v="ON LINE"/>
    <s v="Cartão de crédito"/>
    <s v="Cartão de crédito"/>
    <s v="Hotel"/>
    <s v="N"/>
    <s v="Grupo Energisa"/>
    <s v="Energisa Solucoes S.a."/>
    <s v="-"/>
    <s v="-"/>
    <s v="-"/>
    <s v="KON-OPE-SAO-PVI-ENERGISA"/>
    <s v="-"/>
    <x v="364"/>
    <n v="0"/>
    <n v="0"/>
    <n v="0"/>
    <n v="0"/>
    <n v="0"/>
    <n v="0"/>
    <s v="Reserva importada do sistema Gover. Id: 4718686"/>
    <s v="Fornecedor não preenchido! (ACC01)"/>
    <s v="GOVER"/>
    <s v="Falta de Fornecedor"/>
    <s v="Campo Fornecedor"/>
    <s v="Dados do Fornecedor"/>
    <s v="Sistêmico"/>
    <s v="GRUPO KONTIK"/>
  </r>
  <r>
    <n v="24864606"/>
    <n v="25703852"/>
    <s v="ACC01"/>
    <x v="422"/>
    <d v="2026-07-03T18:54:29"/>
    <s v="03 a 05 dias"/>
    <s v="03 a 05 dias"/>
    <s v="FCXUXFC"/>
    <s v="SABRE"/>
    <s v="ANDRADE/RAFAEL PIRES DE MR"/>
    <s v="VITOR TEICHMANN"/>
    <s v="VITOR TEICHMANN"/>
    <x v="383"/>
    <s v="FCXUXF"/>
    <s v="GRR"/>
    <s v="ON LINE"/>
    <s v="Invoice"/>
    <s v="Faturado"/>
    <s v="Carro"/>
    <s v="N"/>
    <s v="Grupo Amway"/>
    <s v="Amway do Brasil"/>
    <s v="-"/>
    <s v="-"/>
    <s v="-"/>
    <s v="FCM-OPE-SAO-PVI-BTC-CYTRIC-AMWAY"/>
    <s v="-"/>
    <x v="365"/>
    <n v="0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863766"/>
    <n v="25702959"/>
    <s v="ACC01"/>
    <x v="423"/>
    <d v="2026-07-03T18:03:05"/>
    <s v="03 a 05 dias"/>
    <s v="03 a 05 dias"/>
    <s v="6R9D24"/>
    <s v="TMS"/>
    <s v="JOAO BARBOSA"/>
    <s v="Tms"/>
    <s v="Tms"/>
    <x v="384"/>
    <n v="35483"/>
    <s v="Fortaleza / FOR"/>
    <s v="ON LINE"/>
    <s v="Múltiplos"/>
    <s v="Múltiplos"/>
    <s v="Carro"/>
    <s v="N"/>
    <s v="Grupo Enaex"/>
    <s v="Enaex"/>
    <s v="-"/>
    <s v="-"/>
    <s v="-"/>
    <s v="KON-OPE-RIO-PVI-ENAEX"/>
    <s v="-"/>
    <x v="366"/>
    <n v="0"/>
    <n v="0"/>
    <n v="0"/>
    <n v="0"/>
    <n v="0"/>
    <n v="0"/>
    <s v="Reserva importada do Sistema TMS. OS: 35483"/>
    <s v="Fornecedor não preenchido! (ACC01)"/>
    <s v="ARGO(TMS)"/>
    <s v="Falta de Fornecedor"/>
    <s v="Campo Fornecedor"/>
    <s v="Dados do Fornecedor"/>
    <s v="Qualidade dos dados"/>
    <s v="KONTIK BUSINESS TRAVEL"/>
  </r>
  <r>
    <n v="24863771"/>
    <n v="25702964"/>
    <s v="ACC01"/>
    <x v="424"/>
    <d v="2026-07-03T18:04:24"/>
    <s v="03 a 05 dias"/>
    <s v="03 a 05 dias"/>
    <s v="6RVF2F"/>
    <s v="TMS"/>
    <s v="FRANCINE MARTINS"/>
    <s v="Alexandre Isidio da Silva"/>
    <s v="Alexandre Isidio da Silva"/>
    <x v="385"/>
    <n v="35469"/>
    <s v="Goiânia / GYN"/>
    <s v="ON LINE"/>
    <s v="Invoice"/>
    <s v="Faturado"/>
    <s v="Carro"/>
    <s v="N"/>
    <s v="Grupo Enaex"/>
    <s v="Enaex"/>
    <s v="-"/>
    <s v="-"/>
    <s v="-"/>
    <s v="KON-OPE-RIO-PVI-ENAEX"/>
    <s v="-"/>
    <x v="367"/>
    <n v="0"/>
    <n v="0"/>
    <n v="0"/>
    <n v="0"/>
    <n v="0"/>
    <n v="0"/>
    <s v="Reserva importada do Sistema TMS. OS: 35469"/>
    <s v="Fornecedor não preenchido! (ACC01)"/>
    <s v="ARGO(TMS)"/>
    <s v="Falta de Fornecedor"/>
    <s v="Campo Fornecedor"/>
    <s v="Dados do Fornecedor"/>
    <s v="Qualidade dos dados"/>
    <s v="KONTIK BUSINESS TRAVEL"/>
  </r>
  <r>
    <n v="24863773"/>
    <n v="25702966"/>
    <s v="ACC01"/>
    <x v="425"/>
    <d v="2026-07-03T18:04:37"/>
    <s v="03 a 05 dias"/>
    <s v="03 a 05 dias"/>
    <s v="6RYFX4"/>
    <s v="TMS"/>
    <s v="MARIA SOUZA"/>
    <s v="Marcia Fernandes de Sousa"/>
    <s v="Marcia Fernandes de Sousa"/>
    <x v="386"/>
    <n v="35455"/>
    <s v="Maraba / MAB"/>
    <s v="ON LINE"/>
    <s v="Invoice"/>
    <s v="Faturado"/>
    <s v="Carro"/>
    <s v="N"/>
    <s v="Grupo Enaex"/>
    <s v="Enaex"/>
    <s v="-"/>
    <s v="-"/>
    <s v="-"/>
    <s v="KON-OPE-RIO-PVI-ENAEX"/>
    <s v="-"/>
    <x v="368"/>
    <n v="0"/>
    <n v="0"/>
    <n v="0"/>
    <n v="0"/>
    <n v="0"/>
    <n v="0"/>
    <s v="Reserva importada do Sistema TMS. OS: 35455"/>
    <s v="Fornecedor não preenchido! (ACC01)"/>
    <s v="ARGO(TMS)"/>
    <s v="Falta de Fornecedor"/>
    <s v="Campo Fornecedor"/>
    <s v="Dados do Fornecedor"/>
    <s v="Qualidade dos dados"/>
    <s v="KONTIK BUSINESS TRAVEL"/>
  </r>
  <r>
    <n v="24867246"/>
    <n v="25706803"/>
    <s v="ACC01"/>
    <x v="426"/>
    <d v="2026-07-04T11:36:08"/>
    <s v="0 a 02 dias"/>
    <s v="0 a 02 dias"/>
    <s v="6R3YP5"/>
    <s v="TMS"/>
    <s v="FRANCIEL SILVA"/>
    <s v="Tms"/>
    <s v="Tms"/>
    <x v="387"/>
    <n v="35505"/>
    <s v="Campo Grande / CGR"/>
    <s v="ON LINE"/>
    <s v="Invoice"/>
    <s v="Faturado"/>
    <s v="Carro"/>
    <s v="N"/>
    <s v="Grupo Enaex"/>
    <s v="Enaex"/>
    <s v="-"/>
    <s v="-"/>
    <s v="-"/>
    <s v="KON-OPE-RIO-PVI-ENAEX"/>
    <s v="-"/>
    <x v="369"/>
    <n v="0"/>
    <n v="0"/>
    <n v="0"/>
    <n v="0"/>
    <n v="0"/>
    <n v="0"/>
    <s v="Reserva importada do Sistema TMS. OS: 35505"/>
    <s v="Fornecedor não preenchido! (ACC01)"/>
    <s v="ARGO(TMS)"/>
    <s v="Falta de Fornecedor"/>
    <s v="Campo Fornecedor"/>
    <s v="Dados do Fornecedor"/>
    <s v="Qualidade dos dados"/>
    <s v="KONTIK BUSINESS TRAVEL"/>
  </r>
  <r>
    <n v="24862309"/>
    <n v="25701287"/>
    <s v="ACC01"/>
    <x v="427"/>
    <d v="2026-07-03T15:01:33"/>
    <s v="03 a 05 dias"/>
    <s v="03 a 05 dias"/>
    <s v="6RTWOE"/>
    <s v="LEMONTECH"/>
    <s v="MACHADO DE CARVALHO/RAILANA GISNELE"/>
    <s v="Isabela de Melo da Silva"/>
    <s v="Isabela de Melo da Silva"/>
    <x v="388"/>
    <n v="19485863"/>
    <s v="HALL AEROPORTO DE SAO LUIS, S/N, TIRIRICAL "/>
    <s v="ON LINE"/>
    <s v="Invoice"/>
    <s v="Faturado"/>
    <s v="Carro"/>
    <s v="N"/>
    <s v="Grupo Biolab"/>
    <s v="Biolab Centro Administrativo - Escritorio"/>
    <s v="-"/>
    <s v="-"/>
    <s v="-"/>
    <s v="KON-OPE-SAO-PVI-BIOLAB"/>
    <s v="-"/>
    <x v="370"/>
    <n v="78.36"/>
    <n v="251.6"/>
    <n v="0"/>
    <n v="0"/>
    <n v="0"/>
    <n v="0"/>
    <s v="Reserva importada do Sistema Lemontech. Solicitação: 19485863"/>
    <s v="Fornecedor não preenchido! (ACC01)"/>
    <s v="LEMONTECH"/>
    <s v="Falta de Fornecedor"/>
    <s v="Campo Fornecedor"/>
    <s v="Dados do Fornecedor"/>
    <s v="Qualidade dos dados"/>
    <s v="KONTIK BUSINESS TRAVEL"/>
  </r>
  <r>
    <n v="24864335"/>
    <n v="25703557"/>
    <s v="ACC01"/>
    <x v="428"/>
    <d v="2026-07-03T18:14:56"/>
    <s v="03 a 05 dias"/>
    <s v="03 a 05 dias"/>
    <s v="6RYV5R"/>
    <s v="LEMONTECH"/>
    <s v="DE AZEVEDO/MARCOS"/>
    <s v="Lemontech"/>
    <s v="Lemontech"/>
    <x v="304"/>
    <n v="19605568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371"/>
    <n v="0"/>
    <n v="0"/>
    <n v="0"/>
    <n v="0"/>
    <n v="0"/>
    <n v="0"/>
    <s v="Reserva importada do Sistema Lemontech. Solicitação: 19605568"/>
    <s v="Fornecedor não preenchido! (ACC01)"/>
    <s v="LEMONTECH"/>
    <s v="Falta de Fornecedor"/>
    <s v="Campo Fornecedor"/>
    <s v="Dados do Fornecedor"/>
    <s v="Qualidade dos dados"/>
    <s v="KONTIK BUSINESS TRAVEL"/>
  </r>
  <r>
    <n v="24867082"/>
    <n v="25706611"/>
    <s v="ACC01"/>
    <x v="429"/>
    <d v="2026-07-04T11:06:07"/>
    <s v="0 a 02 dias"/>
    <s v="0 a 02 dias"/>
    <s v="6R33B5"/>
    <s v="LEMONTECH"/>
    <s v="BORGES UTUMI/FERNANDA HARUMI"/>
    <s v="Lemontech"/>
    <s v="Lemontech"/>
    <x v="246"/>
    <n v="19595468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92"/>
    <n v="0"/>
    <n v="0"/>
    <n v="0"/>
    <n v="0"/>
    <n v="0"/>
    <n v="0"/>
    <s v="Reserva importada do Sistema Lemontech. Solicitação: 19595468"/>
    <s v="Fornecedor não preenchido! (ACC01)"/>
    <s v="LEMONTECH"/>
    <s v="Falta de Fornecedor"/>
    <s v="Campo Fornecedor"/>
    <s v="Dados do Fornecedor"/>
    <s v="Qualidade dos dados"/>
    <s v="KONTIK BUSINESS TRAVEL"/>
  </r>
  <r>
    <n v="24866922"/>
    <n v="25706383"/>
    <s v="ACC01"/>
    <x v="430"/>
    <d v="2026-07-04T10:06:41"/>
    <s v="0 a 02 dias"/>
    <s v="0 a 02 dias"/>
    <s v="6RKXBT"/>
    <s v="LEMONTECH"/>
    <s v="GOMES/ADILMA"/>
    <s v="Lemontech"/>
    <s v="Lemontech"/>
    <x v="304"/>
    <n v="19608144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372"/>
    <n v="0"/>
    <n v="0"/>
    <n v="0"/>
    <n v="0"/>
    <n v="7.66"/>
    <n v="0"/>
    <s v="Reserva importada do Sistema Lemontech. Solicitação: 19608144"/>
    <s v="Fornecedor não preenchido! (ACC01)"/>
    <s v="LEMONTECH"/>
    <s v="Falta de Fornecedor"/>
    <s v="Campo Fornecedor"/>
    <s v="Dados do Fornecedor"/>
    <s v="Qualidade dos dados"/>
    <s v="KONTIK BUSINESS TRAVEL"/>
  </r>
  <r>
    <n v="24864207"/>
    <n v="25703427"/>
    <s v="ACC01"/>
    <x v="431"/>
    <d v="2026-07-03T18:01:08"/>
    <s v="03 a 05 dias"/>
    <s v="03 a 05 dias"/>
    <s v="JYSDEET"/>
    <s v="SABRE"/>
    <s v="BOTELHO/JOHNNY  HALLEN DA SILVA MR"/>
    <s v="JULIANE MARTINS FERREIRA"/>
    <s v="JULIANE MARTINS FERREIRA"/>
    <x v="389"/>
    <s v="EMAIL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37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62550"/>
    <n v="25701603"/>
    <s v="ACC01"/>
    <x v="432"/>
    <d v="2026-07-03T15:48:39"/>
    <s v="03 a 05 dias"/>
    <s v="03 a 05 dias"/>
    <s v="YUTCHUT"/>
    <s v="SABRE"/>
    <s v="CAITANO/PAULO HENRIQUE MR"/>
    <s v="JULIANE MARTINS FERREIRA"/>
    <s v="JULIANE MARTINS FERREIRA"/>
    <x v="390"/>
    <s v="EMAIL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65809"/>
    <n v="25705249"/>
    <s v="ACC01"/>
    <x v="433"/>
    <d v="2026-07-04T00:04:19"/>
    <s v="0 a 02 dias"/>
    <s v="03 a 05 dias"/>
    <s v="6R85IF"/>
    <s v="TMS"/>
    <s v="MARCIO ANACLETO CASTILHO"/>
    <s v="Tms"/>
    <s v="Tms"/>
    <x v="391"/>
    <n v="118813"/>
    <s v="Rio das Ostras / RI2"/>
    <s v="ON LINE"/>
    <s v="Invoice"/>
    <s v="Faturado"/>
    <s v="Carro"/>
    <s v="N"/>
    <s v="Grupo Ocean Pact"/>
    <s v="Oceanpact Servicos Maritimos"/>
    <s v="-"/>
    <s v="-"/>
    <s v="-"/>
    <s v="KON-OPE-RIO-POS-OCEANPACT"/>
    <s v="-"/>
    <x v="374"/>
    <n v="0"/>
    <n v="0"/>
    <n v="0"/>
    <n v="0"/>
    <n v="0"/>
    <n v="0"/>
    <s v="Reserva importada do Sistema TMS. OS: 118813"/>
    <s v="Fornecedor não preenchido! (ACC01)"/>
    <s v="ARGO(TMS)"/>
    <s v="Falta de Fornecedor"/>
    <s v="Campo Fornecedor"/>
    <s v="Dados do Fornecedor"/>
    <s v="Qualidade dos dados"/>
    <s v="KONTIK BUSINESS TRAVEL"/>
  </r>
  <r>
    <n v="24864086"/>
    <n v="25703284"/>
    <s v="ACC01"/>
    <x v="434"/>
    <d v="2026-07-03T18:41:27"/>
    <s v="03 a 05 dias"/>
    <s v="03 a 05 dias"/>
    <s v="6R01RF"/>
    <s v="TMS"/>
    <s v="ANDREZA MENEZES"/>
    <s v="Tms"/>
    <s v="Tms"/>
    <x v="392"/>
    <n v="118645"/>
    <s v="Belém / BEL"/>
    <s v="ON LINE"/>
    <s v="Invoice"/>
    <s v="Faturado"/>
    <s v="Carro"/>
    <s v="N"/>
    <s v="Grupo Ocean Pact"/>
    <s v="Oceanpact Geociencias"/>
    <s v="-"/>
    <s v="-"/>
    <s v="-"/>
    <s v="KON-OPE-RIO-POS-OCEANPACT"/>
    <s v="-"/>
    <x v="375"/>
    <n v="0"/>
    <n v="0"/>
    <n v="0"/>
    <n v="0"/>
    <n v="0"/>
    <n v="0"/>
    <s v="Reserva importada do Sistema TMS. OS: 118645"/>
    <s v="Fornecedor não preenchido! (ACC01)"/>
    <s v="ARGO(TMS)"/>
    <s v="Falta de Fornecedor"/>
    <s v="Campo Fornecedor"/>
    <s v="Dados do Fornecedor"/>
    <s v="Qualidade dos dados"/>
    <s v="KONTIK BUSINESS TRAVEL"/>
  </r>
  <r>
    <n v="24862654"/>
    <n v="25701729"/>
    <s v="ACC01"/>
    <x v="435"/>
    <d v="2026-07-03T16:07:04"/>
    <s v="03 a 05 dias"/>
    <s v="03 a 05 dias"/>
    <n v="23581882"/>
    <s v="GOVER"/>
    <s v="Laerte Bento Viola"/>
    <s v="Gover"/>
    <s v="Gover"/>
    <x v="393"/>
    <n v="4718600"/>
    <s v="-"/>
    <s v="ON LINE"/>
    <s v="Cartão de crédito"/>
    <s v="Cartão de crédito"/>
    <s v="Hotel"/>
    <s v="N"/>
    <s v="Grupo Arcadis"/>
    <s v="Arcadis"/>
    <s v="-"/>
    <s v="-"/>
    <s v="-"/>
    <s v="FCM-OPE-SAO-PVI-ARCADIS"/>
    <s v="-"/>
    <x v="376"/>
    <n v="0"/>
    <n v="0"/>
    <n v="0"/>
    <n v="0"/>
    <n v="0"/>
    <n v="0"/>
    <s v="Reserva importada do sistema Gover. Id: 4718600"/>
    <s v="Fornecedor não preenchido! (ACC01)"/>
    <s v="GOVER"/>
    <s v="Falta de Fornecedor"/>
    <s v="Campo Fornecedor"/>
    <s v="Dados do Fornecedor"/>
    <s v="Sistêmico"/>
    <s v="GRUPO KONTIK"/>
  </r>
  <r>
    <n v="24863421"/>
    <n v="25702574"/>
    <s v="ACC01"/>
    <x v="436"/>
    <d v="2026-07-03T17:25:58"/>
    <s v="03 a 05 dias"/>
    <s v="03 a 05 dias"/>
    <s v="6RGN0R"/>
    <s v="TMS"/>
    <s v="LUCAS GONCALVES"/>
    <s v="Tms"/>
    <s v="Tms"/>
    <x v="394"/>
    <n v="130486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377"/>
    <n v="0"/>
    <n v="0"/>
    <n v="0"/>
    <n v="0"/>
    <n v="0"/>
    <n v="0"/>
    <s v="Reserva importada do Sistema TMS. OS: 130486"/>
    <s v="Fornecedor não preenchido! (ACC01)"/>
    <s v="ARGO(TMS)"/>
    <s v="Falta de Fornecedor"/>
    <s v="Campo Fornecedor"/>
    <s v="Dados do Fornecedor"/>
    <s v="Sistêmico"/>
    <s v="GRUPO KONTIK"/>
  </r>
  <r>
    <n v="24863778"/>
    <n v="25702973"/>
    <s v="ACC01"/>
    <x v="437"/>
    <d v="2026-07-03T18:06:05"/>
    <s v="03 a 05 dias"/>
    <s v="03 a 05 dias"/>
    <s v="6R0T24"/>
    <s v="TMS"/>
    <s v="FRANCISCO PEREIRA"/>
    <s v="Tms"/>
    <s v="Tms"/>
    <x v="393"/>
    <n v="6529"/>
    <s v="Barueri / SAO"/>
    <s v="ON LINE"/>
    <s v="Invoice"/>
    <s v="Faturado"/>
    <s v="Carro"/>
    <s v="N"/>
    <s v="Grupo Epson"/>
    <s v="Epson"/>
    <s v="-"/>
    <s v="-"/>
    <s v="-"/>
    <s v="KON-OPE-SAO-PVI-BTC-ARGO"/>
    <s v="-"/>
    <x v="378"/>
    <n v="0"/>
    <n v="0"/>
    <n v="0"/>
    <n v="0"/>
    <n v="0"/>
    <n v="0"/>
    <s v="Reserva importada do Sistema TMS. OS: 6529"/>
    <s v="Fornecedor não preenchido! (ACC01)"/>
    <s v="ARGO(TMS)"/>
    <s v="Falta de Fornecedor"/>
    <s v="Campo Fornecedor"/>
    <s v="Dados do Fornecedor"/>
    <s v="Qualidade dos dados"/>
    <s v="KONTIK BUSINESS TRAVEL"/>
  </r>
  <r>
    <n v="24863785"/>
    <n v="25702980"/>
    <s v="ACC01"/>
    <x v="438"/>
    <d v="2026-07-03T18:06:54"/>
    <s v="03 a 05 dias"/>
    <s v="03 a 05 dias"/>
    <s v="6RFGS4"/>
    <s v="TMS"/>
    <s v="LUIZ OLIVEIRA"/>
    <s v="Beatrys Ferreira Rocha"/>
    <s v="Beatrys Ferreira Rocha"/>
    <x v="395"/>
    <n v="6525"/>
    <s v="São José do Rio Preto / SJP"/>
    <s v="ON LINE"/>
    <s v="Invoice"/>
    <s v="Faturado"/>
    <s v="Carro"/>
    <s v="N"/>
    <s v="Grupo Epson"/>
    <s v="Epson"/>
    <s v="-"/>
    <s v="-"/>
    <s v="-"/>
    <s v="KON-OPE-SAO-PVI-BTC-ARGO"/>
    <s v="-"/>
    <x v="379"/>
    <n v="0"/>
    <n v="0"/>
    <n v="0"/>
    <n v="0"/>
    <n v="0"/>
    <n v="0"/>
    <s v="Reserva importada do Sistema TMS. OS: 6525"/>
    <s v="Fornecedor não preenchido! (ACC01)"/>
    <s v="ARGO(TMS)"/>
    <s v="Falta de Fornecedor"/>
    <s v="Campo Fornecedor"/>
    <s v="Dados do Fornecedor"/>
    <s v="Qualidade dos dados"/>
    <s v="GRUPO KONTIK"/>
  </r>
  <r>
    <n v="24864469"/>
    <n v="25703698"/>
    <s v="ACC01"/>
    <x v="439"/>
    <d v="2026-07-03T19:19:13"/>
    <s v="03 a 05 dias"/>
    <s v="03 a 05 dias"/>
    <s v="6RHB6R"/>
    <s v="TMS"/>
    <s v="FLAVIO HENRIQUE CARDOZO"/>
    <s v="Tms"/>
    <s v="Tms"/>
    <x v="396"/>
    <n v="45098"/>
    <s v="Curitiba / CWB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380"/>
    <n v="0"/>
    <n v="0"/>
    <n v="0"/>
    <n v="0"/>
    <n v="0"/>
    <n v="0"/>
    <s v="Reserva importada do Sistema TMS. OS: 45098"/>
    <s v="Fornecedor não preenchido! (ACC01)"/>
    <s v="ARGO(TMS)"/>
    <s v="Falta de Fornecedor"/>
    <s v="Campo Fornecedor"/>
    <s v="Dados do Fornecedor"/>
    <s v="Qualidade dos dados"/>
    <s v="KONTIK BUSINESS TRAVEL"/>
  </r>
  <r>
    <n v="24864471"/>
    <n v="25703700"/>
    <s v="ACC01"/>
    <x v="440"/>
    <d v="2026-07-03T19:20:40"/>
    <s v="03 a 05 dias"/>
    <s v="03 a 05 dias"/>
    <s v="6R7MYV"/>
    <s v="TMS"/>
    <s v="NATALIA CONTE FERREIRA KLEIN"/>
    <s v="Tms"/>
    <s v="Tms"/>
    <x v="397"/>
    <n v="45097"/>
    <s v="Vitoria / VIX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381"/>
    <n v="0"/>
    <n v="0"/>
    <n v="0"/>
    <n v="0"/>
    <n v="0"/>
    <n v="0"/>
    <s v="Reserva importada do Sistema TMS. OS: 45097"/>
    <s v="Fornecedor não preenchido! (ACC01)"/>
    <s v="ARGO(TMS)"/>
    <s v="Falta de Fornecedor"/>
    <s v="Campo Fornecedor"/>
    <s v="Dados do Fornecedor"/>
    <s v="Qualidade dos dados"/>
    <s v="KONTIK BUSINESS TRAVEL"/>
  </r>
  <r>
    <n v="24864477"/>
    <n v="25703706"/>
    <s v="ACC01"/>
    <x v="441"/>
    <d v="2026-07-03T19:21:05"/>
    <s v="03 a 05 dias"/>
    <s v="03 a 05 dias"/>
    <s v="6RBZYF"/>
    <s v="TMS"/>
    <s v="FERNANDO DOGNINI"/>
    <s v="Tms"/>
    <s v="Tms"/>
    <x v="397"/>
    <n v="45086"/>
    <s v="Blumenau / BNU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382"/>
    <n v="0"/>
    <n v="0"/>
    <n v="0"/>
    <n v="0"/>
    <n v="0"/>
    <n v="0"/>
    <s v="Reserva importada do Sistema TMS. OS: 45086"/>
    <s v="Fornecedor não preenchido! (ACC01)"/>
    <s v="ARGO(TMS)"/>
    <s v="Falta de Fornecedor"/>
    <s v="Campo Fornecedor"/>
    <s v="Dados do Fornecedor"/>
    <s v="Qualidade dos dados"/>
    <s v="KONTIK BUSINESS TRAVEL"/>
  </r>
  <r>
    <n v="24864481"/>
    <n v="25703710"/>
    <s v="ACC01"/>
    <x v="442"/>
    <d v="2026-07-03T19:21:29"/>
    <s v="03 a 05 dias"/>
    <s v="03 a 05 dias"/>
    <s v="6RCQHF"/>
    <s v="TMS"/>
    <s v="FERNANDO DOGNINI"/>
    <s v="Tms"/>
    <s v="Tms"/>
    <x v="398"/>
    <n v="45083"/>
    <s v="Blumenau / BNU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383"/>
    <n v="0"/>
    <n v="0"/>
    <n v="0"/>
    <n v="0"/>
    <n v="0"/>
    <n v="0"/>
    <s v="Reserva importada do Sistema TMS. OS: 45083"/>
    <s v="Fornecedor não preenchido! (ACC01)"/>
    <s v="ARGO(TMS)"/>
    <s v="Falta de Fornecedor"/>
    <s v="Campo Fornecedor"/>
    <s v="Dados do Fornecedor"/>
    <s v="Qualidade dos dados"/>
    <s v="KONTIK BUSINESS TRAVEL"/>
  </r>
  <r>
    <n v="24864077"/>
    <n v="25703275"/>
    <s v="ACC01"/>
    <x v="443"/>
    <d v="2026-07-03T18:00:35"/>
    <s v="03 a 05 dias"/>
    <s v="03 a 05 dias"/>
    <n v="23586023"/>
    <s v="GOVER"/>
    <s v="Eliomara Ferreira de Jesus Santana"/>
    <s v="Gover"/>
    <s v="Gover"/>
    <x v="399"/>
    <n v="4718695"/>
    <s v="-"/>
    <s v="ON LINE"/>
    <s v="Invoice"/>
    <s v="Faturado"/>
    <s v="Hotel"/>
    <s v="N"/>
    <s v="Grupo Marisa"/>
    <s v="Lojas Marisa"/>
    <s v="-"/>
    <s v="-"/>
    <s v="-"/>
    <s v="KON-OPE-RIO-PVI-BTC RJ"/>
    <s v="-"/>
    <x v="384"/>
    <n v="0"/>
    <n v="0"/>
    <n v="0"/>
    <n v="0"/>
    <n v="0"/>
    <n v="0"/>
    <s v="Reserva importada do sistema Gover. Id: 4718695"/>
    <s v="Fornecedor não preenchido! (ACC01)"/>
    <s v="GOVER"/>
    <s v="Falta de Fornecedor"/>
    <s v="Campo Fornecedor"/>
    <s v="Dados do Fornecedor"/>
    <s v="Sistêmico"/>
    <s v="GRUPO KONTIK"/>
  </r>
  <r>
    <n v="24862545"/>
    <n v="25701594"/>
    <s v="ACC01"/>
    <x v="444"/>
    <d v="2026-07-03T17:18:37"/>
    <s v="03 a 05 dias"/>
    <s v="03 a 05 dias"/>
    <s v="DPJPFWT"/>
    <s v="SABRE"/>
    <s v="ALBUQUERQUE/GUSTAVO VIEIRA DA FONSECA MR"/>
    <s v="Adriana Vieira de Freitas dos Santos"/>
    <s v="Adriana Vieira de Freitas dos Santos"/>
    <x v="400"/>
    <s v="EMAIL"/>
    <s v="-"/>
    <s v="OFF LINE"/>
    <s v="Pagamento direto"/>
    <s v="Pagamento direto"/>
    <s v="Hotel"/>
    <s v="N"/>
    <s v="Grupo Shell"/>
    <s v="Shell"/>
    <s v="-"/>
    <s v="-"/>
    <s v="-"/>
    <s v="FCM-OPE-SAO-PVI-SHELL"/>
    <s v="-"/>
    <x v="385"/>
    <n v="158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62547"/>
    <n v="25701599"/>
    <s v="ACC01"/>
    <x v="445"/>
    <d v="2026-07-03T15:48:38"/>
    <s v="03 a 05 dias"/>
    <s v="03 a 05 dias"/>
    <s v="SLMNMST"/>
    <s v="SABRE"/>
    <s v="TIKERPE/GABRIELA MS"/>
    <s v="WS"/>
    <s v="WS"/>
    <x v="401"/>
    <s v="-"/>
    <s v="-"/>
    <s v="ON LINE"/>
    <s v="Cartão de crédito"/>
    <s v="Cartão de crédito"/>
    <s v="Hotel"/>
    <s v="N"/>
    <s v="Grupo Chanel"/>
    <s v="Chanel"/>
    <s v="-"/>
    <s v="-"/>
    <s v="-"/>
    <s v="FCM-OPE-SAO-PVI-BTC-CONCUR-CHANEL"/>
    <s v="-"/>
    <x v="386"/>
    <n v="199.1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864257"/>
    <n v="25703482"/>
    <s v="ACC01"/>
    <x v="446"/>
    <d v="2026-07-05T07:30:54"/>
    <s v="0 a 02 dias"/>
    <s v="03 a 05 dias"/>
    <s v="6RW0TV"/>
    <s v="LEMONTECH"/>
    <s v="TAIANE NASCIMENTO CEREJO ZICO"/>
    <s v="Humberto da Fontoura"/>
    <s v="Humberto da Fontoura"/>
    <x v="402"/>
    <n v="19581554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387"/>
    <n v="10.17"/>
    <n v="9.9499999999999993"/>
    <n v="0"/>
    <n v="0"/>
    <n v="0"/>
    <n v="0"/>
    <s v="Reserva importada do Sistema Lemontech. Solicitação: 19581554"/>
    <s v="Fornecedor não preenchido! (ACC01)"/>
    <s v="LEMONTECH"/>
    <s v="Falta de Fornecedor"/>
    <s v="Campo Fornecedor"/>
    <s v="Dados do Fornecedor"/>
    <s v="Qualidade dos dados"/>
    <s v="KONTIK BUSINESS TRAVEL"/>
  </r>
  <r>
    <n v="24864204"/>
    <n v="25703424"/>
    <s v="ACC01"/>
    <x v="447"/>
    <d v="2026-07-03T18:52:37"/>
    <s v="03 a 05 dias"/>
    <s v="03 a 05 dias"/>
    <s v="6RFY4V"/>
    <s v="TMS"/>
    <s v="CAROLINA PONTVIANNE"/>
    <s v="Tms"/>
    <s v="Tms"/>
    <x v="403"/>
    <n v="7139"/>
    <s v="-"/>
    <s v="ON LINE"/>
    <s v="Cartão de crédito"/>
    <s v="Faturado"/>
    <s v="Hotel"/>
    <s v="N"/>
    <s v="Grupo Track e Field"/>
    <s v="Track e Field Co Sa Matriz"/>
    <s v="-"/>
    <s v="-"/>
    <s v="-"/>
    <s v="KON-OPE-SAO-PVI-BTC-ARGO"/>
    <s v="-"/>
    <x v="388"/>
    <n v="0"/>
    <n v="0"/>
    <n v="0"/>
    <n v="0"/>
    <n v="185.17"/>
    <n v="0"/>
    <s v="Reserva importada do Sistema TMS. OS: 7139"/>
    <s v="Fornecedor não preenchido! (ACC01)"/>
    <s v="ARGO(TMS)"/>
    <s v="Falta de Fornecedor"/>
    <s v="Campo Fornecedor"/>
    <s v="Dados do Fornecedor"/>
    <s v="Sistêmico"/>
    <s v="GRUPO KONTIK"/>
  </r>
  <r>
    <n v="24862936"/>
    <n v="25702029"/>
    <s v="ACC01"/>
    <x v="448"/>
    <d v="2026-07-04T03:48:41"/>
    <s v="0 a 02 dias"/>
    <s v="03 a 05 dias"/>
    <n v="23545723"/>
    <s v="GOVER"/>
    <s v="Jean Carlos Veronese"/>
    <s v="Gover"/>
    <s v="Gover"/>
    <x v="404"/>
    <n v="4716877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389"/>
    <n v="0.08"/>
    <n v="0"/>
    <n v="0"/>
    <n v="0"/>
    <n v="0"/>
    <n v="0"/>
    <s v="Reserva importada do sistema Gover. Id: 4716877"/>
    <s v="Fornecedor não preenchido! (ACC01)"/>
    <s v="GOVER"/>
    <s v="Falta de Fornecedor"/>
    <s v="Campo Fornecedor"/>
    <s v="Dados do Fornecedor"/>
    <s v="Sistêmico"/>
    <s v="GRUPO KONTIK"/>
  </r>
  <r>
    <n v="24862813"/>
    <n v="25701899"/>
    <s v="ACC01"/>
    <x v="449"/>
    <d v="2026-07-04T03:42:21"/>
    <s v="0 a 02 dias"/>
    <s v="03 a 05 dias"/>
    <s v="LWMFKH"/>
    <s v="GOVER"/>
    <s v="Rafael Pedralli"/>
    <s v="Gover"/>
    <s v="Gover"/>
    <x v="405"/>
    <n v="4715329"/>
    <s v="-"/>
    <s v="ON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390"/>
    <n v="9.4499999999999993"/>
    <n v="0"/>
    <n v="0"/>
    <n v="0"/>
    <n v="0"/>
    <n v="0"/>
    <s v="Reserva importada do sistema Gover. Id: 4715329"/>
    <s v="Fornecedor não preenchido! (ACC01)"/>
    <s v="GOVER"/>
    <s v="Falta de Fornecedor"/>
    <s v="Campo Fornecedor"/>
    <s v="Dados do Fornecedor"/>
    <s v="Sistêmico"/>
    <s v="GRUPO KONTIK"/>
  </r>
  <r>
    <n v="24864158"/>
    <n v="25703377"/>
    <s v="ACC01"/>
    <x v="450"/>
    <d v="2026-07-03T18:48:08"/>
    <s v="03 a 05 dias"/>
    <s v="03 a 05 dias"/>
    <s v="6RSF44"/>
    <s v="TMS"/>
    <s v="FERNANDA DE ARAUJO"/>
    <s v="Tms"/>
    <s v="Tms"/>
    <x v="406"/>
    <n v="11112"/>
    <s v="-"/>
    <s v="ON LINE"/>
    <s v="Cartão de crédito"/>
    <s v="Cartão de crédito"/>
    <s v="Hotel"/>
    <s v="N"/>
    <s v="Grupo Pepsico"/>
    <s v="Pepsico do Brasil Industria e Comercio  de Alimentos"/>
    <s v="-"/>
    <s v="-"/>
    <s v="-"/>
    <s v="-"/>
    <s v="-"/>
    <x v="391"/>
    <n v="0"/>
    <n v="0"/>
    <n v="0"/>
    <n v="0"/>
    <n v="145.82"/>
    <n v="0"/>
    <s v="Reserva importada do Sistema TMS. OS: 11112"/>
    <s v="Fornecedor não preenchido! (ACC01)"/>
    <s v="ARGO(TMS)"/>
    <s v="Falta de Fornecedor"/>
    <s v="Campo Fornecedor"/>
    <s v="Dados do Fornecedor"/>
    <s v="Sistêmico"/>
    <s v="GRUPO KONTIK"/>
  </r>
  <r>
    <n v="24864159"/>
    <n v="25703378"/>
    <s v="ACC01"/>
    <x v="451"/>
    <d v="2026-07-03T18:48:09"/>
    <s v="03 a 05 dias"/>
    <s v="03 a 05 dias"/>
    <s v="6R3RVR"/>
    <s v="TMS"/>
    <s v="FERNANDA DE ARAUJO"/>
    <s v="Tms"/>
    <s v="Tms"/>
    <x v="407"/>
    <n v="11111"/>
    <s v="-"/>
    <s v="ON LINE"/>
    <s v="Cartão de crédito"/>
    <s v="Cartão de crédito"/>
    <s v="Hotel"/>
    <s v="N"/>
    <s v="Grupo Pepsico"/>
    <s v="Pepsico do Brasil Industria e Comercio  de Alimentos"/>
    <s v="-"/>
    <s v="-"/>
    <s v="-"/>
    <s v="-"/>
    <s v="-"/>
    <x v="392"/>
    <n v="0"/>
    <n v="0"/>
    <n v="0"/>
    <n v="0"/>
    <n v="68.67"/>
    <n v="0"/>
    <s v="Reserva importada do Sistema TMS. OS: 11111"/>
    <s v="Fornecedor não preenchido! (ACC01)"/>
    <s v="ARGO(TMS)"/>
    <s v="Falta de Fornecedor"/>
    <s v="Campo Fornecedor"/>
    <s v="Dados do Fornecedor"/>
    <s v="Sistêmico"/>
    <s v="GRUPO KONTIK"/>
  </r>
  <r>
    <n v="24863527"/>
    <n v="25702680"/>
    <s v="ACC01"/>
    <x v="452"/>
    <d v="2026-07-03T17:40:55"/>
    <s v="03 a 05 dias"/>
    <s v="03 a 05 dias"/>
    <s v="6RU4QV"/>
    <s v="TMS"/>
    <s v="GABRIEL BASTOS"/>
    <s v="Tms"/>
    <s v="Tms"/>
    <x v="408"/>
    <n v="17156"/>
    <s v="Brasília / BSB"/>
    <s v="ON LINE"/>
    <s v="Invoice"/>
    <s v="Faturado"/>
    <s v="Carro"/>
    <s v="N"/>
    <s v="Grupo Bernoulli Educacao"/>
    <s v="Colegio e Pre-vestibular Bernoulli - Un. Raja"/>
    <s v="-"/>
    <s v="-"/>
    <s v="-"/>
    <s v="KON-OPE-SAO-PVI-BERNOULLI"/>
    <s v="-"/>
    <x v="393"/>
    <n v="0"/>
    <n v="0"/>
    <n v="0"/>
    <n v="0"/>
    <n v="0"/>
    <n v="0"/>
    <s v="Reserva importada do Sistema TMS. OS: 17156"/>
    <s v="Fornecedor não preenchido! (ACC01)"/>
    <s v="ARGO(TMS)"/>
    <s v="Falta de Fornecedor"/>
    <s v="Campo Fornecedor"/>
    <s v="Dados do Fornecedor"/>
    <s v="Qualidade dos dados"/>
    <s v="KONTIK BUSINESS TRAVEL"/>
  </r>
  <r>
    <n v="24863533"/>
    <n v="25702685"/>
    <s v="ACC01"/>
    <x v="453"/>
    <d v="2026-07-03T17:41:08"/>
    <s v="03 a 05 dias"/>
    <s v="03 a 05 dias"/>
    <s v="6RZTAV"/>
    <s v="TMS"/>
    <s v="GILMAR JORGE"/>
    <s v="Tms"/>
    <s v="Tms"/>
    <x v="409"/>
    <n v="17140"/>
    <s v="Belo Horizonte / CNF"/>
    <s v="ON LINE"/>
    <s v="Invoice"/>
    <s v="Faturado"/>
    <s v="Carro"/>
    <s v="N"/>
    <s v="Grupo Bernoulli Educacao"/>
    <s v="Colegio e Pre-vestibular Bernoulli - Un. Raja"/>
    <s v="-"/>
    <s v="-"/>
    <s v="-"/>
    <s v="KON-OPE-SAO-PVI-BERNOULLI"/>
    <s v="-"/>
    <x v="394"/>
    <n v="0"/>
    <n v="0"/>
    <n v="0"/>
    <n v="0"/>
    <n v="0"/>
    <n v="0"/>
    <s v="Reserva importada do Sistema TMS. OS: 17140"/>
    <s v="Fornecedor não preenchido! (ACC01)"/>
    <s v="ARGO(TMS)"/>
    <s v="Falta de Fornecedor"/>
    <s v="Campo Fornecedor"/>
    <s v="Dados do Fornecedor"/>
    <s v="Qualidade dos dados"/>
    <s v="KONTIK BUSINESS TRAVEL"/>
  </r>
  <r>
    <n v="24868362"/>
    <n v="25708190"/>
    <s v="ACC01"/>
    <x v="454"/>
    <d v="2026-07-04T17:41:37"/>
    <s v="0 a 02 dias"/>
    <s v="0 a 02 dias"/>
    <s v="6R1E1T"/>
    <s v="TMS"/>
    <s v="RENATA VIEIRA"/>
    <s v="Tms"/>
    <s v="Tms"/>
    <x v="410"/>
    <n v="17193"/>
    <s v="-"/>
    <s v="ON LINE"/>
    <s v="Cartão de crédito"/>
    <s v="Cartão de crédito"/>
    <s v="Hotel"/>
    <s v="N"/>
    <s v="Grupo Bernoulli Educacao"/>
    <s v="Colegio e Pre-vestibular Bernoulli - Un. Raja"/>
    <s v="-"/>
    <s v="-"/>
    <s v="-"/>
    <s v="KON-OPE-SAO-PVI-BERNOULLI"/>
    <s v="-"/>
    <x v="395"/>
    <n v="0"/>
    <n v="0"/>
    <n v="0"/>
    <n v="0"/>
    <n v="0"/>
    <n v="0"/>
    <s v="Reserva importada do Sistema TMS. OS: 17193"/>
    <s v="Fornecedor não preenchido! (ACC01)"/>
    <s v="ARGO(TMS)"/>
    <s v="Falta de Fornecedor"/>
    <s v="Campo Fornecedor"/>
    <s v="Dados do Fornecedor"/>
    <s v="Sistêmico"/>
    <s v="GRUPO KONTIK"/>
  </r>
  <r>
    <n v="24863528"/>
    <n v="25702681"/>
    <s v="ACC01"/>
    <x v="455"/>
    <d v="2026-07-03T17:40:55"/>
    <s v="03 a 05 dias"/>
    <s v="03 a 05 dias"/>
    <s v="6RI41F"/>
    <s v="TMS"/>
    <s v="GIULIA BRACCINI"/>
    <s v="Tms"/>
    <s v="Tms"/>
    <x v="411"/>
    <n v="17154"/>
    <s v="Salvador / SSA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96"/>
    <n v="0"/>
    <n v="0"/>
    <n v="0"/>
    <n v="0"/>
    <n v="0"/>
    <n v="0"/>
    <s v="Reserva importada do Sistema TMS. OS: 17154"/>
    <s v="Fornecedor não preenchido! (ACC01)"/>
    <s v="ARGO(TMS)"/>
    <s v="Falta de Fornecedor"/>
    <s v="Campo Fornecedor"/>
    <s v="Dados do Fornecedor"/>
    <s v="Qualidade dos dados"/>
    <s v="KONTIK BUSINESS TRAVEL"/>
  </r>
  <r>
    <n v="24863532"/>
    <n v="25702684"/>
    <s v="ACC01"/>
    <x v="456"/>
    <d v="2026-07-03T17:41:08"/>
    <s v="03 a 05 dias"/>
    <s v="03 a 05 dias"/>
    <s v="6R0TA4"/>
    <s v="TMS"/>
    <s v="ANGELICA CRISTINA HENICK"/>
    <s v="Tms"/>
    <s v="Tms"/>
    <x v="412"/>
    <n v="17145"/>
    <s v="Belo Horizonte / PLU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397"/>
    <n v="0"/>
    <n v="0"/>
    <n v="0"/>
    <n v="0"/>
    <n v="0"/>
    <n v="0"/>
    <s v="Reserva importada do Sistema TMS. OS: 17145"/>
    <s v="Fornecedor não preenchido! (ACC01)"/>
    <s v="ARGO(TMS)"/>
    <s v="Falta de Fornecedor"/>
    <s v="Campo Fornecedor"/>
    <s v="Dados do Fornecedor"/>
    <s v="Qualidade dos dados"/>
    <s v="KONTIK BUSINESS TRAVEL"/>
  </r>
  <r>
    <n v="24863880"/>
    <n v="25703079"/>
    <s v="ACC01"/>
    <x v="457"/>
    <d v="2026-07-03T18:16:57"/>
    <s v="03 a 05 dias"/>
    <s v="03 a 05 dias"/>
    <s v="6RXMC4"/>
    <s v="TMS"/>
    <s v="DOUGLAS RODRIGUES DE SOUSA"/>
    <s v="Jeane Alencar Pereira"/>
    <s v="Jeane Alencar Pereira"/>
    <x v="413"/>
    <n v="68973"/>
    <s v="Sorocaba / SP, Brasil (SOD)"/>
    <s v="OFF LINE"/>
    <s v="Invoice"/>
    <s v="Faturado"/>
    <s v="Carro"/>
    <s v="N"/>
    <s v="Grupo Motiva"/>
    <s v="Sorocabana"/>
    <s v="-"/>
    <s v="-"/>
    <s v="-"/>
    <s v="KON-OPE-SAO-PVI-CCR"/>
    <s v="-"/>
    <x v="398"/>
    <n v="0"/>
    <n v="1587"/>
    <n v="0"/>
    <n v="0"/>
    <n v="0"/>
    <n v="0"/>
    <s v="Reserva importada do Sistema TMS. OS: 68973"/>
    <s v="Fornecedor não preenchido! (ACC01)"/>
    <s v="ARGO(TMS)"/>
    <s v="Falta de Fornecedor"/>
    <s v="Campo Fornecedor"/>
    <s v="Dados do Fornecedor"/>
    <s v="Qualidade dos dados"/>
    <s v="KONTIK BUSINESS TRAVEL"/>
  </r>
  <r>
    <n v="24863861"/>
    <n v="25703060"/>
    <s v="ACC01"/>
    <x v="458"/>
    <d v="2026-07-03T18:15:34"/>
    <s v="03 a 05 dias"/>
    <s v="03 a 05 dias"/>
    <s v="6RNIX4"/>
    <s v="TMS"/>
    <s v="MARCOS BOTTENE CUNHA"/>
    <s v="Tms"/>
    <s v="Tms"/>
    <x v="414"/>
    <n v="68993"/>
    <s v="Porto Alegre / POA"/>
    <s v="ON LINE"/>
    <s v="Invoice"/>
    <s v="Faturado"/>
    <s v="Carro"/>
    <s v="N"/>
    <s v="Grupo Motiva"/>
    <s v="Motiva Filial"/>
    <s v="-"/>
    <s v="-"/>
    <s v="-"/>
    <s v="KON-OPE-SAO-PVI-CCR"/>
    <s v="-"/>
    <x v="399"/>
    <n v="0"/>
    <n v="0"/>
    <n v="0"/>
    <n v="0"/>
    <n v="0"/>
    <n v="0"/>
    <s v="Reserva importada do Sistema TMS. OS: 68993"/>
    <s v="Fornecedor não preenchido! (ACC01)"/>
    <s v="ARGO(TMS)"/>
    <s v="Falta de Fornecedor"/>
    <s v="Campo Fornecedor"/>
    <s v="Dados do Fornecedor"/>
    <s v="Qualidade dos dados"/>
    <s v="KONTIK BUSINESS TRAVEL"/>
  </r>
  <r>
    <n v="24863862"/>
    <n v="25703061"/>
    <s v="ACC01"/>
    <x v="459"/>
    <d v="2026-07-03T18:15:34"/>
    <s v="03 a 05 dias"/>
    <s v="03 a 05 dias"/>
    <s v="6R0NXF"/>
    <s v="TMS"/>
    <s v="DAVID LEAL JUNIOR"/>
    <s v="Tms"/>
    <s v="Tms"/>
    <x v="415"/>
    <n v="68990"/>
    <s v="São Paulo / GRU"/>
    <s v="ON LINE"/>
    <s v="Invoice"/>
    <s v="Faturado"/>
    <s v="Carro"/>
    <s v="N"/>
    <s v="Grupo Motiva"/>
    <s v="Motiva Filial"/>
    <s v="-"/>
    <s v="-"/>
    <s v="-"/>
    <s v="KON-OPE-SAO-PVI-CCR"/>
    <s v="-"/>
    <x v="400"/>
    <n v="0"/>
    <n v="0"/>
    <n v="0"/>
    <n v="0"/>
    <n v="0"/>
    <n v="0"/>
    <s v="Reserva importada do Sistema TMS. OS: 68990"/>
    <s v="Fornecedor não preenchido! (ACC01)"/>
    <s v="ARGO(TMS)"/>
    <s v="Falta de Fornecedor"/>
    <s v="Campo Fornecedor"/>
    <s v="Dados do Fornecedor"/>
    <s v="Qualidade dos dados"/>
    <s v="KONTIK BUSINESS TRAVEL"/>
  </r>
  <r>
    <n v="24863863"/>
    <n v="25703062"/>
    <s v="ACC01"/>
    <x v="460"/>
    <d v="2026-07-03T18:15:35"/>
    <s v="03 a 05 dias"/>
    <s v="03 a 05 dias"/>
    <s v="6RQ9WV"/>
    <s v="TMS"/>
    <s v="JOAO PEDRO SILVA"/>
    <s v="Tms"/>
    <s v="Tms"/>
    <x v="416"/>
    <n v="68989"/>
    <s v="Jundiaí / QDV"/>
    <s v="ON LINE"/>
    <s v="Invoice"/>
    <s v="Faturado"/>
    <s v="Carro"/>
    <s v="N"/>
    <s v="Grupo Motiva"/>
    <s v="Motiva Filial"/>
    <s v="-"/>
    <s v="-"/>
    <s v="-"/>
    <s v="KON-OPE-SAO-PVI-CCR"/>
    <s v="-"/>
    <x v="401"/>
    <n v="0"/>
    <n v="0"/>
    <n v="0"/>
    <n v="0"/>
    <n v="0"/>
    <n v="0"/>
    <s v="Reserva importada do Sistema TMS. OS: 68989"/>
    <s v="Fornecedor não preenchido! (ACC01)"/>
    <s v="ARGO(TMS)"/>
    <s v="Falta de Fornecedor"/>
    <s v="Campo Fornecedor"/>
    <s v="Dados do Fornecedor"/>
    <s v="Qualidade dos dados"/>
    <s v="KONTIK BUSINESS TRAVEL"/>
  </r>
  <r>
    <n v="24863867"/>
    <n v="25703067"/>
    <s v="ACC01"/>
    <x v="461"/>
    <d v="2026-07-03T18:16:09"/>
    <s v="03 a 05 dias"/>
    <s v="03 a 05 dias"/>
    <s v="6RVN2V"/>
    <s v="TMS"/>
    <s v="EDMILSON GOUVEIA NUNES"/>
    <s v="Tms"/>
    <s v="Tms"/>
    <x v="417"/>
    <n v="68985"/>
    <s v="Jundiaí / QDV"/>
    <s v="ON LINE"/>
    <s v="Invoice"/>
    <s v="Faturado"/>
    <s v="Carro"/>
    <s v="N"/>
    <s v="Grupo Motiva"/>
    <s v="Motiva Filial"/>
    <s v="-"/>
    <s v="-"/>
    <s v="-"/>
    <s v="KON-OPE-SAO-PVI-CCR"/>
    <s v="-"/>
    <x v="402"/>
    <n v="0"/>
    <n v="0"/>
    <n v="0"/>
    <n v="0"/>
    <n v="0"/>
    <n v="0"/>
    <s v="Reserva importada do Sistema TMS. OS: 68985"/>
    <s v="Fornecedor não preenchido! (ACC01)"/>
    <s v="ARGO(TMS)"/>
    <s v="Falta de Fornecedor"/>
    <s v="Campo Fornecedor"/>
    <s v="Dados do Fornecedor"/>
    <s v="Qualidade dos dados"/>
    <s v="KONTIK BUSINESS TRAVEL"/>
  </r>
  <r>
    <n v="24863872"/>
    <n v="25703072"/>
    <s v="ACC01"/>
    <x v="462"/>
    <d v="2026-07-03T18:16:45"/>
    <s v="03 a 05 dias"/>
    <s v="03 a 05 dias"/>
    <s v="6R7N2R"/>
    <s v="TMS"/>
    <s v="NAZARE PEREIRA"/>
    <s v="Tms"/>
    <s v="Tms"/>
    <x v="418"/>
    <n v="68980"/>
    <s v="Jundiaí / QDV"/>
    <s v="ON LINE"/>
    <s v="Invoice"/>
    <s v="Faturado"/>
    <s v="Carro"/>
    <s v="N"/>
    <s v="Grupo Motiva"/>
    <s v="Motiva Filial"/>
    <s v="-"/>
    <s v="-"/>
    <s v="-"/>
    <s v="KON-OPE-SAO-PVI-CCR"/>
    <s v="-"/>
    <x v="403"/>
    <n v="0"/>
    <n v="0"/>
    <n v="0"/>
    <n v="0"/>
    <n v="0"/>
    <n v="0"/>
    <s v="Reserva importada do Sistema TMS. OS: 68980"/>
    <s v="Fornecedor não preenchido! (ACC01)"/>
    <s v="ARGO(TMS)"/>
    <s v="Falta de Fornecedor"/>
    <s v="Campo Fornecedor"/>
    <s v="Dados do Fornecedor"/>
    <s v="Qualidade dos dados"/>
    <s v="KONTIK BUSINESS TRAVEL"/>
  </r>
  <r>
    <n v="24863879"/>
    <n v="25703078"/>
    <s v="ACC01"/>
    <x v="463"/>
    <d v="2026-07-03T18:16:57"/>
    <s v="03 a 05 dias"/>
    <s v="03 a 05 dias"/>
    <s v="6RZP34"/>
    <s v="TMS"/>
    <s v="WANDERSON TORRES DOS SANTOS"/>
    <s v="Tms"/>
    <s v="Tms"/>
    <x v="419"/>
    <n v="68974"/>
    <s v="Jundiaí / QDV"/>
    <s v="ON LINE"/>
    <s v="Invoice"/>
    <s v="Faturado"/>
    <s v="Carro"/>
    <s v="N"/>
    <s v="Grupo Motiva"/>
    <s v="Motiva Filial"/>
    <s v="-"/>
    <s v="-"/>
    <s v="-"/>
    <s v="KON-OPE-SAO-PVI-CCR"/>
    <s v="-"/>
    <x v="404"/>
    <n v="0"/>
    <n v="0"/>
    <n v="0"/>
    <n v="0"/>
    <n v="0"/>
    <n v="0"/>
    <s v="Reserva importada do Sistema TMS. OS: 68974"/>
    <s v="Fornecedor não preenchido! (ACC01)"/>
    <s v="ARGO(TMS)"/>
    <s v="Falta de Fornecedor"/>
    <s v="Campo Fornecedor"/>
    <s v="Dados do Fornecedor"/>
    <s v="Qualidade dos dados"/>
    <s v="KONTIK BUSINESS TRAVEL"/>
  </r>
  <r>
    <n v="24863883"/>
    <n v="25703082"/>
    <s v="ACC01"/>
    <x v="464"/>
    <d v="2026-07-03T18:17:23"/>
    <s v="03 a 05 dias"/>
    <s v="03 a 05 dias"/>
    <s v="6RTM3V"/>
    <s v="TMS"/>
    <s v="ANDRE MARCAL"/>
    <s v="Tms"/>
    <s v="Tms"/>
    <x v="420"/>
    <n v="68970"/>
    <s v="Porto Alegre / POA"/>
    <s v="ON LINE"/>
    <s v="Invoice"/>
    <s v="Faturado"/>
    <s v="Carro"/>
    <s v="N"/>
    <s v="Grupo Motiva"/>
    <s v="Motiva Filial"/>
    <s v="-"/>
    <s v="-"/>
    <s v="-"/>
    <s v="KON-OPE-SAO-PVI-CCR"/>
    <s v="-"/>
    <x v="405"/>
    <n v="0"/>
    <n v="0"/>
    <n v="0"/>
    <n v="0"/>
    <n v="0"/>
    <n v="0"/>
    <s v="Reserva importada do Sistema TMS. OS: 68970"/>
    <s v="Fornecedor não preenchido! (ACC01)"/>
    <s v="ARGO(TMS)"/>
    <s v="Falta de Fornecedor"/>
    <s v="Campo Fornecedor"/>
    <s v="Dados do Fornecedor"/>
    <s v="Qualidade dos dados"/>
    <s v="KONTIK BUSINESS TRAVEL"/>
  </r>
  <r>
    <n v="24871425"/>
    <n v="25711861"/>
    <s v="ACC01"/>
    <x v="465"/>
    <d v="2026-07-05T18:11:52"/>
    <s v="0 a 02 dias"/>
    <s v="0 a 02 dias"/>
    <s v="6RSTD5"/>
    <s v="TMS"/>
    <s v="LUCAS LEANDRO LIMA"/>
    <s v="Karina Rodrigues Xavier"/>
    <s v="Karina Rodrigues Xavier"/>
    <x v="421"/>
    <n v="69081"/>
    <s v="São Paulo / SP, Brasil (SAO)"/>
    <s v="OFF LINE"/>
    <s v="Invoice"/>
    <s v="Faturado"/>
    <s v="Carro"/>
    <s v="N"/>
    <s v="Grupo Motiva"/>
    <s v="Motiva Filial"/>
    <s v="-"/>
    <s v="-"/>
    <s v="-"/>
    <s v="KON-OPE-SAO-PVI-CCR"/>
    <s v="-"/>
    <x v="406"/>
    <n v="0"/>
    <n v="342.64"/>
    <n v="0"/>
    <n v="0"/>
    <n v="0"/>
    <n v="0"/>
    <s v="Reserva importada do Sistema TMS. OS: 69081"/>
    <s v="Fornecedor não preenchido! (ACC01)"/>
    <s v="ARGO(TMS)"/>
    <s v="Falta de Fornecedor"/>
    <s v="Campo Fornecedor"/>
    <s v="Dados do Fornecedor"/>
    <s v="Qualidade dos dados"/>
    <s v="KONTIK BUSINESS TRAVEL"/>
  </r>
  <r>
    <n v="24864506"/>
    <n v="25703734"/>
    <s v="ACC01"/>
    <x v="466"/>
    <d v="2026-07-03T19:26:08"/>
    <s v="03 a 05 dias"/>
    <s v="03 a 05 dias"/>
    <s v="6RSCH4"/>
    <s v="TMS"/>
    <s v="MONIKA ALEXANDRA GASPAR"/>
    <s v="Tms"/>
    <s v="Tms"/>
    <x v="422"/>
    <n v="4913"/>
    <s v="Campo Grande / CGR"/>
    <s v="ON LINE"/>
    <s v="Invoice"/>
    <s v="Faturado"/>
    <s v="Carro"/>
    <s v="N"/>
    <s v="Grupo Yamaha"/>
    <s v="Yamaha Motor do Brasil Ltda"/>
    <s v="-"/>
    <s v="-"/>
    <s v="-"/>
    <s v="KON-OPE-SAO-PVI-YAMAHA"/>
    <s v="-"/>
    <x v="407"/>
    <n v="0"/>
    <n v="0"/>
    <n v="0"/>
    <n v="0"/>
    <n v="0"/>
    <n v="0"/>
    <s v="Reserva importada do Sistema TMS. OS: 4913"/>
    <s v="Fornecedor não preenchido! (ACC01)"/>
    <s v="ARGO(TMS)"/>
    <s v="Falta de Fornecedor"/>
    <s v="Campo Fornecedor"/>
    <s v="Dados do Fornecedor"/>
    <s v="Qualidade dos dados"/>
    <s v="KONTIK BUSINESS TRAVEL"/>
  </r>
  <r>
    <n v="24864502"/>
    <n v="25703730"/>
    <s v="ACC01"/>
    <x v="467"/>
    <d v="2026-07-03T19:25:45"/>
    <s v="03 a 05 dias"/>
    <s v="03 a 05 dias"/>
    <s v="6ROX6R"/>
    <s v="TMS"/>
    <s v="JOSE EVANGELISTA JUNIOR"/>
    <s v="Tms"/>
    <s v="Tms"/>
    <x v="423"/>
    <n v="4917"/>
    <s v="-"/>
    <s v="ON LINE"/>
    <s v="Cartão de crédito"/>
    <s v="Faturado"/>
    <s v="Hotel"/>
    <s v="N"/>
    <s v="Grupo Yamaha"/>
    <s v="Yamaha Motor Administradora de Consorcio Ltda Cj"/>
    <s v="-"/>
    <s v="-"/>
    <s v="-"/>
    <s v="KON-OPE-SAO-PVI-YAMAHA"/>
    <s v="-"/>
    <x v="408"/>
    <n v="0"/>
    <n v="0"/>
    <n v="0"/>
    <n v="0"/>
    <n v="0"/>
    <n v="0"/>
    <s v="Reserva importada do Sistema TMS. OS: 4917"/>
    <s v="Fornecedor não preenchido! (ACC01)"/>
    <s v="ARGO(TMS)"/>
    <s v="Falta de Fornecedor"/>
    <s v="Campo Fornecedor"/>
    <s v="Dados do Fornecedor"/>
    <s v="Sistêmico"/>
    <s v="GRUPO KONTIK"/>
  </r>
  <r>
    <n v="24862238"/>
    <n v="25701196"/>
    <s v="ACC01"/>
    <x v="468"/>
    <d v="2026-07-03T14:56:06"/>
    <s v="03 a 05 dias"/>
    <s v="03 a 05 dias"/>
    <s v="6RONKD"/>
    <s v="TMS"/>
    <s v="CAMILA LEONELLI"/>
    <s v="CORA TORLAI CIRINO"/>
    <s v="CORA TORLAI CIRINO"/>
    <x v="424"/>
    <n v="7689"/>
    <s v="Uberlândia / MG, Brasil (UDI)"/>
    <s v="OFF LINE"/>
    <s v="Pagamento direto"/>
    <s v="Pagamento direto"/>
    <s v="Carro"/>
    <s v="N"/>
    <s v="Grupo Syngenta"/>
    <s v="Syngenta Crop"/>
    <s v="-"/>
    <s v="-"/>
    <s v="-"/>
    <s v="FCM-OPE-POA-PVI-SYNGENTA"/>
    <s v="-"/>
    <x v="409"/>
    <n v="0"/>
    <n v="0"/>
    <n v="0"/>
    <n v="0"/>
    <n v="0"/>
    <n v="0"/>
    <s v="Reserva importada do Sistema TMS. OS: 7689"/>
    <s v="Fornecedor não preenchido! (ACC01)"/>
    <s v="ARGO(TMS)"/>
    <s v="Falta de Fornecedor"/>
    <s v="Campo Fornecedor"/>
    <s v="Dados do Fornecedor"/>
    <s v="Qualidade dos dados"/>
    <s v="KONTIK BUSINESS TRAVEL"/>
  </r>
  <r>
    <n v="24862268"/>
    <n v="25701234"/>
    <s v="ACC01"/>
    <x v="469"/>
    <d v="2026-07-03T14:56:25"/>
    <s v="03 a 05 dias"/>
    <s v="03 a 05 dias"/>
    <s v="6RYBLC"/>
    <s v="TMS"/>
    <s v="ALEX CORDEIRO"/>
    <s v="Deise Fernanda Franca de Souza"/>
    <s v="Deise Fernanda Franca de Souza"/>
    <x v="425"/>
    <n v="7619"/>
    <s v="Passo Fundo / RS, Brasil (PFB)"/>
    <s v="OFF LINE"/>
    <s v="Pagamento direto"/>
    <s v="Pagamento direto"/>
    <s v="Carro"/>
    <s v="N"/>
    <s v="Grupo Syngenta"/>
    <s v="Syngenta Crop"/>
    <s v="-"/>
    <s v="-"/>
    <s v="-"/>
    <s v="FCM-OPE-POA-PVI-SYNGENTA"/>
    <s v="-"/>
    <x v="142"/>
    <n v="0"/>
    <n v="0"/>
    <n v="0"/>
    <n v="0"/>
    <n v="0"/>
    <n v="0"/>
    <s v="Reserva importada do Sistema TMS. OS: 7619"/>
    <s v="Fornecedor não preenchido! (ACC01)"/>
    <s v="ARGO(TMS)"/>
    <s v="Falta de Fornecedor"/>
    <s v="Campo Fornecedor"/>
    <s v="Dados do Fornecedor"/>
    <s v="Qualidade dos dados"/>
    <s v="KONTIK BUSINESS TRAVEL"/>
  </r>
  <r>
    <n v="24864695"/>
    <n v="25703958"/>
    <s v="ACC01"/>
    <x v="470"/>
    <d v="2026-07-03T19:32:33"/>
    <s v="03 a 05 dias"/>
    <s v="03 a 05 dias"/>
    <s v="6RQU6F"/>
    <s v="TMS"/>
    <s v="ALAN FLAVIO DE OLIVEIRA"/>
    <s v="CORA TORLAI CIRINO"/>
    <s v="CORA TORLAI CIRINO"/>
    <x v="426"/>
    <n v="9657"/>
    <s v="Londrina / PR, Brasil (LDB)"/>
    <s v="OFF LINE"/>
    <s v="Pagamento direto"/>
    <s v="Pagamento direto"/>
    <s v="Carro"/>
    <s v="N"/>
    <s v="Grupo Syngenta"/>
    <s v="Syngenta Crop"/>
    <s v="-"/>
    <s v="-"/>
    <s v="-"/>
    <s v="FCM-OPE-POA-PVI-SYNGENTA"/>
    <s v="-"/>
    <x v="410"/>
    <n v="0"/>
    <n v="0"/>
    <n v="0"/>
    <n v="0"/>
    <n v="0"/>
    <n v="0"/>
    <s v="Reserva importada do Sistema TMS. OS: 9657"/>
    <s v="Fornecedor não preenchido! (ACC01)"/>
    <s v="ARGO(TMS)"/>
    <s v="Falta de Fornecedor"/>
    <s v="Campo Fornecedor"/>
    <s v="Dados do Fornecedor"/>
    <s v="Qualidade dos dados"/>
    <s v="KONTIK BUSINESS TRAVEL"/>
  </r>
  <r>
    <n v="24864697"/>
    <n v="25703960"/>
    <s v="ACC01"/>
    <x v="471"/>
    <d v="2026-07-03T19:32:33"/>
    <s v="03 a 05 dias"/>
    <s v="03 a 05 dias"/>
    <s v="6R27YV"/>
    <s v="TMS"/>
    <s v="GUILHERME BOREM LOBATO MOREIRA"/>
    <s v="CORA TORLAI CIRINO"/>
    <s v="CORA TORLAI CIRINO"/>
    <x v="427"/>
    <n v="9655"/>
    <s v="Janauba / MG, Brasil (MOC)"/>
    <s v="OFF LINE"/>
    <s v="Pagamento direto"/>
    <s v="Pagamento direto"/>
    <s v="Carro"/>
    <s v="N"/>
    <s v="Grupo Syngenta"/>
    <s v="Syngenta Crop"/>
    <s v="-"/>
    <s v="-"/>
    <s v="-"/>
    <s v="FCM-OPE-POA-PVI-SYNGENTA"/>
    <s v="-"/>
    <x v="411"/>
    <n v="0"/>
    <n v="0"/>
    <n v="0"/>
    <n v="0"/>
    <n v="0"/>
    <n v="0"/>
    <s v="Reserva importada do Sistema TMS. OS: 9655"/>
    <s v="Fornecedor não preenchido! (ACC01)"/>
    <s v="ARGO(TMS)"/>
    <s v="Falta de Fornecedor"/>
    <s v="Campo Fornecedor"/>
    <s v="Dados do Fornecedor"/>
    <s v="Qualidade dos dados"/>
    <s v="KONTIK BUSINESS TRAVEL"/>
  </r>
  <r>
    <n v="24864704"/>
    <n v="25703967"/>
    <s v="ACC01"/>
    <x v="472"/>
    <d v="2026-07-03T19:32:38"/>
    <s v="03 a 05 dias"/>
    <s v="03 a 05 dias"/>
    <s v="6RGUYV"/>
    <s v="TMS"/>
    <s v="LUIZ COSTA"/>
    <s v="Ellen da Conceicao"/>
    <s v="Ellen da Conceicao"/>
    <x v="428"/>
    <n v="9636"/>
    <s v="Campinas / SP, Brasil - Viracopos (VCP)"/>
    <s v="OFF LINE"/>
    <s v="Pagamento direto"/>
    <s v="Pagamento direto"/>
    <s v="Carro"/>
    <s v="N"/>
    <s v="Grupo Syngenta"/>
    <s v="Syngenta Seeds"/>
    <s v="-"/>
    <s v="-"/>
    <s v="-"/>
    <s v="FCM-OPE-POA-PVI-SYNGENTA"/>
    <s v="-"/>
    <x v="412"/>
    <n v="0"/>
    <n v="0"/>
    <n v="0"/>
    <n v="0"/>
    <n v="0"/>
    <n v="0"/>
    <s v="Reserva importada do Sistema TMS. OS: 9636"/>
    <s v="Fornecedor não preenchido! (ACC01)"/>
    <s v="ARGO(TMS)"/>
    <s v="Falta de Fornecedor"/>
    <s v="Campo Fornecedor"/>
    <s v="Dados do Fornecedor"/>
    <s v="Qualidade dos dados"/>
    <s v="KONTIK BUSINESS TRAVEL"/>
  </r>
  <r>
    <n v="24864709"/>
    <n v="25703972"/>
    <s v="ACC01"/>
    <x v="473"/>
    <d v="2026-07-03T19:32:45"/>
    <s v="03 a 05 dias"/>
    <s v="03 a 05 dias"/>
    <s v="6RB864"/>
    <s v="TMS"/>
    <s v="FERNANDO IGNACIO ARANDA HERNANDEZ"/>
    <s v="Karen Aparecida Ferreira"/>
    <s v="Karen Aparecida Ferreira"/>
    <x v="429"/>
    <n v="9400"/>
    <s v="-"/>
    <s v="OFF LINE"/>
    <s v="Pagamento direto"/>
    <s v="Pagamento direto"/>
    <s v="Hotel"/>
    <s v="N"/>
    <s v="Grupo Syngenta"/>
    <s v="Syngenta Seeds"/>
    <s v="-"/>
    <s v="-"/>
    <s v="-"/>
    <s v="FCM-OPE-POA-PVI-SYNGENTA"/>
    <s v="-"/>
    <x v="413"/>
    <n v="0"/>
    <n v="0"/>
    <n v="0"/>
    <n v="0"/>
    <n v="95.96"/>
    <n v="0"/>
    <s v="Reserva importada do Sistema TMS. OS: 9400"/>
    <s v="Fornecedor não preenchido! (ACC01)"/>
    <s v="ARGO(TMS)"/>
    <s v="Falta de Fornecedor"/>
    <s v="Campo Fornecedor"/>
    <s v="Dados do Fornecedor"/>
    <s v="Qualidade dos dados"/>
    <s v="KONTIK BUSINESS TRAVEL"/>
  </r>
  <r>
    <n v="24866143"/>
    <n v="25705610"/>
    <s v="ACC01"/>
    <x v="474"/>
    <d v="2026-07-04T00:41:18"/>
    <s v="0 a 02 dias"/>
    <s v="0 a 02 dias"/>
    <s v="6RBN94"/>
    <s v="TMS"/>
    <s v="PEDRO DE DEUS"/>
    <s v="CORA TORLAI CIRINO"/>
    <s v="CORA TORLAI CIRINO"/>
    <x v="430"/>
    <n v="9676"/>
    <s v="Formosa / GO, Brasil (GYN)"/>
    <s v="OFF LINE"/>
    <s v="Pagamento direto"/>
    <s v="Pagamento direto"/>
    <s v="Carro"/>
    <s v="N"/>
    <s v="Grupo Syngenta"/>
    <s v="Syngenta Seeds"/>
    <s v="-"/>
    <s v="-"/>
    <s v="-"/>
    <s v="FCM-OPE-POA-PVI-SYNGENTA"/>
    <s v="-"/>
    <x v="414"/>
    <n v="0"/>
    <n v="0"/>
    <n v="0"/>
    <n v="0"/>
    <n v="0"/>
    <n v="0"/>
    <s v="Reserva importada do Sistema TMS. OS: 9676"/>
    <s v="Fornecedor não preenchido! (ACC01)"/>
    <s v="ARGO(TMS)"/>
    <s v="Falta de Fornecedor"/>
    <s v="Campo Fornecedor"/>
    <s v="Dados do Fornecedor"/>
    <s v="Qualidade dos dados"/>
    <s v="KONTIK BUSINESS TRAVEL"/>
  </r>
  <r>
    <n v="24864194"/>
    <n v="25703413"/>
    <s v="ACC01"/>
    <x v="475"/>
    <d v="2026-07-03T18:52:23"/>
    <s v="03 a 05 dias"/>
    <s v="03 a 05 dias"/>
    <s v="6RN54R"/>
    <s v="TMS"/>
    <s v="LUCIANA RODRIGUES LUZ CARNEIRO LEAO"/>
    <s v="Tms"/>
    <s v="Tms"/>
    <x v="431"/>
    <n v="1520"/>
    <s v="Petrolina / PNZ"/>
    <s v="ON LINE"/>
    <s v="Invoice"/>
    <s v="Faturado"/>
    <s v="Carro"/>
    <s v="N"/>
    <s v="Grupo Tecban"/>
    <s v="Tecban"/>
    <s v="-"/>
    <s v="-"/>
    <s v="-"/>
    <s v="KON-OPE-SAO-PVI-BTC ARGO"/>
    <s v="-"/>
    <x v="415"/>
    <n v="0"/>
    <n v="0"/>
    <n v="0"/>
    <n v="0"/>
    <n v="0"/>
    <n v="0"/>
    <s v="Reserva importada do Sistema TMS. OS: 1520"/>
    <s v="Fornecedor não preenchido! (ACC01)"/>
    <s v="ARGO(TMS)"/>
    <s v="Falta de Fornecedor"/>
    <s v="Campo Fornecedor"/>
    <s v="Dados do Fornecedor"/>
    <s v="Qualidade dos dados"/>
    <s v="KONTIK BUSINESS TRAVEL"/>
  </r>
  <r>
    <n v="24864200"/>
    <n v="25703419"/>
    <s v="ACC01"/>
    <x v="476"/>
    <d v="2026-07-03T18:52:24"/>
    <s v="03 a 05 dias"/>
    <s v="03 a 05 dias"/>
    <s v="6R2Y44"/>
    <s v="TMS"/>
    <s v="GUSTAVO FELIPE PEREIRA DOS SANTOS"/>
    <s v="Tms"/>
    <s v="Tms"/>
    <x v="432"/>
    <n v="1507"/>
    <s v="Porto Velho / PVH"/>
    <s v="ON LINE"/>
    <s v="Invoice"/>
    <s v="Faturado"/>
    <s v="Carro"/>
    <s v="N"/>
    <s v="Grupo Tecban"/>
    <s v="Tbsi"/>
    <s v="-"/>
    <s v="-"/>
    <s v="-"/>
    <s v="KON-OPE-SAO-PVI-BTC ARGO"/>
    <s v="-"/>
    <x v="416"/>
    <n v="0"/>
    <n v="0"/>
    <n v="0"/>
    <n v="0"/>
    <n v="0"/>
    <n v="0"/>
    <s v="Reserva importada do Sistema TMS. OS: 1507"/>
    <s v="Fornecedor não preenchido! (ACC01)"/>
    <s v="ARGO(TMS)"/>
    <s v="Falta de Fornecedor"/>
    <s v="Campo Fornecedor"/>
    <s v="Dados do Fornecedor"/>
    <s v="Qualidade dos dados"/>
    <s v="KONTIK BUSINESS TRAVEL"/>
  </r>
  <r>
    <n v="24864198"/>
    <n v="25703417"/>
    <s v="ACC01"/>
    <x v="477"/>
    <d v="2026-07-03T18:52:24"/>
    <s v="03 a 05 dias"/>
    <s v="03 a 05 dias"/>
    <s v="6R0YVR"/>
    <s v="TMS"/>
    <s v="CESAR MATEUS JUNIOR"/>
    <s v="Tms"/>
    <s v="Tms"/>
    <x v="433"/>
    <n v="1517"/>
    <s v="-"/>
    <s v="ON LINE"/>
    <s v="Invoice"/>
    <s v="Faturado"/>
    <s v="Hotel"/>
    <s v="N"/>
    <s v="Grupo Tecban"/>
    <s v="Tb Forte"/>
    <s v="-"/>
    <s v="-"/>
    <s v="-"/>
    <s v="KON-OPE-SAO-PVI-BTC ARGO"/>
    <s v="-"/>
    <x v="417"/>
    <n v="0"/>
    <n v="0"/>
    <n v="0"/>
    <n v="0"/>
    <n v="35.57"/>
    <n v="0"/>
    <s v="Reserva importada do Sistema TMS. OS: 1517"/>
    <s v="Fornecedor não preenchido! (ACC01)"/>
    <s v="ARGO(TMS)"/>
    <s v="Falta de Fornecedor"/>
    <s v="Campo Fornecedor"/>
    <s v="Dados do Fornecedor"/>
    <s v="Sistêmico"/>
    <s v="GRUPO KONTIK"/>
  </r>
  <r>
    <n v="24864199"/>
    <n v="25703418"/>
    <s v="ACC01"/>
    <x v="478"/>
    <d v="2026-07-03T18:52:24"/>
    <s v="03 a 05 dias"/>
    <s v="03 a 05 dias"/>
    <s v="6RZH4R"/>
    <s v="TMS"/>
    <s v="RICARDO CARVALHO"/>
    <s v="Tms"/>
    <s v="Tms"/>
    <x v="434"/>
    <n v="1516"/>
    <s v="-"/>
    <s v="ON LINE"/>
    <s v="Invoice"/>
    <s v="Faturado"/>
    <s v="Hotel"/>
    <s v="N"/>
    <s v="Grupo Tecban"/>
    <s v="Tb Forte"/>
    <s v="-"/>
    <s v="-"/>
    <s v="-"/>
    <s v="KON-OPE-SAO-PVI-BTC ARGO"/>
    <s v="-"/>
    <x v="417"/>
    <n v="0"/>
    <n v="0"/>
    <n v="0"/>
    <n v="0"/>
    <n v="35.57"/>
    <n v="0"/>
    <s v="Reserva importada do Sistema TMS. OS: 1516"/>
    <s v="Fornecedor não preenchido! (ACC01)"/>
    <s v="ARGO(TMS)"/>
    <s v="Falta de Fornecedor"/>
    <s v="Campo Fornecedor"/>
    <s v="Dados do Fornecedor"/>
    <s v="Sistêmico"/>
    <s v="GRUPO KONTIK"/>
  </r>
  <r>
    <n v="24863090"/>
    <n v="25702212"/>
    <s v="ACC01"/>
    <x v="479"/>
    <d v="2026-07-03T17:35:52"/>
    <s v="03 a 05 dias"/>
    <s v="03 a 05 dias"/>
    <s v="DPOGNZ"/>
    <s v="GOVER"/>
    <s v="PAULO ROBERTO FILHO"/>
    <s v="Gover"/>
    <s v="Gover"/>
    <x v="404"/>
    <n v="4718619"/>
    <s v="-"/>
    <s v="ON LINE"/>
    <s v="Cartão de crédito"/>
    <s v="Cartão de crédito"/>
    <s v="Hotel"/>
    <s v="N"/>
    <s v="GRUPO ADM ARCHER DANIELS MIDLAND"/>
    <s v="Adm do Brasil Ltda"/>
    <s v="-"/>
    <s v="-"/>
    <s v="-"/>
    <s v="FCM-OPE-SAO-PVI-ADM"/>
    <s v="-"/>
    <x v="418"/>
    <n v="158.52000000000001"/>
    <n v="0"/>
    <n v="0"/>
    <n v="0"/>
    <n v="0"/>
    <n v="0"/>
    <s v="Reserva importada do sistema Gover. Id: 4718619"/>
    <s v="Fornecedor não preenchido! (ACC01)"/>
    <s v="GOVER"/>
    <s v="Falta de Fornecedor"/>
    <s v="Campo Fornecedor"/>
    <s v="Dados do Fornecedor"/>
    <s v="Sistêmico"/>
    <s v="GRUPO KONTIK"/>
  </r>
  <r>
    <n v="24863082"/>
    <n v="25702204"/>
    <s v="ACC01"/>
    <x v="480"/>
    <d v="2026-07-03T17:34:23"/>
    <s v="03 a 05 dias"/>
    <s v="03 a 05 dias"/>
    <n v="23579662"/>
    <s v="GOVER"/>
    <s v="RODRIGO OSTROWSKI"/>
    <s v="Gover"/>
    <s v="Gover"/>
    <x v="435"/>
    <n v="4718518"/>
    <s v="-"/>
    <s v="ON LINE"/>
    <s v="Pagamento direto"/>
    <s v="Pagamento direto"/>
    <s v="Hotel"/>
    <s v="N"/>
    <s v="GRUPO ADM ARCHER DANIELS MIDLAND"/>
    <s v="Neovia Nutricao e Saude Animal Ltda."/>
    <s v="-"/>
    <s v="-"/>
    <s v="-"/>
    <s v="FCM-OPE-SAO-PVI-ADM"/>
    <s v="-"/>
    <x v="419"/>
    <n v="0"/>
    <n v="0"/>
    <n v="0"/>
    <n v="0"/>
    <n v="0"/>
    <n v="0"/>
    <s v="Reserva importada do sistema Gover. Id: 4718518"/>
    <s v="Fornecedor não preenchido! (ACC01)"/>
    <s v="GOVER"/>
    <s v="Falta de Fornecedor"/>
    <s v="Campo Fornecedor"/>
    <s v="Dados do Fornecedor"/>
    <s v="Sistêmico"/>
    <s v="GRUPO KONTIK"/>
  </r>
  <r>
    <n v="24863087"/>
    <n v="25702209"/>
    <s v="ACC01"/>
    <x v="481"/>
    <d v="2026-07-03T17:35:52"/>
    <s v="03 a 05 dias"/>
    <s v="03 a 05 dias"/>
    <n v="23581291"/>
    <s v="GOVER"/>
    <s v="ALEXANDRE Jose CEZIMBRA"/>
    <s v="Gover"/>
    <s v="Gover"/>
    <x v="436"/>
    <n v="4718575"/>
    <s v="-"/>
    <s v="ON LINE"/>
    <s v="Pagamento direto"/>
    <s v="Pagamento direto"/>
    <s v="Hotel"/>
    <s v="N"/>
    <s v="GRUPO ADM ARCHER DANIELS MIDLAND"/>
    <s v="Neovia Nutricao e Saude Animal Ltda."/>
    <s v="-"/>
    <s v="-"/>
    <s v="-"/>
    <s v="FCM-OPE-SAO-PVI-ADM"/>
    <s v="-"/>
    <x v="419"/>
    <n v="0"/>
    <n v="0"/>
    <n v="0"/>
    <n v="0"/>
    <n v="0"/>
    <n v="0"/>
    <s v="Reserva importada do sistema Gover. Id: 4718575"/>
    <s v="Fornecedor não preenchido! (ACC01)"/>
    <s v="GOVER"/>
    <s v="Falta de Fornecedor"/>
    <s v="Campo Fornecedor"/>
    <s v="Dados do Fornecedor"/>
    <s v="Sistêmico"/>
    <s v="GRUPO KONTIK"/>
  </r>
  <r>
    <n v="24863307"/>
    <n v="25702453"/>
    <s v="ACC01"/>
    <x v="482"/>
    <d v="2026-07-03T17:24:24"/>
    <s v="03 a 05 dias"/>
    <s v="03 a 05 dias"/>
    <s v="QMRAAYT"/>
    <s v="SABRE"/>
    <s v="QUEIROZ/IRIS"/>
    <s v="Rafaela Leitao Oliveira"/>
    <s v="Rafaela Leitao Oliveira"/>
    <x v="437"/>
    <s v="MMMM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25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868513"/>
    <n v="25708364"/>
    <s v="ACC01"/>
    <x v="483"/>
    <d v="2026-07-04T18:12:57"/>
    <s v="0 a 02 dias"/>
    <s v="0 a 02 dias"/>
    <s v="EQNIOJ"/>
    <s v="EBOOKING"/>
    <s v="Aristides Silva"/>
    <s v="Zupper"/>
    <s v="Zupper"/>
    <x v="438"/>
    <n v="7548553"/>
    <s v="-"/>
    <s v="OFF LINE"/>
    <s v="Cartão de crédito"/>
    <s v="Cartão de crédito"/>
    <s v="Aéreo"/>
    <s v="N"/>
    <s v="-"/>
    <s v="Aristides Patricio Silva"/>
    <s v="-"/>
    <s v="Gol Linhas Aereas"/>
    <n v="2307191987"/>
    <s v="ZUPPER"/>
    <s v="-"/>
    <x v="420"/>
    <n v="116.23"/>
    <n v="0"/>
    <n v="0"/>
    <n v="0"/>
    <n v="0"/>
    <n v="252.24"/>
    <s v="-"/>
    <s v="Necessário cadastrar um contrato para o cliente &quot;&quot;"/>
    <s v="ZUPPER"/>
    <s v="Contrato de fornecedor"/>
    <s v="Análise Cadastro"/>
    <s v="Dados do Fornecedor"/>
    <s v="Qualidade dos dados"/>
    <s v="ZUPPER VIAGENS"/>
  </r>
  <r>
    <n v="24868513"/>
    <n v="25708366"/>
    <s v="ACC02"/>
    <x v="483"/>
    <d v="2026-07-04T18:12:57"/>
    <s v="0 a 02 dias"/>
    <s v="0 a 02 dias"/>
    <s v="EQNIOJ"/>
    <s v="EBOOKING"/>
    <s v="Rosangela Silva"/>
    <s v="Zupper"/>
    <s v="Zupper"/>
    <x v="438"/>
    <n v="7548553"/>
    <s v="-"/>
    <s v="OFF LINE"/>
    <s v="Cartão de crédito"/>
    <s v="Cartão de crédito"/>
    <s v="Aéreo"/>
    <s v="N"/>
    <s v="-"/>
    <s v="Aristides Patricio Silva"/>
    <s v="-"/>
    <s v="Gol Linhas Aereas"/>
    <n v="2307191988"/>
    <s v="ZUPPER"/>
    <s v="-"/>
    <x v="420"/>
    <n v="116.23"/>
    <n v="0"/>
    <n v="0"/>
    <n v="0"/>
    <n v="0"/>
    <n v="0"/>
    <s v="-"/>
    <s v="Necessário cadastrar um contrato para o cliente &quot;&quot;"/>
    <s v="ZUPPER"/>
    <s v="Contrato de fornecedor"/>
    <s v="Análise Cadastro"/>
    <s v="Dados do Fornecedor"/>
    <s v="Qualidade dos dados"/>
    <s v="ZUPPER VIAGENS"/>
  </r>
  <r>
    <n v="24867036"/>
    <n v="25706545"/>
    <s v="ACC01"/>
    <x v="484"/>
    <d v="2026-07-04T10:51:53"/>
    <s v="0 a 02 dias"/>
    <s v="0 a 02 dias"/>
    <s v="MNIFUE"/>
    <s v="EBOOKING"/>
    <s v="Francisco Brandao"/>
    <s v="Zupper"/>
    <s v="Zupper"/>
    <x v="439"/>
    <n v="7547240"/>
    <s v="-"/>
    <s v="OFF LINE"/>
    <s v="Cartão de crédito"/>
    <s v="Cartão de crédito"/>
    <s v="Aéreo"/>
    <s v="N"/>
    <s v="-"/>
    <s v="Francisco Coni Pedreira Brandao"/>
    <s v="-"/>
    <s v="Gol Linhas Aereas"/>
    <n v="2307166950"/>
    <s v="ZUPPER"/>
    <s v="-"/>
    <x v="421"/>
    <n v="114.86"/>
    <n v="0"/>
    <n v="0"/>
    <n v="0"/>
    <n v="0"/>
    <n v="65.42"/>
    <s v="-"/>
    <s v="Necessário cadastrar um contrato para o cliente &quot;&quot;"/>
    <s v="ZUPPER"/>
    <s v="Contrato de fornecedor"/>
    <s v="Análise Cadastro"/>
    <s v="Dados do Fornecedor"/>
    <s v="Qualidade dos dados"/>
    <s v="ZUPPER VIAGENS"/>
  </r>
  <r>
    <n v="24864512"/>
    <n v="25703741"/>
    <s v="ACC01"/>
    <x v="485"/>
    <d v="2026-07-03T18:18:45"/>
    <s v="03 a 05 dias"/>
    <s v="03 a 05 dias"/>
    <s v="JZYLDK"/>
    <s v="EBOOKING"/>
    <s v="Nuno Alves de Oliveira/Carlos"/>
    <s v="Kontrip"/>
    <s v="Kontrip"/>
    <x v="440"/>
    <s v="-"/>
    <s v="-"/>
    <s v="OFF LINE"/>
    <s v="Invoice"/>
    <s v="Faturado"/>
    <s v="Aéreo"/>
    <s v="N"/>
    <s v="Independente"/>
    <s v="Tap Air Portugal"/>
    <s v="-"/>
    <s v="Gol Linhas Aereas"/>
    <n v="2307128563"/>
    <s v="KONTRIP"/>
    <s v="-"/>
    <x v="422"/>
    <n v="48.63"/>
    <n v="0"/>
    <n v="0"/>
    <n v="0"/>
    <n v="0"/>
    <n v="112.25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4868672"/>
    <n v="25708575"/>
    <s v="ACC01"/>
    <x v="486"/>
    <d v="2026-07-04T19:13:24"/>
    <s v="0 a 02 dias"/>
    <s v="0 a 02 dias"/>
    <s v="HZKBDN"/>
    <s v="EBOOKING"/>
    <s v="SILAS MIRANDA"/>
    <s v="Zupper"/>
    <s v="Zupper"/>
    <x v="441"/>
    <n v="7548723"/>
    <s v="-"/>
    <s v="OFF LINE"/>
    <s v="Invoice"/>
    <s v="Cartão convênio"/>
    <s v="Aéreo"/>
    <s v="N"/>
    <s v="Grupo Zupper"/>
    <s v="Silas Eufrasio Miranda"/>
    <s v="-"/>
    <s v="Gol Linhas Aereas"/>
    <n v="2307195284"/>
    <s v="ZUPPER"/>
    <s v="-"/>
    <x v="423"/>
    <n v="52.72"/>
    <n v="0"/>
    <n v="0"/>
    <n v="0"/>
    <n v="0"/>
    <n v="17.32"/>
    <s v="-"/>
    <s v="Não foi possível definir o Local de destino!"/>
    <s v="ZUPPER"/>
    <s v="Cadastro enviado errado no Benner"/>
    <s v="Cadastro incompleto"/>
    <s v="Sistema"/>
    <s v="Sistêmico"/>
    <s v="ZUPPER VIAGENS"/>
  </r>
  <r>
    <n v="24868823"/>
    <n v="25708770"/>
    <s v="ACC01"/>
    <x v="487"/>
    <d v="2026-07-04T20:31:21"/>
    <s v="0 a 02 dias"/>
    <s v="0 a 02 dias"/>
    <s v="ATCKUP"/>
    <s v="EBOOKING"/>
    <s v="Afonso Santos"/>
    <s v="Zupper"/>
    <s v="Zupper"/>
    <x v="442"/>
    <n v="7548870"/>
    <s v="-"/>
    <s v="OFF LINE"/>
    <s v="Cartão de crédito"/>
    <s v="Cartão de crédito"/>
    <s v="Aéreo"/>
    <s v="N"/>
    <s v="Grupo Zupper"/>
    <s v="Priscila Kapritte Borges Fernandes"/>
    <s v="-"/>
    <s v="Gol Linhas Aereas"/>
    <n v="2307198496"/>
    <s v="ZUPPER"/>
    <s v="-"/>
    <x v="424"/>
    <n v="52.72"/>
    <n v="0"/>
    <n v="0"/>
    <n v="0"/>
    <n v="0"/>
    <n v="106.74"/>
    <s v="-"/>
    <s v="Não foi possível definir o Local de destino!"/>
    <s v="ZUPPER"/>
    <s v="Cadastro enviado errado no Benner"/>
    <s v="Cadastro incompleto"/>
    <s v="Sistema"/>
    <s v="Sistêmico"/>
    <s v="ZUPPER VIAGENS"/>
  </r>
  <r>
    <n v="24870536"/>
    <n v="25710725"/>
    <s v="ACC01"/>
    <x v="488"/>
    <d v="2026-07-05T12:33:54"/>
    <s v="0 a 02 dias"/>
    <s v="0 a 02 dias"/>
    <s v="IOTYNX"/>
    <s v="EBOOKING"/>
    <s v="RENATA FAZAN"/>
    <s v="Zupper"/>
    <s v="Zupper"/>
    <x v="443"/>
    <n v="7550204"/>
    <s v="-"/>
    <s v="OFF LINE"/>
    <s v="Cartão de crédito"/>
    <s v="Cartão de crédito"/>
    <s v="Aéreo"/>
    <s v="N"/>
    <s v="Grupo Zupper"/>
    <s v="Renata Aparecida dos Santos Falzoni Fazan"/>
    <s v="-"/>
    <s v="Gol Linhas Aereas"/>
    <n v="2307226718"/>
    <s v="ZUPPER"/>
    <s v="-"/>
    <x v="425"/>
    <n v="52.72"/>
    <n v="0"/>
    <n v="0"/>
    <n v="0"/>
    <n v="0"/>
    <n v="135.44"/>
    <s v="-"/>
    <s v="Não foi possível definir o Local de destino!"/>
    <s v="ZUPPER"/>
    <s v="Cadastro enviado errado no Benner"/>
    <s v="Cadastro incompleto"/>
    <s v="Sistema"/>
    <s v="Sistêmico"/>
    <s v="ZUPPER VIAGENS"/>
  </r>
  <r>
    <n v="24870536"/>
    <n v="25710727"/>
    <s v="ACC02"/>
    <x v="488"/>
    <d v="2026-07-05T12:33:54"/>
    <s v="0 a 02 dias"/>
    <s v="0 a 02 dias"/>
    <s v="IOTYNX"/>
    <s v="EBOOKING"/>
    <s v="DORCIVAL FAZAN"/>
    <s v="Zupper"/>
    <s v="Zupper"/>
    <x v="443"/>
    <n v="7550204"/>
    <s v="-"/>
    <s v="OFF LINE"/>
    <s v="Cartão de crédito"/>
    <s v="Cartão de crédito"/>
    <s v="Aéreo"/>
    <s v="N"/>
    <s v="Grupo Zupper"/>
    <s v="Renata Aparecida dos Santos Falzoni Fazan"/>
    <s v="-"/>
    <s v="Gol Linhas Aereas"/>
    <n v="2307226719"/>
    <s v="ZUPPER"/>
    <s v="-"/>
    <x v="425"/>
    <n v="52.72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4870536"/>
    <n v="25710728"/>
    <s v="ACC03"/>
    <x v="488"/>
    <d v="2026-07-05T12:33:54"/>
    <s v="0 a 02 dias"/>
    <s v="0 a 02 dias"/>
    <s v="IOTYNX"/>
    <s v="EBOOKING"/>
    <s v="GABRIEL FAZAN"/>
    <s v="Zupper"/>
    <s v="Zupper"/>
    <x v="443"/>
    <n v="7550204"/>
    <s v="-"/>
    <s v="OFF LINE"/>
    <s v="Cartão de crédito"/>
    <s v="Cartão de crédito"/>
    <s v="Aéreo"/>
    <s v="N"/>
    <s v="Grupo Zupper"/>
    <s v="Renata Aparecida dos Santos Falzoni Fazan"/>
    <s v="-"/>
    <s v="Gol Linhas Aereas"/>
    <n v="2307226720"/>
    <s v="ZUPPER"/>
    <s v="-"/>
    <x v="425"/>
    <n v="52.72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4870536"/>
    <n v="25710731"/>
    <s v="ACC04"/>
    <x v="488"/>
    <d v="2026-07-05T12:33:54"/>
    <s v="0 a 02 dias"/>
    <s v="0 a 02 dias"/>
    <s v="IOTYNX"/>
    <s v="EBOOKING"/>
    <s v="GABRIELE MAGAGNATO"/>
    <s v="Zupper"/>
    <s v="Zupper"/>
    <x v="443"/>
    <n v="7550204"/>
    <s v="-"/>
    <s v="OFF LINE"/>
    <s v="Cartão de crédito"/>
    <s v="Cartão de crédito"/>
    <s v="Aéreo"/>
    <s v="N"/>
    <s v="Grupo Zupper"/>
    <s v="Renata Aparecida dos Santos Falzoni Fazan"/>
    <s v="-"/>
    <s v="Gol Linhas Aereas"/>
    <n v="2307226721"/>
    <s v="ZUPPER"/>
    <s v="-"/>
    <x v="425"/>
    <n v="52.72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4870220"/>
    <n v="25710317"/>
    <s v="ACC01"/>
    <x v="489"/>
    <d v="2026-07-05T11:03:52"/>
    <s v="0 a 02 dias"/>
    <s v="0 a 02 dias"/>
    <s v="OZQIKF"/>
    <s v="EBOOKING"/>
    <s v="Danielle Costa Gomes"/>
    <s v="Zupper"/>
    <s v="Zupper"/>
    <x v="444"/>
    <n v="7549950"/>
    <s v="-"/>
    <s v="OFF LINE"/>
    <s v="Cartão de crédito"/>
    <s v="Cartão de crédito"/>
    <s v="Aéreo"/>
    <s v="N"/>
    <s v="Grupo Zupper"/>
    <s v="William L Santos"/>
    <s v="-"/>
    <s v="Gol Linhas Aereas"/>
    <n v="2307221621"/>
    <s v="ZUPPER"/>
    <s v="-"/>
    <x v="426"/>
    <n v="56.88"/>
    <n v="0"/>
    <n v="0"/>
    <n v="0"/>
    <n v="0"/>
    <n v="41.16"/>
    <s v="-"/>
    <s v="Não foi possível definir o Local de destino!"/>
    <s v="ZUPPER"/>
    <s v="Cadastro enviado errado no Benner"/>
    <s v="Cadastro incompleto"/>
    <s v="Sistema"/>
    <s v="Sistêmico"/>
    <s v="ZUPPER VIAGENS"/>
  </r>
  <r>
    <n v="24862474"/>
    <n v="25701497"/>
    <s v="ACC01"/>
    <x v="490"/>
    <d v="2026-07-03T15:28:50"/>
    <s v="03 a 05 dias"/>
    <s v="03 a 05 dias"/>
    <s v="YDNHNC"/>
    <s v="EBOOKING"/>
    <s v="Hudesceles Rodrigues"/>
    <s v="Zupper"/>
    <s v="Zupper"/>
    <x v="445"/>
    <n v="7545309"/>
    <s v="-"/>
    <s v="OFF LINE"/>
    <s v="Invoice"/>
    <s v="Cartão convênio"/>
    <s v="Aéreo"/>
    <s v="N"/>
    <s v="Grupo Zupper"/>
    <s v="Hudesceles Christinne Guedes Rodrigues"/>
    <s v="-"/>
    <s v="Gol Linhas Aereas"/>
    <n v="2307112661"/>
    <s v="ZUPPER"/>
    <s v="-"/>
    <x v="427"/>
    <n v="56.88"/>
    <n v="0"/>
    <n v="0"/>
    <n v="0"/>
    <n v="0"/>
    <n v="188.56"/>
    <s v="-"/>
    <s v="Não foi possível definir o Local de destino!"/>
    <s v="ZUPPER"/>
    <s v="Cadastro enviado errado no Benner"/>
    <s v="Cadastro incompleto"/>
    <s v="Sistema"/>
    <s v="Sistêmico"/>
    <s v="ZUPPER VIAGENS"/>
  </r>
  <r>
    <n v="24865563"/>
    <n v="25704982"/>
    <s v="ACC01"/>
    <x v="491"/>
    <d v="2026-07-03T23:24:55"/>
    <s v="03 a 05 dias"/>
    <s v="03 a 05 dias"/>
    <s v="JPTYZL"/>
    <s v="EBOOKING"/>
    <s v="Marilia Gabriela Almeida"/>
    <s v="Zupper"/>
    <s v="Zupper"/>
    <x v="446"/>
    <n v="7546356"/>
    <s v="-"/>
    <s v="OFF LINE"/>
    <s v="Cartão de crédito"/>
    <s v="Cartão de crédito"/>
    <s v="Aéreo"/>
    <s v="N"/>
    <s v="Grupo Zupper"/>
    <s v="Marilia Gabriela Santos de Almeida"/>
    <s v="-"/>
    <s v="Gol Linhas Aereas"/>
    <n v="2307151056"/>
    <s v="ZUPPER"/>
    <s v="-"/>
    <x v="428"/>
    <n v="62.14"/>
    <n v="0"/>
    <n v="0"/>
    <n v="0"/>
    <n v="0"/>
    <n v="30.9"/>
    <s v="-"/>
    <s v="Não foi possível definir o Local de destino!"/>
    <s v="ZUPPER"/>
    <s v="Cadastro enviado errado no Benner"/>
    <s v="Cadastro incompleto"/>
    <s v="Sistema"/>
    <s v="Sistêmico"/>
    <s v="ZUPPER VIAGENS"/>
  </r>
  <r>
    <n v="24867637"/>
    <n v="25707295"/>
    <s v="ACC01"/>
    <x v="492"/>
    <d v="2026-07-04T13:27:49"/>
    <s v="0 a 02 dias"/>
    <s v="0 a 02 dias"/>
    <s v="OLDKDY"/>
    <s v="EBOOKING"/>
    <s v="CLAUDIO SILVA"/>
    <s v="Zupper"/>
    <s v="Zupper"/>
    <x v="447"/>
    <n v="7546644"/>
    <s v="-"/>
    <s v="OFF LINE"/>
    <s v="Cartão de crédito"/>
    <s v="Cartão de crédito"/>
    <s v="Aéreo"/>
    <s v="N"/>
    <s v="Grupo Zupper"/>
    <s v="Ana Cristina Fernandes Silva"/>
    <s v="-"/>
    <s v="Gol Linhas Aereas"/>
    <n v="2307177510"/>
    <s v="ZUPPER"/>
    <s v="-"/>
    <x v="429"/>
    <n v="87.73"/>
    <n v="0"/>
    <n v="0"/>
    <n v="0"/>
    <n v="0"/>
    <n v="607.04999999999995"/>
    <s v="-"/>
    <s v="Não foi possível encontrar configuração válida para Administradora de código 1 e Data Emissão 04/07/2026"/>
    <s v="ZUPPER"/>
    <s v="Configuração de Administradora"/>
    <s v="Validação de Dados"/>
    <s v="Dados do Fornecedor"/>
    <s v="Qualidade dos dados"/>
    <s v="ZUPPER VIAGENS"/>
  </r>
  <r>
    <n v="24867637"/>
    <n v="25707296"/>
    <s v="ACC02"/>
    <x v="492"/>
    <d v="2026-07-04T13:27:49"/>
    <s v="0 a 02 dias"/>
    <s v="0 a 02 dias"/>
    <s v="OLDKDY"/>
    <s v="EBOOKING"/>
    <s v="ANA SILVA"/>
    <s v="Zupper"/>
    <s v="Zupper"/>
    <x v="447"/>
    <n v="7546644"/>
    <s v="-"/>
    <s v="OFF LINE"/>
    <s v="Cartão de crédito"/>
    <s v="Cartão de crédito"/>
    <s v="Aéreo"/>
    <s v="N"/>
    <s v="Grupo Zupper"/>
    <s v="Ana Cristina Fernandes Silva"/>
    <s v="-"/>
    <s v="Gol Linhas Aereas"/>
    <n v="2307177511"/>
    <s v="ZUPPER"/>
    <s v="-"/>
    <x v="429"/>
    <n v="87.73"/>
    <n v="0"/>
    <n v="0"/>
    <n v="0"/>
    <n v="0"/>
    <n v="0"/>
    <s v="-"/>
    <s v="Não foi possível encontrar configuração válida para Administradora de código 1 e Data Emissão 04/07/2026"/>
    <s v="ZUPPER"/>
    <s v="Configuração de Administradora"/>
    <s v="Validação de Dados"/>
    <s v="Dados do Fornecedor"/>
    <s v="Qualidade dos dados"/>
    <s v="ZUPPER VIAGENS"/>
  </r>
  <r>
    <n v="24867637"/>
    <n v="25707297"/>
    <s v="ACC03"/>
    <x v="492"/>
    <d v="2026-07-04T13:27:49"/>
    <s v="0 a 02 dias"/>
    <s v="0 a 02 dias"/>
    <s v="OLDKDY"/>
    <s v="EBOOKING"/>
    <s v="CLARISSA SANTOS"/>
    <s v="Zupper"/>
    <s v="Zupper"/>
    <x v="447"/>
    <n v="7546644"/>
    <s v="-"/>
    <s v="OFF LINE"/>
    <s v="Cartão de crédito"/>
    <s v="Cartão de crédito"/>
    <s v="Aéreo"/>
    <s v="N"/>
    <s v="Grupo Zupper"/>
    <s v="Ana Cristina Fernandes Silva"/>
    <s v="-"/>
    <s v="Gol Linhas Aereas"/>
    <n v="2307177512"/>
    <s v="ZUPPER"/>
    <s v="-"/>
    <x v="429"/>
    <n v="87.73"/>
    <n v="0"/>
    <n v="0"/>
    <n v="0"/>
    <n v="0"/>
    <n v="0"/>
    <s v="-"/>
    <s v="Não foi possível encontrar configuração válida para Administradora de código 1 e Data Emissão 04/07/2026"/>
    <s v="ZUPPER"/>
    <s v="Configuração de Administradora"/>
    <s v="Validação de Dados"/>
    <s v="Dados do Fornecedor"/>
    <s v="Qualidade dos dados"/>
    <s v="ZUPPER VIAGENS"/>
  </r>
  <r>
    <n v="24868264"/>
    <n v="25708081"/>
    <s v="ACC01"/>
    <x v="493"/>
    <d v="2026-07-04T17:07:08"/>
    <s v="0 a 02 dias"/>
    <s v="0 a 02 dias"/>
    <s v="CAWHJW"/>
    <s v="EBOOKING"/>
    <s v="Ketellyn Matias"/>
    <s v="Zupper"/>
    <s v="Zupper"/>
    <x v="448"/>
    <n v="7548357"/>
    <s v="-"/>
    <s v="OFF LINE"/>
    <s v="Invoice"/>
    <s v="Cartão convênio"/>
    <s v="Aéreo"/>
    <s v="N"/>
    <s v="Grupo Zupper"/>
    <s v="Ruan Tadeu dos Santos de Jesus"/>
    <s v="-"/>
    <s v="Gol Linhas Aereas"/>
    <n v="2307188987"/>
    <s v="ZUPPER"/>
    <s v="-"/>
    <x v="430"/>
    <n v="51.44"/>
    <n v="0"/>
    <n v="0"/>
    <n v="0"/>
    <n v="0"/>
    <n v="977.41"/>
    <s v="-"/>
    <s v="Não foi possível definir o Local de destino!"/>
    <s v="ZUPPER"/>
    <s v="Cadastro enviado errado no Benner"/>
    <s v="Cadastro incompleto"/>
    <s v="Sistema"/>
    <s v="Sistêmico"/>
    <s v="ZUPPER VIAGENS"/>
  </r>
  <r>
    <n v="24868264"/>
    <n v="25708082"/>
    <s v="ACC02"/>
    <x v="493"/>
    <d v="2026-07-04T17:07:08"/>
    <s v="0 a 02 dias"/>
    <s v="0 a 02 dias"/>
    <s v="CAWHJW"/>
    <s v="EBOOKING"/>
    <s v="Ruan Jesus"/>
    <s v="Zupper"/>
    <s v="Zupper"/>
    <x v="448"/>
    <n v="7548357"/>
    <s v="-"/>
    <s v="OFF LINE"/>
    <s v="Invoice"/>
    <s v="Cartão convênio"/>
    <s v="Aéreo"/>
    <s v="N"/>
    <s v="Grupo Zupper"/>
    <s v="Ruan Tadeu dos Santos de Jesus"/>
    <s v="-"/>
    <s v="Gol Linhas Aereas"/>
    <n v="2307188988"/>
    <s v="ZUPPER"/>
    <s v="-"/>
    <x v="430"/>
    <n v="51.44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4871874"/>
    <n v="25712412"/>
    <s v="ACC01"/>
    <x v="494"/>
    <d v="2026-07-05T21:07:03"/>
    <s v="0 a 02 dias"/>
    <s v="0 a 02 dias"/>
    <s v="FDWMGQ"/>
    <s v="EBOOKING"/>
    <s v="Josileide Dos santos"/>
    <s v="Zupper"/>
    <s v="Zupper"/>
    <x v="449"/>
    <n v="7551450"/>
    <s v="-"/>
    <s v="OFF LINE"/>
    <s v="Cartão de crédito"/>
    <s v="Cartão de crédito"/>
    <s v="Aéreo"/>
    <s v="N"/>
    <s v="Grupo Zupper"/>
    <s v="Josileide dos Santos"/>
    <s v="-"/>
    <s v="Gol Linhas Aereas"/>
    <n v="2307253451"/>
    <s v="ZUPPER"/>
    <s v="-"/>
    <x v="431"/>
    <n v="33.64"/>
    <n v="0"/>
    <n v="0"/>
    <n v="0"/>
    <n v="0"/>
    <n v="32.94"/>
    <s v="-"/>
    <s v="Não foi possível definir o Local de destino!"/>
    <s v="ZUPPER"/>
    <s v="Cadastro enviado errado no Benner"/>
    <s v="Cadastro incompleto"/>
    <s v="Sistema"/>
    <s v="Sistêmico"/>
    <s v="ZUPPER VIAGENS"/>
  </r>
  <r>
    <n v="24868819"/>
    <n v="25708764"/>
    <s v="ACC01"/>
    <x v="495"/>
    <d v="2026-07-04T20:12:33"/>
    <s v="0 a 02 dias"/>
    <s v="0 a 02 dias"/>
    <s v="LNXAEQ01"/>
    <s v="GOVER"/>
    <s v="David Santos Alvarez"/>
    <s v="Andreia de Alencar Alves"/>
    <s v="Andreia de Alencar Alves"/>
    <x v="450"/>
    <n v="4718546"/>
    <s v="-"/>
    <s v="OFF LINE"/>
    <s v="Cartão de crédito"/>
    <s v="Cartão de crédito"/>
    <s v="Aéreo"/>
    <s v="N"/>
    <s v="Grupo Cmoc"/>
    <s v="Cmoc - Dom Domenico Rangoni"/>
    <s v="-"/>
    <s v="Latam Airlines Brasil"/>
    <n v="2294627234"/>
    <s v="KON-OPE-RIO-PVI-BTC-CMOC"/>
    <s v="-"/>
    <x v="432"/>
    <n v="450"/>
    <n v="0"/>
    <n v="0"/>
    <n v="0"/>
    <n v="0"/>
    <n v="0"/>
    <s v="Reserva importada do sistema Gover. Id: 4718546"/>
    <s v=" Configurações        -&gt; Configurações do sistema turismo          -&gt; Importação das vendas            -&gt; Impedir vendas com data superior à atual"/>
    <s v="GOVER"/>
    <s v="Pagamento não permitido para cobrança"/>
    <s v="Forma PG. e REC."/>
    <s v="Dados do Fornecedor"/>
    <s v="Qualidade dos dados"/>
    <s v="KONTIK BUSINESS TRAVEL"/>
  </r>
  <r>
    <n v="24863249"/>
    <n v="25702390"/>
    <s v="ACC01"/>
    <x v="496"/>
    <d v="2026-07-03T17:31:08"/>
    <s v="03 a 05 dias"/>
    <s v="03 a 05 dias"/>
    <s v="AFWVKZ"/>
    <s v="SABRE"/>
    <s v="COSTA/TICIANA CAMILA"/>
    <s v="V7"/>
    <s v="VANESSA ARAUJO ALVES"/>
    <x v="451"/>
    <s v="AFWVKZ"/>
    <s v="-"/>
    <s v="ON LINE"/>
    <s v="Cartão de crédito"/>
    <s v="Cartão de crédito"/>
    <s v="Aéreo"/>
    <s v="N"/>
    <s v="Grupo Parexel"/>
    <s v="Parexel International Pesquisas Clinicas Ltda"/>
    <s v="-"/>
    <s v="Latam Airlines Brasil"/>
    <n v="5232184622"/>
    <s v="FCM-OPE-SAO-PVI-BTC-CONCUR"/>
    <s v="-"/>
    <x v="433"/>
    <n v="48.63"/>
    <n v="0"/>
    <n v="0"/>
    <n v="48.63"/>
    <n v="0"/>
    <n v="0"/>
    <s v="Reserva importada por HubTravel"/>
    <s v="Matrícula não preenchida! (ACC01) Projeto não preenchido! (ACC01)"/>
    <s v="SABRE"/>
    <s v="Mais de um campo não preenchido"/>
    <s v="Falta de informação Gerencial"/>
    <s v="Dados do Fornecedor"/>
    <s v="Qualidade dos dados"/>
    <s v="KONTIK BUSINESS TRAVEL"/>
  </r>
  <r>
    <n v="24863254"/>
    <n v="25702395"/>
    <s v="ACC01"/>
    <x v="497"/>
    <d v="2026-07-03T17:31:08"/>
    <s v="03 a 05 dias"/>
    <s v="03 a 05 dias"/>
    <s v="WRERWV"/>
    <s v="SABRE"/>
    <s v="DE OLIVEIRA COSTA/ALINE CRIST"/>
    <s v="V7"/>
    <s v="VANESSA ARAUJO ALVES"/>
    <x v="452"/>
    <s v="WRERWV"/>
    <s v="-"/>
    <s v="ON LINE"/>
    <s v="Cartão de crédito"/>
    <s v="Cartão de crédito"/>
    <s v="Aéreo"/>
    <s v="N"/>
    <s v="Grupo Parexel"/>
    <s v="Parexel International Pesquisas Clinicas Ltda"/>
    <s v="-"/>
    <s v="Latam Airlines Brasil"/>
    <n v="5232184626"/>
    <s v="FCM-OPE-SAO-PVI-BTC-CONCUR"/>
    <s v="-"/>
    <x v="434"/>
    <n v="48.63"/>
    <n v="0"/>
    <n v="0"/>
    <n v="48.63"/>
    <n v="0"/>
    <n v="0"/>
    <s v="Reserva importada por HubTravel"/>
    <s v="Matrícula não preenchida! (ACC01) Projeto não preenchido! (ACC01)"/>
    <s v="SABRE"/>
    <s v="Mais de um campo não preenchido"/>
    <s v="Falta de informação Gerencial"/>
    <s v="Dados do Fornecedor"/>
    <s v="Qualidade dos dados"/>
    <s v="KONTIK BUSINESS TRAVEL"/>
  </r>
  <r>
    <n v="24864449"/>
    <n v="25703682"/>
    <s v="ACC01"/>
    <x v="498"/>
    <d v="2026-07-03T18:30:56"/>
    <s v="03 a 05 dias"/>
    <s v="03 a 05 dias"/>
    <s v="MSUWQF"/>
    <s v="SABRE"/>
    <s v="BORTOLOTTO/VANESSA REZENDE"/>
    <s v="WS"/>
    <s v="WS"/>
    <x v="453"/>
    <s v="MSUWQF"/>
    <s v="-"/>
    <s v="ON LINE"/>
    <s v="Cartão de crédito"/>
    <s v="Cartão de crédito"/>
    <s v="Aéreo"/>
    <s v="N"/>
    <s v="Grupo Parexel"/>
    <s v="Parexel International Pesquisas Clinicas Ltda"/>
    <s v="-"/>
    <s v="Latam Airlines Brasil"/>
    <s v="-"/>
    <s v="FCM-OPE-SAO-PVI-BTC-CONCUR"/>
    <s v="-"/>
    <x v="435"/>
    <n v="35.15"/>
    <n v="0"/>
    <n v="0"/>
    <n v="0"/>
    <n v="0"/>
    <n v="0"/>
    <s v="Reserva importada por HubTravel"/>
    <s v="Necessário informar o bilhete"/>
    <s v="SABRE"/>
    <s v="Venda sem bilhete"/>
    <s v="Validação de Dados"/>
    <s v="Dados do Fornecedor"/>
    <s v="Qualidade dos dados"/>
    <s v="KONTIK BUSINESS TRAVEL"/>
  </r>
  <r>
    <n v="24864461"/>
    <n v="25703690"/>
    <s v="ACC01"/>
    <x v="499"/>
    <d v="2026-07-03T18:16:39"/>
    <s v="03 a 05 dias"/>
    <s v="03 a 05 dias"/>
    <s v="ECJXDV"/>
    <s v="GOVER"/>
    <s v="Alessandra Corradi"/>
    <s v="Gover"/>
    <s v="Gover"/>
    <x v="454"/>
    <n v="4718683"/>
    <s v="-"/>
    <s v="OFF LINE"/>
    <s v="Cartão de crédito"/>
    <s v="Cartão AMEX"/>
    <s v="Aéreo"/>
    <s v="N"/>
    <s v="Grupo Energisa"/>
    <s v="Energisa Rondonia - Distribuidora de Energia S.a."/>
    <s v="-"/>
    <s v="Latam Airlines Brasil"/>
    <n v="2294481909"/>
    <s v="KON-OPE-SAO-PVI-ENERGISA"/>
    <s v="-"/>
    <x v="436"/>
    <n v="72.569999999999993"/>
    <n v="0"/>
    <n v="0"/>
    <n v="0"/>
    <n v="0"/>
    <n v="0"/>
    <s v="Reserva importada do sistema Gover. Id: 4718683"/>
    <s v=" Configurações        -&gt; Configurações do sistema turismo          -&gt; Importação das vendas            -&gt; Impedir vendas com data superior à atual"/>
    <s v="GOVER"/>
    <s v="Pagamento não permitido para cobrança"/>
    <s v="Forma PG. e REC."/>
    <s v="Dados do Fornecedor"/>
    <s v="Qualidade dos dados"/>
    <s v="KONTIK BUSINESS TRAVEL"/>
  </r>
  <r>
    <n v="24862372"/>
    <n v="25701363"/>
    <s v="ACC01"/>
    <x v="500"/>
    <d v="2026-07-03T17:20:37"/>
    <s v="03 a 05 dias"/>
    <s v="03 a 05 dias"/>
    <s v="CIXXPM"/>
    <s v="SABRE"/>
    <s v="LOZANO HINCAPIE/AURA"/>
    <s v="WS"/>
    <s v="WS"/>
    <x v="455"/>
    <s v="CIXXPM"/>
    <s v="-"/>
    <s v="ON LINE"/>
    <s v="Cartão de crédito"/>
    <s v="Cartão de crédito"/>
    <s v="Aéreo"/>
    <s v="N"/>
    <s v="Grupo Sep"/>
    <s v="Sep Global Informacoes do Brasil Ltda"/>
    <s v="Cliente FEE no POS"/>
    <s v="Latam Airlines Brasil"/>
    <s v="-"/>
    <s v="FCM-OPE-SAO-PVI-BTC"/>
    <s v="-"/>
    <x v="437"/>
    <n v="124.76"/>
    <n v="0"/>
    <n v="0"/>
    <n v="0"/>
    <n v="0"/>
    <n v="0"/>
    <s v="Reserva importada por HubTravel"/>
    <s v="Necessário informar o bilhete"/>
    <s v="SABRE"/>
    <s v="Venda sem bilhete"/>
    <s v="Validação de Dados"/>
    <s v="Dados do Fornecedor"/>
    <s v="Qualidade dos dados"/>
    <s v="KONTIK BUSINESS TRAVEL"/>
  </r>
  <r>
    <n v="24862910"/>
    <n v="25702003"/>
    <s v="ACC01"/>
    <x v="501"/>
    <d v="2026-07-03T16:40:06"/>
    <s v="03 a 05 dias"/>
    <s v="03 a 05 dias"/>
    <s v="MVVYTO"/>
    <s v="GOVER"/>
    <s v="Rodrigo Teixeira De Oliveira"/>
    <s v="GABRIEL ALVES MOURA"/>
    <s v="GABRIEL ALVES MOURA"/>
    <x v="456"/>
    <n v="4716611"/>
    <s v="-"/>
    <s v="ON LINE"/>
    <s v="Cartão de crédito"/>
    <s v="Cartão AMEX"/>
    <s v="Aéreo"/>
    <s v="N"/>
    <s v="Grupo British American Tobacco"/>
    <s v="Bat | Souza Cruz - Matriz"/>
    <s v="-"/>
    <s v="Latam Airlines Brasil"/>
    <n v="5232183995"/>
    <s v="FCM-OPE-SAO-PVI-BAT"/>
    <s v="-"/>
    <x v="8"/>
    <n v="62.62"/>
    <n v="0"/>
    <n v="0"/>
    <n v="0"/>
    <n v="0"/>
    <n v="0"/>
    <s v="Reserva importada do sistema Gover. Id: 4716611"/>
    <s v="Autorização do cartão da forma de pagamento não preenchida! (ACC01) Autorização do cartão da forma de recebimento não preenchida! (ACC01)"/>
    <s v="GOVER"/>
    <s v="Mais de um campo não preenchido"/>
    <s v="Falta de informação Gerencial"/>
    <s v="Dados do Fornecedor"/>
    <s v="Qualidade dos dados"/>
    <s v="KONTIK BUSINESS TRAVEL"/>
  </r>
  <r>
    <n v="24864691"/>
    <n v="25703954"/>
    <s v="ACC01"/>
    <x v="502"/>
    <d v="2026-07-03T19:08:22"/>
    <s v="03 a 05 dias"/>
    <s v="03 a 05 dias"/>
    <s v="SIJVOU"/>
    <s v="TMS"/>
    <s v="CESIO BRITO"/>
    <s v="Tms"/>
    <s v="Tms"/>
    <x v="457"/>
    <n v="9660"/>
    <s v="-"/>
    <s v="ON LINE"/>
    <s v="Cartão de crédito"/>
    <s v="Cartão de crédito"/>
    <s v="Aéreo"/>
    <s v="N"/>
    <s v="Grupo Syngenta"/>
    <s v="Syngenta Crop"/>
    <s v="-"/>
    <s v="Latam Airlines Brasil"/>
    <n v="2294455309"/>
    <s v="FCM-OPE-POA-PVI-SYNGENTA"/>
    <s v="-"/>
    <x v="438"/>
    <n v="87.88"/>
    <n v="0"/>
    <n v="0"/>
    <n v="0"/>
    <n v="0"/>
    <n v="0"/>
    <s v="Reserva importada do Sistema TMS. OS: 9660"/>
    <s v="Matrícula não preenchida! (ACC01)"/>
    <s v="ARGO(TMS)"/>
    <s v="Matrícula"/>
    <s v="Falta de informação Gerencial"/>
    <s v="Dados do Fornecedor"/>
    <s v="Qualidade dos dados"/>
    <s v="KONTIK BUSINESS TRAVEL"/>
  </r>
  <r>
    <n v="24864604"/>
    <n v="25703850"/>
    <s v="ACC01"/>
    <x v="503"/>
    <d v="2026-07-03T18:54:17"/>
    <s v="03 a 05 dias"/>
    <s v="03 a 05 dias"/>
    <s v="FCXUXF"/>
    <s v="SABRE"/>
    <s v="ANDRADE/RAFAEL PIRES DE"/>
    <s v="5I"/>
    <s v="VITOR TEICHMANN"/>
    <x v="383"/>
    <s v="FCXUXF"/>
    <s v="-"/>
    <s v="ON LINE"/>
    <s v="Cartão de crédito"/>
    <s v="Cartão de crédito"/>
    <s v="Aéreo"/>
    <s v="N"/>
    <s v="Grupo Amway"/>
    <s v="Amway do Brasil"/>
    <s v="-"/>
    <s v="American Airlines"/>
    <n v="9552292819"/>
    <s v="FCM-OPE-SAO-PVI-BTC-CYTRIC-AMWAY"/>
    <s v="-"/>
    <x v="439"/>
    <n v="64.56"/>
    <n v="415.53"/>
    <n v="0"/>
    <n v="64.56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862371"/>
    <n v="25701362"/>
    <s v="ACC01"/>
    <x v="504"/>
    <d v="2026-07-03T17:20:36"/>
    <s v="03 a 05 dias"/>
    <s v="03 a 05 dias"/>
    <s v="SCCZWN"/>
    <s v="SABRE"/>
    <s v="SANTANA/VICTOR"/>
    <s v="WS"/>
    <s v="WS"/>
    <x v="458"/>
    <s v="SCCZWN"/>
    <s v="-"/>
    <s v="ON LINE"/>
    <s v="Cartão de crédito"/>
    <s v="Cartão de crédito"/>
    <s v="Aéreo"/>
    <s v="N"/>
    <s v="Grupo Sep"/>
    <s v="Standard And Poors Ratings do Brasil Ltda"/>
    <s v="Cliente FEE no POS"/>
    <s v="Copa Airlines"/>
    <s v="-"/>
    <s v="FCM-OPE-SAO-PVI-BTC-CYTRIC-S&amp;P"/>
    <s v="-"/>
    <x v="440"/>
    <n v="64.56"/>
    <n v="483.74"/>
    <n v="0"/>
    <n v="0"/>
    <n v="0"/>
    <n v="0"/>
    <s v="Reserva importada por HubTravel"/>
    <s v="Necessário informar o bilhete"/>
    <s v="SABRE"/>
    <s v="Venda sem bilhete"/>
    <s v="Validação de Dados"/>
    <s v="Dados do Fornecedor"/>
    <s v="Qualidade dos dados"/>
    <s v="KONTIK BUSINESS TRAVEL"/>
  </r>
  <r>
    <n v="24862497"/>
    <n v="25701529"/>
    <s v="ACC01"/>
    <x v="505"/>
    <d v="2026-07-03T15:36:35"/>
    <s v="03 a 05 dias"/>
    <s v="03 a 05 dias"/>
    <s v="OCQAQY"/>
    <s v="GOVER"/>
    <s v="Romualdo Reginaldo Filho"/>
    <s v="Priscilla Andrade Sobrinho"/>
    <s v="Priscilla Andrade Sobrinho"/>
    <x v="459"/>
    <n v="4717883"/>
    <s v="-"/>
    <s v="ON LINE"/>
    <s v="Cartão de crédito"/>
    <s v="Cartão de crédito"/>
    <s v="Aéreo"/>
    <s v="N"/>
    <s v="Grupo Zf"/>
    <s v="Zf do Brasil - Divisao Z"/>
    <s v="-"/>
    <s v="United"/>
    <n v="5232179839"/>
    <s v="KON-OPE-RIO-PVI-BTC"/>
    <s v="-"/>
    <x v="441"/>
    <n v="483.91"/>
    <n v="0"/>
    <n v="0"/>
    <n v="0"/>
    <n v="0"/>
    <n v="0"/>
    <s v="Reserva importada do sistema Gover. Id: 4717883"/>
    <s v=" Configurações        -&gt; Configurações do sistema turismo          -&gt; Importação das vendas            -&gt; Impedir vendas com data superior à atual"/>
    <s v="GOVER"/>
    <s v="Pagamento não permitido para cobrança"/>
    <s v="Forma PG. e REC."/>
    <s v="Dados do Fornecedor"/>
    <s v="Qualidade dos dados"/>
    <s v="KONTIK BUSINESS TRAVEL"/>
  </r>
  <r>
    <n v="24864434"/>
    <n v="25703660"/>
    <s v="ACC01"/>
    <x v="506"/>
    <d v="2026-07-04T04:49:55"/>
    <s v="0 a 02 dias"/>
    <s v="03 a 05 dias"/>
    <s v="MUWVKHT"/>
    <s v="SABRE"/>
    <s v="IDALGO/LETICIA IDALGO"/>
    <s v="WS"/>
    <s v="WS"/>
    <x v="418"/>
    <s v="MUWVKH"/>
    <s v="-"/>
    <s v="ON LINE"/>
    <s v="Cartão de crédito"/>
    <s v="Cartão de crédito"/>
    <s v="Hotel"/>
    <s v="N"/>
    <s v="Grupo Stanley Black e Decker"/>
    <s v="Bdb Ferramentas do Brasil Ltda"/>
    <s v="Cliente FEE no POS"/>
    <s v="Estanplaza Ibirapuera"/>
    <s v="-"/>
    <s v="FCM-OPE-SAO-PVI-BTC-CONCUR"/>
    <s v="-"/>
    <x v="442"/>
    <n v="66.150000000000006"/>
    <n v="0"/>
    <n v="0"/>
    <n v="0"/>
    <n v="0"/>
    <n v="8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862761"/>
    <n v="25701843"/>
    <s v="ACC01"/>
    <x v="507"/>
    <d v="2026-07-03T16:30:26"/>
    <s v="03 a 05 dias"/>
    <s v="03 a 05 dias"/>
    <s v="HIBY2C"/>
    <s v="WOOBA"/>
    <s v="CUNHA/WELTON"/>
    <s v="Welton Silva da Cunha"/>
    <s v="Welton Silva da Cunha"/>
    <x v="434"/>
    <s v="-"/>
    <s v="-"/>
    <s v="OFF LINE"/>
    <s v="Invoice"/>
    <s v="Cartão convênio"/>
    <s v="Aéreo"/>
    <s v="N"/>
    <s v="Grupo Enesa"/>
    <s v="Enesa Engenharia"/>
    <s v="-"/>
    <s v="Azul Linhas Aereas"/>
    <n v="5001736"/>
    <s v="-"/>
    <s v="-"/>
    <x v="443"/>
    <n v="33.64"/>
    <n v="0"/>
    <n v="0"/>
    <n v="0"/>
    <n v="0"/>
    <n v="0"/>
    <s v="Reserva importada do Sistema WOOBA. Id: 17561"/>
    <s v="Canal de venda não preenchido! (ACC01)"/>
    <s v="WOOBA"/>
    <s v="Canal de venda"/>
    <s v="Falta de informação Gerencial"/>
    <s v="Dados do Fornecedor"/>
    <s v="Qualidade dos dados"/>
    <s v="GRUPO KONTIK"/>
  </r>
  <r>
    <n v="24862400"/>
    <n v="25701395"/>
    <s v="ACC01"/>
    <x v="508"/>
    <d v="2026-07-04T03:31:54"/>
    <s v="0 a 02 dias"/>
    <s v="03 a 05 dias"/>
    <s v="h4718434"/>
    <s v="GOVER"/>
    <s v="N/I"/>
    <s v="Gover"/>
    <s v="Gover"/>
    <x v="460"/>
    <n v="4718434"/>
    <s v="-"/>
    <s v="OFF LINE"/>
    <s v="Cartão de crédito"/>
    <s v="Cartão de crédito"/>
    <s v="Hotel"/>
    <s v="N"/>
    <s v="Grupo British American Tobacco"/>
    <s v="Bat | Souza Cruz - Matriz"/>
    <s v="-"/>
    <s v="Charrua Hotel"/>
    <s v="-"/>
    <s v="FCM-OPE-SAO-PVI-BAT"/>
    <s v="-"/>
    <x v="376"/>
    <n v="0"/>
    <n v="0"/>
    <n v="0"/>
    <n v="0"/>
    <n v="0"/>
    <n v="0"/>
    <s v="Reserva importada do sistema Gover. Id: 4718434"/>
    <s v="Centro de custo não preenchido! (ACC01)"/>
    <s v="GOVER"/>
    <s v="Centro de custo"/>
    <s v="Falta de informação Gerencial"/>
    <s v="Dados do Fornecedor"/>
    <s v="Qualidade dos dados"/>
    <s v="KONTIK BUSINESS TRAVEL"/>
  </r>
  <r>
    <n v="24862576"/>
    <n v="25701627"/>
    <s v="ACC01"/>
    <x v="509"/>
    <d v="2026-07-03T15:57:19"/>
    <s v="03 a 05 dias"/>
    <s v="03 a 05 dias"/>
    <n v="23580866"/>
    <s v="GOVER"/>
    <s v="Fabio Cristiano Valota"/>
    <s v="Gover"/>
    <s v="Gover"/>
    <x v="461"/>
    <n v="4718561"/>
    <s v="-"/>
    <s v="ON LINE"/>
    <s v="Cartão de crédito"/>
    <s v="Cartão de crédito"/>
    <s v="Hotel"/>
    <s v="N"/>
    <s v="Grupo Atlas Copco"/>
    <s v="Chicago Pneumatic Brasil Ltda - Matriz"/>
    <s v="-"/>
    <s v="Trip Hotel Uba Centro Mg - Inativo"/>
    <s v="-"/>
    <s v="FCM-OPE-SAO-PVI-BTC"/>
    <s v="-"/>
    <x v="92"/>
    <n v="0"/>
    <n v="0"/>
    <n v="0"/>
    <n v="0"/>
    <n v="0"/>
    <n v="0"/>
    <s v="Reserva importada do sistema Gover. Id: 4718561"/>
    <s v="Não foi possível encontrar um contrato válido para o fornecedor 69338 (Código fornecedor) "/>
    <s v="GOVER"/>
    <s v="Contrato de fornecedor"/>
    <s v="Análise Cadastro"/>
    <s v="Dados do Fornecedor"/>
    <s v="Qualidade dos dados"/>
    <s v="KONTIK BUSINESS TRAVEL"/>
  </r>
  <r>
    <n v="24864534"/>
    <n v="25703760"/>
    <s v="ACC01"/>
    <x v="510"/>
    <d v="2026-07-03T18:26:34"/>
    <s v="03 a 05 dias"/>
    <s v="03 a 05 dias"/>
    <n v="16566"/>
    <s v="GOVER"/>
    <s v="Rodson de Carvalho Santos"/>
    <s v="DANIELLE RIZZETO BEZERRA ALVES"/>
    <s v="DANIELLE RIZZETO BEZERRA ALVES"/>
    <x v="462"/>
    <n v="4718557"/>
    <s v="-"/>
    <s v="OFF LINE"/>
    <s v="Cartão de crédito"/>
    <s v="Cartão de crédito"/>
    <s v="Hotel"/>
    <s v="N"/>
    <s v="Grupo Intercement"/>
    <s v="Intercement Nacoes Unidas"/>
    <s v="-"/>
    <s v="Lagos Hotel"/>
    <s v="-"/>
    <s v="KON-OPE-SAO-PVI-MOVER"/>
    <s v="-"/>
    <x v="444"/>
    <n v="0"/>
    <n v="0"/>
    <n v="0"/>
    <n v="0"/>
    <n v="0"/>
    <n v="0"/>
    <s v="Reserva importada do sistema Gover. Id: 4718557"/>
    <s v=" Configurações        -&gt; Configurações do sistema turismo          -&gt; Importação das vendas            -&gt; Impedir vendas com data superior à atual"/>
    <s v="GOVER"/>
    <s v="Pagamento não permitido para cobrança"/>
    <s v="Forma PG. e REC."/>
    <s v="Dados do Fornecedor"/>
    <s v="Qualidade dos dados"/>
    <s v="KONTIK BUSINESS TRAVEL"/>
  </r>
  <r>
    <n v="24862780"/>
    <n v="25701866"/>
    <s v="ACC01"/>
    <x v="511"/>
    <d v="2026-07-03T17:18:37"/>
    <s v="03 a 05 dias"/>
    <s v="03 a 05 dias"/>
    <s v="EXJVCIT"/>
    <s v="SABRE"/>
    <s v="FULEKI JUNIOR/FERNANDO"/>
    <s v="SHARON STONE RODRIGUES MARQUES"/>
    <s v="SHARON STONE RODRIGUES MARQUES"/>
    <x v="463"/>
    <s v="3TF7"/>
    <s v="-"/>
    <s v="ON LINE"/>
    <s v="Cartão de crédito"/>
    <s v="Cartão de crédito"/>
    <s v="Hotel"/>
    <s v="N"/>
    <s v="Grupo Atento"/>
    <s v="Atento Brasil S/a"/>
    <s v="-"/>
    <s v="Hotel Nh Bogota Pavillon Royal"/>
    <s v="-"/>
    <s v="FCM-OPE-POA-PVI-ATENTO"/>
    <s v="-"/>
    <x v="445"/>
    <n v="131.68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864605"/>
    <n v="25703851"/>
    <s v="ACC01"/>
    <x v="512"/>
    <d v="2026-07-03T18:54:17"/>
    <s v="03 a 05 dias"/>
    <s v="03 a 05 dias"/>
    <s v="FCXUXFT"/>
    <s v="SABRE"/>
    <s v="ANDRADE/RAFAEL PIRES DE MR"/>
    <s v="VITOR TEICHMANN"/>
    <s v="VITOR TEICHMANN"/>
    <x v="383"/>
    <s v="FCXUXF"/>
    <s v="-"/>
    <s v="ON LINE"/>
    <s v="Cartão de crédito"/>
    <s v="Cartão de crédito"/>
    <s v="Hotel"/>
    <s v="N"/>
    <s v="Grupo Amway"/>
    <s v="Amway do Brasil"/>
    <s v="-"/>
    <s v="Hyatt House Austin Downtown"/>
    <s v="-"/>
    <s v="FCM-OPE-SAO-PVI-BTC-CYTRIC-AMWAY"/>
    <s v="-"/>
    <x v="446"/>
    <n v="408.24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862886"/>
    <n v="25701977"/>
    <s v="ACC01"/>
    <x v="513"/>
    <d v="2026-07-04T03:47:21"/>
    <s v="0 a 02 dias"/>
    <s v="03 a 05 dias"/>
    <s v="h4716472"/>
    <s v="GOVER"/>
    <s v="N/I"/>
    <s v="Cristiane Santos Pio Memoria"/>
    <s v="Cristiane Santos Pio Memoria"/>
    <x v="360"/>
    <n v="4716472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345"/>
    <n v="0"/>
    <n v="0"/>
    <n v="0"/>
    <n v="0"/>
    <n v="0"/>
    <n v="0"/>
    <s v="Reserva importada do sistema Gover. Id: 4716472"/>
    <s v="Centro de custo não preenchido! (ACC01)"/>
    <s v="GOVER"/>
    <s v="Centro de custo"/>
    <s v="Falta de informação Gerencial"/>
    <s v="Dados do Fornecedor"/>
    <s v="Qualidade dos dados"/>
    <s v="KONTIK BUSINESS TRAVEL"/>
  </r>
  <r>
    <n v="24862886"/>
    <n v="25701978"/>
    <s v="ACC02"/>
    <x v="513"/>
    <d v="2026-07-04T03:47:21"/>
    <s v="0 a 02 dias"/>
    <s v="03 a 05 dias"/>
    <s v="h4716472"/>
    <s v="GOVER"/>
    <s v="ANDRE  LOPES"/>
    <s v="Cristiane Santos Pio Memoria"/>
    <s v="Cristiane Santos Pio Memoria"/>
    <x v="360"/>
    <n v="4716472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345"/>
    <n v="0"/>
    <n v="0"/>
    <n v="0"/>
    <n v="0"/>
    <n v="0"/>
    <n v="0"/>
    <s v="Reserva importada do sistema Gover. Id: 4716472"/>
    <s v="Centro de custo não preenchido! (ACC01)"/>
    <s v="GOVER"/>
    <s v="Centro de custo"/>
    <s v="Falta de informação Gerencial"/>
    <s v="Dados do Fornecedor"/>
    <s v="Qualidade dos dados"/>
    <s v="KONTIK BUSINESS TRAVEL"/>
  </r>
  <r>
    <m/>
    <m/>
    <m/>
    <x v="514"/>
    <m/>
    <m/>
    <m/>
    <m/>
    <m/>
    <m/>
    <m/>
    <m/>
    <x v="464"/>
    <m/>
    <m/>
    <m/>
    <m/>
    <m/>
    <m/>
    <m/>
    <m/>
    <m/>
    <m/>
    <m/>
    <m/>
    <m/>
    <m/>
    <x v="447"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3">
  <r>
    <n v="24390618"/>
    <n v="25188918"/>
    <s v="ACC01"/>
    <x v="0"/>
    <d v="2026-05-11T17:45:21"/>
    <x v="0"/>
    <x v="0"/>
    <s v="OPQOIS"/>
    <s v="TMS"/>
    <s v="NATHALLE PERES"/>
    <s v="Tms"/>
    <s v="Tms"/>
    <d v="2026-04-01T11:27:00"/>
    <n v="312"/>
    <s v="-"/>
    <s v="ON LINE"/>
    <s v="Faturado"/>
    <s v="Cartão convênio"/>
    <x v="0"/>
    <s v="N"/>
    <x v="0"/>
    <s v="Neon Pagamentos Sa Instituicao de Pagamento"/>
    <s v="-"/>
    <s v="Latam Airlines Brasil"/>
    <n v="2280569687"/>
    <x v="0"/>
    <s v="-"/>
    <x v="0"/>
    <n v="109.16"/>
    <n v="0"/>
    <n v="0"/>
    <n v="0"/>
    <n v="0"/>
    <n v="0"/>
    <s v="Reserva importada do Sistema TMS. OS: 312"/>
    <s v="Não foi possível encontrar configuração válida para Administradora de código 1 e Data transação 01/04/2026"/>
    <x v="0"/>
    <x v="0"/>
    <s v="Validação de Dados"/>
    <x v="0"/>
    <s v="Qualidade dos dados"/>
    <s v="GRUPO KONTIK"/>
    <x v="0"/>
  </r>
  <r>
    <n v="24392297"/>
    <n v="25190644"/>
    <s v="ACC01"/>
    <x v="1"/>
    <d v="2026-05-11T17:42:29"/>
    <x v="0"/>
    <x v="0"/>
    <s v="GFLQEYT"/>
    <s v="SABRE"/>
    <s v="SANTACROCE/RENATO"/>
    <s v="WS"/>
    <s v="WS"/>
    <d v="2026-04-01T20:46:00"/>
    <s v="GFLQEY"/>
    <s v="-"/>
    <s v="ON LINE"/>
    <s v="Cartão de crédito"/>
    <s v="Cartão de crédito"/>
    <x v="1"/>
    <s v="N"/>
    <x v="1"/>
    <s v="Honeywell"/>
    <s v="Cliente FEE no POS"/>
    <s v="Hilton Mexico City Santa Fe"/>
    <s v="-"/>
    <x v="1"/>
    <s v="-"/>
    <x v="1"/>
    <n v="50.7"/>
    <n v="0"/>
    <n v="0"/>
    <n v="0"/>
    <n v="0"/>
    <n v="13"/>
    <s v="Reserva importada por HubTravel"/>
    <s v="Fornecedor não preenchido! (ACC02)"/>
    <x v="1"/>
    <x v="1"/>
    <s v="Campo Fornecedor"/>
    <x v="0"/>
    <s v="Sistêmico"/>
    <s v="GRUPO KONTIK"/>
    <x v="1"/>
  </r>
  <r>
    <n v="24392297"/>
    <n v="25190645"/>
    <s v="ACC02"/>
    <x v="1"/>
    <d v="2026-05-11T17:42:29"/>
    <x v="0"/>
    <x v="0"/>
    <s v="GFLQEYT"/>
    <s v="SABRE"/>
    <s v="SANTACROCE/RENATO"/>
    <s v="WS"/>
    <s v="WS"/>
    <d v="2026-04-01T20:46:00"/>
    <s v="GFLQEY"/>
    <s v="-"/>
    <s v="ON LINE"/>
    <s v="Cartão de crédito"/>
    <s v="Cartão de crédito"/>
    <x v="1"/>
    <s v="N"/>
    <x v="1"/>
    <s v="Honeywell"/>
    <s v="Cliente FEE no POS"/>
    <s v="-"/>
    <s v="-"/>
    <x v="1"/>
    <s v="-"/>
    <x v="2"/>
    <n v="54.22"/>
    <n v="0"/>
    <n v="0"/>
    <n v="0"/>
    <n v="0"/>
    <n v="0"/>
    <s v="Reserva importada por HubTravel"/>
    <s v="Fornecedor não preenchido! (ACC02)"/>
    <x v="1"/>
    <x v="1"/>
    <s v="Campo Fornecedor"/>
    <x v="0"/>
    <s v="Sistêmico"/>
    <s v="GRUPO KONTIK"/>
    <x v="1"/>
  </r>
  <r>
    <n v="24394827"/>
    <n v="25193439"/>
    <s v="ACC01"/>
    <x v="2"/>
    <d v="2026-05-11T17:45:29"/>
    <x v="0"/>
    <x v="0"/>
    <s v="UMNBHJ"/>
    <s v="TMS"/>
    <s v="BRUNO SOUZA"/>
    <s v="Tms"/>
    <s v="Tms"/>
    <d v="2026-04-02T12:32:00"/>
    <n v="6655"/>
    <s v="-"/>
    <s v="ON LINE"/>
    <s v="Faturado"/>
    <s v="Cartão convênio"/>
    <x v="0"/>
    <s v="N"/>
    <x v="2"/>
    <s v="Track e Field Co Sa Matriz"/>
    <s v="-"/>
    <s v="Gol Linhas Aereas"/>
    <n v="2301058749"/>
    <x v="2"/>
    <s v="-"/>
    <x v="3"/>
    <n v="96.25"/>
    <n v="0"/>
    <n v="0"/>
    <n v="0"/>
    <n v="0"/>
    <n v="0"/>
    <s v="Reserva importada do Sistema TMS. OS: 6655"/>
    <s v="Não foi possível encontrar configuração válida para Administradora de código 1 e Data transação 02/04/2026"/>
    <x v="0"/>
    <x v="0"/>
    <s v="Validação de Dados"/>
    <x v="0"/>
    <s v="Qualidade dos dados"/>
    <s v="GRUPO KONTIK"/>
    <x v="0"/>
  </r>
  <r>
    <n v="24394828"/>
    <n v="25193440"/>
    <s v="ACC01"/>
    <x v="3"/>
    <d v="2026-07-02T12:59:15"/>
    <x v="1"/>
    <x v="0"/>
    <s v="JMIUDE"/>
    <s v="TMS"/>
    <s v="GUSTAVO MENDES"/>
    <s v="Tms"/>
    <s v="Tms"/>
    <d v="2026-07-02T10:00:00"/>
    <n v="6652"/>
    <s v="-"/>
    <s v="ON LINE"/>
    <s v="Invoice"/>
    <s v="Cartão convênio"/>
    <x v="0"/>
    <s v="N"/>
    <x v="2"/>
    <s v="Track e Field Co Sa Matriz"/>
    <s v="-"/>
    <s v="Gol Linhas Aereas"/>
    <n v="2301056216"/>
    <x v="2"/>
    <s v="-"/>
    <x v="4"/>
    <n v="116.1"/>
    <n v="0"/>
    <n v="0"/>
    <n v="0"/>
    <n v="0"/>
    <n v="0"/>
    <s v="Reserva importada do Sistema TMS. OS: 6652"/>
    <s v="Não foi possível encontrar configuração válida para Administradora de código 1 e Data transação 02/07/2026"/>
    <x v="0"/>
    <x v="0"/>
    <s v="Validação de Dados"/>
    <x v="0"/>
    <s v="Qualidade dos dados"/>
    <s v="GRUPO KONTIK"/>
    <x v="0"/>
  </r>
  <r>
    <n v="24392516"/>
    <n v="25190873"/>
    <s v="ACC01"/>
    <x v="4"/>
    <d v="2026-05-11T17:45:27"/>
    <x v="0"/>
    <x v="0"/>
    <s v="KZVDFU"/>
    <s v="TMS"/>
    <s v="KEVIN SANTOS"/>
    <s v="Tms"/>
    <s v="Tms"/>
    <d v="2026-04-02T10:53:00"/>
    <n v="6648"/>
    <s v="-"/>
    <s v="ON LINE"/>
    <s v="Faturado"/>
    <s v="Cartão convênio"/>
    <x v="0"/>
    <s v="N"/>
    <x v="2"/>
    <s v="Track e Field Co Sa Matriz"/>
    <s v="-"/>
    <s v="Latam Airlines Brasil"/>
    <n v="2280742820"/>
    <x v="2"/>
    <s v="-"/>
    <x v="5"/>
    <n v="112.56"/>
    <n v="0"/>
    <n v="0"/>
    <n v="0"/>
    <n v="0"/>
    <n v="0"/>
    <s v="Reserva importada do Sistema TMS. OS: 6648"/>
    <s v="Não foi possível encontrar configuração válida para Administradora de código 1 e Data transação 02/04/2026"/>
    <x v="0"/>
    <x v="0"/>
    <s v="Validação de Dados"/>
    <x v="0"/>
    <s v="Qualidade dos dados"/>
    <s v="GRUPO KONTIK"/>
    <x v="0"/>
  </r>
  <r>
    <n v="24406174"/>
    <n v="25206837"/>
    <s v="ACC02"/>
    <x v="5"/>
    <d v="2026-05-15T15:36:57"/>
    <x v="0"/>
    <x v="0"/>
    <s v="KXZLZIT"/>
    <s v="SABRE"/>
    <s v="BRAGA/VITOR NUNES MR"/>
    <s v="WS"/>
    <s v="WS"/>
    <d v="2026-04-06T06:42:00"/>
    <s v="KXZLZI"/>
    <s v="-"/>
    <s v="ON LINE"/>
    <s v="Cartão de crédito"/>
    <s v="Cartão de crédito"/>
    <x v="1"/>
    <s v="N"/>
    <x v="1"/>
    <s v="Honeywell"/>
    <s v="Cliente FEE no POS"/>
    <s v="-"/>
    <s v="-"/>
    <x v="1"/>
    <s v="-"/>
    <x v="6"/>
    <n v="8820"/>
    <n v="0"/>
    <n v="0"/>
    <n v="0"/>
    <n v="0"/>
    <n v="0"/>
    <s v="Reserva importada por HubTravel"/>
    <s v="Fornecedor não preenchido! (ACC02)"/>
    <x v="1"/>
    <x v="1"/>
    <s v="Campo Fornecedor"/>
    <x v="0"/>
    <s v="Sistêmico"/>
    <s v="GRUPO KONTIK"/>
    <x v="1"/>
  </r>
  <r>
    <n v="24445252"/>
    <n v="25250733"/>
    <s v="ACC02"/>
    <x v="6"/>
    <d v="2026-05-11T17:42:39"/>
    <x v="0"/>
    <x v="0"/>
    <s v="USFPJAT"/>
    <s v="SABRE"/>
    <s v="MOREIRA/RODRIGO MR"/>
    <s v="CT"/>
    <s v="CT"/>
    <d v="2026-04-13T15:17:00"/>
    <s v="USFPJA"/>
    <s v="-"/>
    <s v="ON LINE"/>
    <s v="Cartão de crédito"/>
    <s v="Cartão de crédito"/>
    <x v="1"/>
    <s v="N"/>
    <x v="3"/>
    <s v="Innomotics Motores e Grandes Conversores Ltda"/>
    <s v="-"/>
    <s v="-"/>
    <s v="-"/>
    <x v="3"/>
    <s v="-"/>
    <x v="7"/>
    <n v="0"/>
    <n v="0"/>
    <n v="0"/>
    <n v="0"/>
    <n v="0"/>
    <n v="0"/>
    <s v="Reserva importada por HubTravel"/>
    <s v="Fornecedor não preenchido! (ACC02)"/>
    <x v="1"/>
    <x v="1"/>
    <s v="Campo Fornecedor"/>
    <x v="0"/>
    <s v="Sistêmico"/>
    <s v="GRUPO KONTIK"/>
    <x v="1"/>
  </r>
  <r>
    <n v="24452444"/>
    <n v="25258566"/>
    <s v="ACC01"/>
    <x v="7"/>
    <d v="2026-07-03T17:10:25"/>
    <x v="1"/>
    <x v="0"/>
    <s v="DJNSRA"/>
    <s v="SABRE"/>
    <s v="HIRANOBE/LUCAS"/>
    <s v="VANESSA ARAUJO ALVES"/>
    <s v="VANESSA ARAUJO ALVES"/>
    <d v="2026-04-07T15:40:00"/>
    <s v="DJNSRA"/>
    <s v="-"/>
    <s v="ON LINE"/>
    <s v="?"/>
    <s v="?"/>
    <x v="0"/>
    <s v="N"/>
    <x v="4"/>
    <s v="Standard And Poors Ratings do Brasil Ltda"/>
    <s v="Cliente FEE no POS"/>
    <s v="Gol Linhas Aereas"/>
    <s v="-"/>
    <x v="4"/>
    <s v="-"/>
    <x v="8"/>
    <n v="0"/>
    <n v="0"/>
    <n v="0"/>
    <n v="0"/>
    <n v="0"/>
    <n v="0"/>
    <s v="Reserva importada por HubTravel"/>
    <s v="Este cliente não possui permissão para usar este tipo de pagamento e recebimento para este produto."/>
    <x v="1"/>
    <x v="2"/>
    <s v="Forma PG. e REC."/>
    <x v="0"/>
    <s v="Qualidade dos dados"/>
    <s v="KONTIK BUSINESS TRAVEL"/>
    <x v="2"/>
  </r>
  <r>
    <n v="24409098"/>
    <n v="25210041"/>
    <s v="ACC01"/>
    <x v="8"/>
    <d v="2026-05-11T17:45:43"/>
    <x v="0"/>
    <x v="0"/>
    <s v="JIHIAF"/>
    <s v="TMS"/>
    <s v="WILLIAM NEVER"/>
    <s v="Tms"/>
    <s v="Tms"/>
    <d v="2026-04-06T17:09:00"/>
    <n v="106435"/>
    <s v="-"/>
    <s v="ON LINE"/>
    <s v="Invoice"/>
    <s v="Cartão convênio"/>
    <x v="0"/>
    <s v="N"/>
    <x v="5"/>
    <s v="Oceanpact Marau Navegacao"/>
    <s v="-"/>
    <s v="Latam Airlines Brasil"/>
    <n v="2281245127"/>
    <x v="5"/>
    <s v="-"/>
    <x v="9"/>
    <n v="62.14"/>
    <n v="0"/>
    <n v="0"/>
    <n v="0"/>
    <n v="0"/>
    <n v="0"/>
    <s v="Reserva importada do Sistema TMS. OS: 106435"/>
    <s v="Não foi possível encontrar configuração válida para Administradora de código 1 e Data transação 06/04/2026"/>
    <x v="0"/>
    <x v="0"/>
    <s v="Validação de Dados"/>
    <x v="0"/>
    <s v="Qualidade dos dados"/>
    <s v="GRUPO KONTIK"/>
    <x v="0"/>
  </r>
  <r>
    <n v="24424868"/>
    <n v="25227226"/>
    <s v="ACC01"/>
    <x v="9"/>
    <d v="2026-07-03T17:06:14"/>
    <x v="1"/>
    <x v="0"/>
    <s v="LUQMIXC"/>
    <s v="SABRE"/>
    <s v="ROSSOLINO/ANTONIO MR"/>
    <s v="VANESSA ARAUJO ALVES"/>
    <s v="VANESSA ARAUJO ALVES"/>
    <d v="2026-04-08T14:02:00"/>
    <s v="LUQMIX"/>
    <s v="CGR"/>
    <s v="ON LINE"/>
    <s v="Invoice"/>
    <s v="Faturado"/>
    <x v="2"/>
    <s v="N"/>
    <x v="4"/>
    <s v="Sep Global Informacoes do Brasil Ltda"/>
    <s v="Cliente FEE no POS"/>
    <s v="Localiza - Br - Ms - Campo Grande - Santo Antonio"/>
    <s v="-"/>
    <x v="3"/>
    <s v="-"/>
    <x v="10"/>
    <n v="98.38"/>
    <n v="0"/>
    <n v="0"/>
    <n v="0"/>
    <n v="0"/>
    <n v="0"/>
    <s v="Reserva importada por HubTravel"/>
    <s v="Email do passageiro não preenchido! (ACC01)"/>
    <x v="1"/>
    <x v="3"/>
    <s v="Falta de informação Gerencial"/>
    <x v="0"/>
    <s v="Qualidade dos dados"/>
    <s v="KONTIK BUSINESS TRAVEL"/>
    <x v="2"/>
  </r>
  <r>
    <n v="24493184"/>
    <n v="25304501"/>
    <s v="ACC01"/>
    <x v="10"/>
    <d v="2026-05-11T17:45:41"/>
    <x v="0"/>
    <x v="0"/>
    <s v="GDSXAZNP-F1"/>
    <s v="MANUAL"/>
    <s v="ISABELLA PEREIRA ALVES"/>
    <s v="DIEGO FERNANDES ROCHA"/>
    <s v="DIEGO FERNANDES ROCHA"/>
    <d v="2026-02-04T18:06:00"/>
    <n v="4656877"/>
    <s v="Localiza - Br - Am - Manaus - Aeroporto de Manaus Endereço: Av.santos Dumont, 1350 Centro"/>
    <s v="OFF LINE"/>
    <s v="Invoice"/>
    <s v="Faturado"/>
    <x v="2"/>
    <s v="N"/>
    <x v="6"/>
    <s v="Fm Global - Servicos"/>
    <s v="Cliente FEE no POS"/>
    <s v="Localiza - Br - Mg - Belo Horizonte - Cachoeirinha"/>
    <s v="-"/>
    <x v="6"/>
    <s v="-"/>
    <x v="11"/>
    <n v="0"/>
    <n v="0"/>
    <n v="0"/>
    <n v="0"/>
    <n v="0"/>
    <n v="0"/>
    <s v="Reserva importada do sistema Gover. Id: 4656877"/>
    <s v="Este cliente não possui permissão para usar este tipo de pagamento e recebimento para este produto."/>
    <x v="2"/>
    <x v="2"/>
    <s v="Forma PG. e REC."/>
    <x v="0"/>
    <s v="Qualidade dos dados"/>
    <s v="KONTIK BUSINESS TRAVEL"/>
    <x v="2"/>
  </r>
  <r>
    <n v="24445252"/>
    <n v="25250732"/>
    <s v="ACC01"/>
    <x v="6"/>
    <d v="2026-05-11T17:42:39"/>
    <x v="0"/>
    <x v="0"/>
    <s v="USFPJAT"/>
    <s v="SABRE"/>
    <s v="MOREIRA/RODRIGO MR"/>
    <s v="CT"/>
    <s v="CT"/>
    <d v="2026-04-13T15:17:00"/>
    <s v="USFPJA"/>
    <s v="-"/>
    <s v="ON LINE"/>
    <s v="Cartão de crédito"/>
    <s v="Cartão de crédito"/>
    <x v="1"/>
    <s v="N"/>
    <x v="3"/>
    <s v="Innomotics Motores e Grandes Conversores Ltda"/>
    <s v="-"/>
    <s v="Nh Erlangen"/>
    <s v="-"/>
    <x v="3"/>
    <s v="-"/>
    <x v="12"/>
    <n v="0"/>
    <n v="0"/>
    <n v="0"/>
    <n v="0"/>
    <n v="0"/>
    <n v="0"/>
    <s v="Reserva importada por HubTravel"/>
    <s v="Fornecedor não preenchido! (ACC02)"/>
    <x v="1"/>
    <x v="1"/>
    <s v="Campo Fornecedor"/>
    <x v="0"/>
    <s v="Sistêmico"/>
    <s v="GRUPO KONTIK"/>
    <x v="1"/>
  </r>
  <r>
    <n v="24406174"/>
    <n v="25206836"/>
    <s v="ACC01"/>
    <x v="5"/>
    <d v="2026-05-15T15:36:57"/>
    <x v="0"/>
    <x v="0"/>
    <s v="KXZLZIT"/>
    <s v="SABRE"/>
    <s v="BRAGA/VITOR NUNES MR"/>
    <s v="WS"/>
    <s v="WS"/>
    <d v="2026-04-06T06:42:00"/>
    <s v="KXZLZI"/>
    <s v="-"/>
    <s v="ON LINE"/>
    <s v="Cartão de crédito"/>
    <s v="Cartão de crédito"/>
    <x v="1"/>
    <s v="N"/>
    <x v="1"/>
    <s v="Honeywell"/>
    <s v="Cliente FEE no POS"/>
    <s v="Hilton Garden Inn Monterey"/>
    <s v="-"/>
    <x v="1"/>
    <s v="-"/>
    <x v="6"/>
    <n v="8820"/>
    <n v="0"/>
    <n v="0"/>
    <n v="0"/>
    <n v="0"/>
    <n v="13"/>
    <s v="Reserva importada por HubTravel"/>
    <s v="Fornecedor não preenchido! (ACC02)"/>
    <x v="1"/>
    <x v="1"/>
    <s v="Campo Fornecedor"/>
    <x v="0"/>
    <s v="Sistêmico"/>
    <s v="GRUPO KONTIK"/>
    <x v="1"/>
  </r>
  <r>
    <n v="24520473"/>
    <n v="25337403"/>
    <s v="ACC02"/>
    <x v="11"/>
    <d v="2026-05-15T15:49:20"/>
    <x v="0"/>
    <x v="0"/>
    <s v="YDBHKXT"/>
    <s v="SABRE"/>
    <s v="ALVES DE SOUZA/JARDEL"/>
    <s v="WS"/>
    <s v="WS"/>
    <d v="2026-04-30T10:41:00"/>
    <s v="YDBHKX"/>
    <s v="-"/>
    <s v="ON LINE"/>
    <s v="Cartão de crédito"/>
    <s v="Cartão de crédito"/>
    <x v="1"/>
    <s v="N"/>
    <x v="1"/>
    <s v="Honeywell"/>
    <s v="Cliente FEE no POS"/>
    <s v="-"/>
    <s v="-"/>
    <x v="1"/>
    <s v="-"/>
    <x v="13"/>
    <n v="0"/>
    <n v="0"/>
    <n v="0"/>
    <n v="0"/>
    <n v="0"/>
    <n v="0"/>
    <s v="Reserva importada por HubTravel"/>
    <s v="Fornecedor não preenchido! (ACC02)"/>
    <x v="1"/>
    <x v="1"/>
    <s v="Campo Fornecedor"/>
    <x v="0"/>
    <s v="Sistêmico"/>
    <s v="GRUPO KONTIK"/>
    <x v="1"/>
  </r>
  <r>
    <n v="24493290"/>
    <n v="25304642"/>
    <s v="ACC02"/>
    <x v="12"/>
    <d v="2026-05-12T15:06:34"/>
    <x v="0"/>
    <x v="0"/>
    <s v="UIGHEJT"/>
    <s v="SABRE"/>
    <s v="DALANEZE/MARCIO MR"/>
    <s v="VANESSA ARAUJO ALVES"/>
    <s v="VANESSA ARAUJO ALVES"/>
    <d v="2026-04-23T09:23:00"/>
    <s v="UIGHEJ"/>
    <s v="-"/>
    <s v="ON LINE"/>
    <s v="Invoice"/>
    <s v="Faturado"/>
    <x v="1"/>
    <s v="N"/>
    <x v="7"/>
    <s v="Weir do Brasil Ltda"/>
    <s v="-"/>
    <s v="-"/>
    <s v="-"/>
    <x v="7"/>
    <s v="-"/>
    <x v="14"/>
    <n v="0"/>
    <n v="0"/>
    <n v="0"/>
    <n v="0"/>
    <n v="0"/>
    <n v="0"/>
    <s v="Reserva importada por HubTravel"/>
    <s v="Matrícula não preenchida! (ACC02)"/>
    <x v="1"/>
    <x v="4"/>
    <s v="Falta de informação Gerencial"/>
    <x v="0"/>
    <s v="Qualidade dos dados"/>
    <s v="KONTIK BUSINESS TRAVEL"/>
    <x v="2"/>
  </r>
  <r>
    <n v="24555720"/>
    <n v="25378740"/>
    <s v="ACC02"/>
    <x v="13"/>
    <d v="2026-05-11T13:54:48"/>
    <x v="0"/>
    <x v="0"/>
    <s v="KMDJVAT"/>
    <s v="SABRE"/>
    <s v="GUIMARAES/RICARDO COELHO MR"/>
    <s v="VANESSA ARAUJO ALVES"/>
    <s v="VANESSA ARAUJO ALVES"/>
    <d v="2026-04-29T15:24:00"/>
    <s v="KMDJVA"/>
    <s v="-"/>
    <s v="ON LINE"/>
    <s v="Invoice"/>
    <s v="Faturado"/>
    <x v="1"/>
    <s v="N"/>
    <x v="7"/>
    <s v="Weir do Brasil Ltda"/>
    <s v="-"/>
    <s v="-"/>
    <s v="-"/>
    <x v="7"/>
    <s v="-"/>
    <x v="15"/>
    <n v="0"/>
    <n v="0"/>
    <n v="0"/>
    <n v="0"/>
    <n v="0"/>
    <n v="0"/>
    <s v="Reserva importada por HubTravel"/>
    <s v="Fornecedor não preenchido! (ACC02)"/>
    <x v="1"/>
    <x v="1"/>
    <s v="Campo Fornecedor"/>
    <x v="0"/>
    <s v="Qualidade dos dados"/>
    <s v="KONTIK BUSINESS TRAVEL"/>
    <x v="2"/>
  </r>
  <r>
    <n v="24521768"/>
    <n v="25338853"/>
    <s v="ACC02"/>
    <x v="14"/>
    <d v="2026-05-11T13:48:56"/>
    <x v="0"/>
    <x v="0"/>
    <s v="QRLGIQT"/>
    <s v="SABRE"/>
    <s v="VALADAO/MARCUS NANTES MR"/>
    <s v="VANESSA ARAUJO ALVES"/>
    <s v="VANESSA ARAUJO ALVES"/>
    <d v="2026-04-30T13:07:00"/>
    <s v="QRLGIQ"/>
    <s v="-"/>
    <s v="ON LINE"/>
    <s v="Invoice"/>
    <s v="Faturado"/>
    <x v="1"/>
    <s v="N"/>
    <x v="7"/>
    <s v="Weir do Brasil Ltda"/>
    <s v="-"/>
    <s v="-"/>
    <s v="-"/>
    <x v="7"/>
    <s v="-"/>
    <x v="16"/>
    <n v="0"/>
    <n v="0"/>
    <n v="0"/>
    <n v="0"/>
    <n v="0"/>
    <n v="0"/>
    <s v="Reserva importada por HubTravel"/>
    <s v="Fornecedor não preenchido! (ACC02)"/>
    <x v="1"/>
    <x v="1"/>
    <s v="Campo Fornecedor"/>
    <x v="0"/>
    <s v="Qualidade dos dados"/>
    <s v="KONTIK BUSINESS TRAVEL"/>
    <x v="2"/>
  </r>
  <r>
    <n v="24510624"/>
    <n v="25325541"/>
    <s v="ACC01"/>
    <x v="15"/>
    <d v="2026-07-03T17:10:25"/>
    <x v="1"/>
    <x v="0"/>
    <s v="WNIBQQ"/>
    <s v="SABRE"/>
    <s v="BRAZIL/TEST"/>
    <s v="Aline Gabriela Casaro"/>
    <s v="Aline Gabriela Casaro"/>
    <d v="2026-04-28T07:46:00"/>
    <s v="WNIBQQ"/>
    <s v="-"/>
    <s v="OFF LINE"/>
    <s v="?"/>
    <s v="?"/>
    <x v="0"/>
    <s v="S"/>
    <x v="8"/>
    <s v="Nielseniq do Brasil"/>
    <s v="Cliente FEE no POS"/>
    <s v="Gol Linhas Aereas"/>
    <s v="-"/>
    <x v="8"/>
    <s v="-"/>
    <x v="8"/>
    <n v="0"/>
    <n v="0"/>
    <n v="0"/>
    <n v="0"/>
    <n v="0"/>
    <n v="0"/>
    <s v="Reserva importada por HubTravel"/>
    <s v="Este cliente não possui permissão para usar este tipo de pagamento e recebimento para este produto."/>
    <x v="1"/>
    <x v="2"/>
    <s v="Forma PG. e REC."/>
    <x v="0"/>
    <s v="Qualidade dos dados"/>
    <s v="KONTIK BUSINESS TRAVEL"/>
    <x v="2"/>
  </r>
  <r>
    <n v="24576799"/>
    <n v="25400183"/>
    <s v="ACC01"/>
    <x v="16"/>
    <d v="2026-07-03T17:10:26"/>
    <x v="1"/>
    <x v="0"/>
    <s v="NTNZZK"/>
    <s v="SABRE"/>
    <s v="BRAZIL/TEST"/>
    <s v="Aline Gabriela Casaro"/>
    <s v="Aline Gabriela Casaro"/>
    <d v="2026-05-11T15:28:00"/>
    <s v="NTNZZK"/>
    <s v="-"/>
    <s v="ON LINE"/>
    <s v="Cartão de crédito"/>
    <s v="Cartão de crédito"/>
    <x v="0"/>
    <s v="S"/>
    <x v="8"/>
    <s v="Gfk Brasil"/>
    <s v="-"/>
    <s v="Gol Linhas Aereas"/>
    <n v="7700088287"/>
    <x v="9"/>
    <s v="-"/>
    <x v="8"/>
    <n v="0"/>
    <n v="0"/>
    <n v="0"/>
    <n v="0"/>
    <n v="0"/>
    <n v="0"/>
    <s v="Reserva importada por HubTravel"/>
    <s v="Matrícula não preenchida! (ACC01) Canal de venda não preenchido! (ACC01)"/>
    <x v="1"/>
    <x v="5"/>
    <s v="Falta de informação Gerencial"/>
    <x v="0"/>
    <s v="Qualidade dos dados"/>
    <s v="KONTIK BUSINESS TRAVEL"/>
    <x v="3"/>
  </r>
  <r>
    <n v="24554567"/>
    <n v="25377579"/>
    <s v="ACC01"/>
    <x v="17"/>
    <d v="2026-07-03T17:10:25"/>
    <x v="1"/>
    <x v="0"/>
    <s v="AILTIR"/>
    <s v="SABRE"/>
    <s v="MELLO/RICARDO CHRISTANTE DE"/>
    <s v="DS"/>
    <s v="WS"/>
    <d v="2026-05-05T14:28:00"/>
    <s v="AILTIR"/>
    <s v="-"/>
    <s v="ON LINE"/>
    <s v="?"/>
    <s v="TKT"/>
    <x v="0"/>
    <s v="N"/>
    <x v="1"/>
    <s v="Honeywell"/>
    <s v="Cliente FEE no POS"/>
    <s v="Latam Airlines Brasil"/>
    <n v="2615162872"/>
    <x v="1"/>
    <s v="-"/>
    <x v="8"/>
    <n v="0"/>
    <n v="500"/>
    <n v="0"/>
    <n v="0"/>
    <n v="0"/>
    <n v="0"/>
    <s v="Reserva importada por HubTravel"/>
    <s v="Este cliente não possui permissão para usar este tipo de pagamento e recebimento para este produto."/>
    <x v="1"/>
    <x v="2"/>
    <s v="Forma PG. e REC."/>
    <x v="0"/>
    <s v="Qualidade dos dados"/>
    <s v="KONTIK BUSINESS TRAVEL"/>
    <x v="2"/>
  </r>
  <r>
    <n v="24523313"/>
    <n v="25340752"/>
    <s v="ACC01"/>
    <x v="18"/>
    <d v="2026-04-30T21:13:52"/>
    <x v="0"/>
    <x v="0"/>
    <s v="6FETRR"/>
    <s v="TMS"/>
    <s v="LUANA OLIVEIRA DA SILVA"/>
    <s v="Herbert Amancio de Santana"/>
    <s v="Herbert Amancio de Santana"/>
    <d v="2026-04-30T17:52:00"/>
    <n v="142425"/>
    <s v="-"/>
    <s v="OFF LINE"/>
    <s v="Cartão de crédito"/>
    <s v="Cartão de crédito"/>
    <x v="1"/>
    <s v="N"/>
    <x v="9"/>
    <s v="Claro S/a"/>
    <s v="-"/>
    <s v="Mercure Curitiba Batel"/>
    <s v="-"/>
    <x v="10"/>
    <s v="-"/>
    <x v="17"/>
    <n v="0"/>
    <n v="0"/>
    <n v="0"/>
    <n v="0"/>
    <n v="0"/>
    <n v="0"/>
    <s v="Reserva importada do Sistema TMS. OS: 142425"/>
    <s v="Matrícula não preenchida! (ACC01)"/>
    <x v="0"/>
    <x v="4"/>
    <s v="Falta de informação Gerencial"/>
    <x v="0"/>
    <s v="Qualidade dos dados"/>
    <s v="KONTIK BUSINESS TRAVEL"/>
    <x v="3"/>
  </r>
  <r>
    <n v="24555720"/>
    <n v="25378739"/>
    <s v="ACC01"/>
    <x v="13"/>
    <d v="2026-05-11T13:54:48"/>
    <x v="0"/>
    <x v="0"/>
    <s v="KMDJVAT"/>
    <s v="SABRE"/>
    <s v="GUIMARAES/RICARDO COELHO MR"/>
    <s v="VANESSA ARAUJO ALVES"/>
    <s v="VANESSA ARAUJO ALVES"/>
    <d v="2026-04-29T15:24:00"/>
    <s v="KMDJVA"/>
    <s v="-"/>
    <s v="ON LINE"/>
    <s v="Invoice"/>
    <s v="Faturado"/>
    <x v="1"/>
    <s v="N"/>
    <x v="7"/>
    <s v="Weir do Brasil Ltda"/>
    <s v="-"/>
    <s v="Hotel Nacional Inn Previdencia Araxa"/>
    <s v="-"/>
    <x v="7"/>
    <s v="-"/>
    <x v="18"/>
    <n v="0"/>
    <n v="0"/>
    <n v="0"/>
    <n v="0"/>
    <n v="0"/>
    <n v="0"/>
    <s v="Reserva importada por HubTravel"/>
    <s v="Fornecedor não preenchido! (ACC02)"/>
    <x v="1"/>
    <x v="1"/>
    <s v="Campo Fornecedor"/>
    <x v="0"/>
    <s v="Qualidade dos dados"/>
    <s v="KONTIK BUSINESS TRAVEL"/>
    <x v="2"/>
  </r>
  <r>
    <n v="24555720"/>
    <n v="25378741"/>
    <s v="ACC03"/>
    <x v="13"/>
    <d v="2026-05-11T13:54:48"/>
    <x v="0"/>
    <x v="0"/>
    <s v="KMDJVAT"/>
    <s v="SABRE"/>
    <s v="GUIMARAES/RICARDO COELHO MR"/>
    <s v="VANESSA ARAUJO ALVES"/>
    <s v="VANESSA ARAUJO ALVES"/>
    <d v="2026-04-29T15:24:00"/>
    <s v="KMDJVA"/>
    <s v="-"/>
    <s v="ON LINE"/>
    <s v="Cartão de crédito"/>
    <s v="Cartão de crédito"/>
    <x v="1"/>
    <s v="N"/>
    <x v="7"/>
    <s v="Weir do Brasil Ltda"/>
    <s v="-"/>
    <s v="Hotel Nacional Inn Previdencia Araxa"/>
    <s v="-"/>
    <x v="7"/>
    <s v="-"/>
    <x v="19"/>
    <n v="39.44"/>
    <n v="0"/>
    <n v="0"/>
    <n v="0"/>
    <n v="0"/>
    <n v="0"/>
    <s v="Reserva importada por HubTravel"/>
    <s v="Fornecedor não preenchido! (ACC02)"/>
    <x v="1"/>
    <x v="1"/>
    <s v="Campo Fornecedor"/>
    <x v="0"/>
    <s v="Qualidade dos dados"/>
    <s v="KONTIK BUSINESS TRAVEL"/>
    <x v="2"/>
  </r>
  <r>
    <n v="24521768"/>
    <n v="25338852"/>
    <s v="ACC01"/>
    <x v="14"/>
    <d v="2026-05-11T13:48:56"/>
    <x v="0"/>
    <x v="0"/>
    <s v="QRLGIQT"/>
    <s v="SABRE"/>
    <s v="VALADAO/MARCUS NANTES MR"/>
    <s v="VANESSA ARAUJO ALVES"/>
    <s v="VANESSA ARAUJO ALVES"/>
    <d v="2026-04-30T13:07:00"/>
    <s v="QRLGIQ"/>
    <s v="-"/>
    <s v="ON LINE"/>
    <s v="Invoice"/>
    <s v="Faturado"/>
    <x v="1"/>
    <s v="N"/>
    <x v="7"/>
    <s v="Weir do Brasil Ltda"/>
    <s v="-"/>
    <s v="Ibis Arapiraca"/>
    <s v="-"/>
    <x v="7"/>
    <s v="-"/>
    <x v="20"/>
    <n v="38"/>
    <n v="0"/>
    <n v="0"/>
    <n v="0"/>
    <n v="0"/>
    <n v="0"/>
    <s v="Reserva importada por HubTravel"/>
    <s v="Fornecedor não preenchido! (ACC02)"/>
    <x v="1"/>
    <x v="1"/>
    <s v="Campo Fornecedor"/>
    <x v="0"/>
    <s v="Qualidade dos dados"/>
    <s v="KONTIK BUSINESS TRAVEL"/>
    <x v="2"/>
  </r>
  <r>
    <n v="24520473"/>
    <n v="25337402"/>
    <s v="ACC01"/>
    <x v="11"/>
    <d v="2026-05-15T15:49:20"/>
    <x v="0"/>
    <x v="0"/>
    <s v="YDBHKXT"/>
    <s v="SABRE"/>
    <s v="ALVES DE SOUZA/JARDEL"/>
    <s v="WS"/>
    <s v="WS"/>
    <d v="2026-04-30T10:41:00"/>
    <s v="YDBHKX"/>
    <s v="-"/>
    <s v="ON LINE"/>
    <s v="Cartão de crédito"/>
    <s v="Cartão de crédito"/>
    <x v="1"/>
    <s v="N"/>
    <x v="1"/>
    <s v="Honeywell"/>
    <s v="Cliente FEE no POS"/>
    <s v="The Z Hotel Piccadilly"/>
    <s v="-"/>
    <x v="1"/>
    <s v="-"/>
    <x v="21"/>
    <n v="0"/>
    <n v="0"/>
    <n v="0"/>
    <n v="0"/>
    <n v="0"/>
    <n v="13"/>
    <s v="Reserva importada por HubTravel"/>
    <s v="Fornecedor não preenchido! (ACC02)"/>
    <x v="1"/>
    <x v="1"/>
    <s v="Campo Fornecedor"/>
    <x v="0"/>
    <s v="Sistêmico"/>
    <s v="GRUPO KONTIK"/>
    <x v="1"/>
  </r>
  <r>
    <n v="24493290"/>
    <n v="25304641"/>
    <s v="ACC01"/>
    <x v="12"/>
    <d v="2026-05-12T15:06:34"/>
    <x v="0"/>
    <x v="0"/>
    <s v="UIGHEJT"/>
    <s v="SABRE"/>
    <s v="DALANEZE/MARCIO MR"/>
    <s v="VANESSA ARAUJO ALVES"/>
    <s v="VANESSA ARAUJO ALVES"/>
    <d v="2026-04-23T09:23:00"/>
    <s v="UIGHEJ"/>
    <s v="-"/>
    <s v="ON LINE"/>
    <s v="Cartão de crédito"/>
    <s v="Cartão de crédito"/>
    <x v="1"/>
    <s v="N"/>
    <x v="7"/>
    <s v="Weir do Brasil Ltda"/>
    <s v="-"/>
    <s v="Ibis Budget Parauapebas"/>
    <s v="-"/>
    <x v="7"/>
    <s v="-"/>
    <x v="22"/>
    <n v="31.77"/>
    <n v="0"/>
    <n v="0"/>
    <n v="0"/>
    <n v="0"/>
    <n v="0"/>
    <s v="Reserva importada por HubTravel"/>
    <s v="Matrícula não preenchida! (ACC02)"/>
    <x v="1"/>
    <x v="4"/>
    <s v="Falta de informação Gerencial"/>
    <x v="0"/>
    <s v="Qualidade dos dados"/>
    <s v="KONTIK BUSINESS TRAVEL"/>
    <x v="2"/>
  </r>
  <r>
    <n v="24555179"/>
    <n v="25378142"/>
    <s v="ACC01"/>
    <x v="19"/>
    <d v="2026-05-08T11:05:40"/>
    <x v="0"/>
    <x v="0"/>
    <s v="6GXVCG"/>
    <s v="TMS"/>
    <s v="LURIAN RAMOS"/>
    <s v="Tms"/>
    <s v="Tms"/>
    <d v="2026-05-08T09:49:00"/>
    <n v="120419"/>
    <s v="-"/>
    <s v="ON LINE"/>
    <s v="Pagamento direto"/>
    <s v="Pagamento direto"/>
    <x v="1"/>
    <s v="N"/>
    <x v="10"/>
    <s v="Ache Laboratorios Farmaceuticos Sa"/>
    <s v="-"/>
    <s v="Acdw Gestao de Hoteis"/>
    <s v="-"/>
    <x v="11"/>
    <s v="-"/>
    <x v="23"/>
    <n v="0"/>
    <n v="0"/>
    <n v="0"/>
    <n v="0"/>
    <n v="0"/>
    <n v="0"/>
    <s v="Reserva importada do Sistema TMS. OS: 120419"/>
    <s v="Consolidador é obrigatório para este fornecedor &quot;Acdw Gestao de Hoteis&quot;, porém não está preenchido! (ACC01)"/>
    <x v="0"/>
    <x v="6"/>
    <s v="Caractere invalido em campo gerencial"/>
    <x v="1"/>
    <s v="Qualidade dos dados"/>
    <s v="KONTIK BUSINESS TRAVEL"/>
    <x v="3"/>
  </r>
  <r>
    <n v="24533095"/>
    <n v="25354182"/>
    <s v="ACC01"/>
    <x v="20"/>
    <d v="2026-05-04T15:48:07"/>
    <x v="0"/>
    <x v="0"/>
    <s v="6FGIYY"/>
    <s v="TMS"/>
    <s v="GUILHERME JAYME"/>
    <s v="Tms"/>
    <s v="Tms"/>
    <d v="2026-05-04T11:45:00"/>
    <n v="119301"/>
    <s v="-"/>
    <s v="ON LINE"/>
    <s v="Pagamento direto"/>
    <s v="Pagamento direto"/>
    <x v="1"/>
    <s v="N"/>
    <x v="10"/>
    <s v="Ache Laboratorios Farmaceuticos Sa"/>
    <s v="-"/>
    <s v="Acdw Gestao de Hoteis"/>
    <s v="-"/>
    <x v="11"/>
    <s v="-"/>
    <x v="24"/>
    <n v="0"/>
    <n v="0"/>
    <n v="0"/>
    <n v="0"/>
    <n v="0"/>
    <n v="0"/>
    <s v="Reserva importada do Sistema TMS. OS: 119301"/>
    <s v="Consolidador é obrigatório para este fornecedor &quot;Acdw Gestao de Hoteis&quot;, porém não está preenchido! (ACC01)"/>
    <x v="0"/>
    <x v="6"/>
    <s v="Caractere invalido em campo gerencial"/>
    <x v="1"/>
    <s v="Qualidade dos dados"/>
    <s v="KONTIK BUSINESS TRAVEL"/>
    <x v="3"/>
  </r>
  <r>
    <n v="24493879"/>
    <n v="25305327"/>
    <s v="ACC01"/>
    <x v="21"/>
    <d v="2026-07-03T17:06:14"/>
    <x v="1"/>
    <x v="0"/>
    <s v="FXNPFRT"/>
    <s v="SABRE"/>
    <s v="SCHMIDT/SERGIO LUIS MR"/>
    <s v="WY"/>
    <s v="WY"/>
    <d v="2026-04-23T12:09:00"/>
    <s v="FXNPFR"/>
    <s v="-"/>
    <s v="ON LINE"/>
    <s v="Cartão de crédito"/>
    <s v="Cartão de crédito"/>
    <x v="1"/>
    <s v="N"/>
    <x v="11"/>
    <s v="Jti Processadora"/>
    <s v="-"/>
    <s v="Courtyard Aruba Resort"/>
    <s v="-"/>
    <x v="12"/>
    <s v="-"/>
    <x v="25"/>
    <n v="171.64"/>
    <n v="0"/>
    <n v="0"/>
    <n v="0"/>
    <n v="0"/>
    <n v="0"/>
    <s v="Reserva importada por HubTravel"/>
    <s v="Empenho/departamento não preenchido! (ACC01)"/>
    <x v="1"/>
    <x v="7"/>
    <s v="Falta de informação Gerencial"/>
    <x v="0"/>
    <s v="Qualidade dos dados"/>
    <s v="KONTIK BUSINESS TRAVEL"/>
    <x v="2"/>
  </r>
  <r>
    <n v="24714763"/>
    <n v="25553301"/>
    <s v="ACC01"/>
    <x v="22"/>
    <d v="2026-06-05T20:56:22"/>
    <x v="0"/>
    <x v="0"/>
    <s v="6LRNU9"/>
    <s v="TMS"/>
    <s v="LUCAS SILVA"/>
    <s v="Elivani Souza de Araujo Angi"/>
    <s v="Elivani Souza de Araujo Angi"/>
    <d v="2026-06-05T15:47:00"/>
    <n v="325193"/>
    <s v="Curacao, Antilhas Holandesas (CUR)"/>
    <s v="OFF LINE"/>
    <s v="Invoice"/>
    <s v="Faturado"/>
    <x v="2"/>
    <s v="N"/>
    <x v="12"/>
    <s v="Kpmg"/>
    <s v="-"/>
    <s v="-"/>
    <s v="-"/>
    <x v="13"/>
    <s v="-"/>
    <x v="26"/>
    <n v="0"/>
    <n v="0"/>
    <n v="0"/>
    <n v="0"/>
    <n v="0"/>
    <n v="0"/>
    <s v="Reserva importada do Sistema TMS. OS: 325193"/>
    <s v="Fornecedor não preenchido! (ACC01)"/>
    <x v="0"/>
    <x v="1"/>
    <s v="Campo Fornecedor"/>
    <x v="0"/>
    <s v="Qualidade dos dados"/>
    <s v="KONTIK BUSINESS TRAVEL"/>
    <x v="3"/>
  </r>
  <r>
    <n v="24714769"/>
    <n v="25553308"/>
    <s v="ACC01"/>
    <x v="23"/>
    <d v="2026-06-05T20:56:57"/>
    <x v="0"/>
    <x v="0"/>
    <s v="6LN979"/>
    <s v="TMS"/>
    <s v="IGOR SILVA"/>
    <s v="Tuane Cristina Alves de Oliveira"/>
    <s v="Tuane Cristina Alves de Oliveira"/>
    <d v="2026-06-05T16:00:00"/>
    <n v="324839"/>
    <s v="Pelotas / RS, Brasil (PET)"/>
    <s v="OFF LINE"/>
    <s v="Invoice"/>
    <s v="Faturado"/>
    <x v="2"/>
    <s v="N"/>
    <x v="12"/>
    <s v="Kpmg Consultoria"/>
    <s v="-"/>
    <s v="-"/>
    <s v="-"/>
    <x v="13"/>
    <s v="-"/>
    <x v="27"/>
    <n v="0"/>
    <n v="0"/>
    <n v="0"/>
    <n v="0"/>
    <n v="0"/>
    <n v="0"/>
    <s v="Reserva importada do Sistema TMS. OS: 324839"/>
    <s v="Fornecedor não preenchido! (ACC01)"/>
    <x v="0"/>
    <x v="1"/>
    <s v="Campo Fornecedor"/>
    <x v="0"/>
    <s v="Qualidade dos dados"/>
    <s v="KONTIK BUSINESS TRAVEL"/>
    <x v="3"/>
  </r>
  <r>
    <n v="24714784"/>
    <n v="25553324"/>
    <s v="ACC01"/>
    <x v="24"/>
    <d v="2026-06-05T21:05:27"/>
    <x v="0"/>
    <x v="0"/>
    <s v="6L2ZKO"/>
    <s v="TMS"/>
    <s v="EVERSON FERREIRA"/>
    <s v="BRUNO ALVARENGA MELONI"/>
    <s v="BRUNO ALVARENGA MELONI"/>
    <d v="2026-06-05T17:13:00"/>
    <n v="323713"/>
    <s v="Sao Gabriel / RS, Brasil (PFB)"/>
    <s v="OFF LINE"/>
    <s v="Invoice"/>
    <s v="Faturado"/>
    <x v="2"/>
    <s v="N"/>
    <x v="12"/>
    <s v="Kpmg Consultoria"/>
    <s v="-"/>
    <s v="-"/>
    <s v="-"/>
    <x v="13"/>
    <s v="-"/>
    <x v="28"/>
    <n v="0"/>
    <n v="0"/>
    <n v="0"/>
    <n v="0"/>
    <n v="0"/>
    <n v="0"/>
    <s v="Reserva importada do Sistema TMS. OS: 323713"/>
    <s v="Fornecedor não preenchido! (ACC01)"/>
    <x v="0"/>
    <x v="1"/>
    <s v="Campo Fornecedor"/>
    <x v="0"/>
    <s v="Qualidade dos dados"/>
    <s v="KONTIK BUSINESS TRAVEL"/>
    <x v="3"/>
  </r>
  <r>
    <n v="24706569"/>
    <n v="25545356"/>
    <s v="ACC01"/>
    <x v="25"/>
    <d v="2026-06-04T01:35:32"/>
    <x v="0"/>
    <x v="0"/>
    <s v="6LJ736"/>
    <s v="TMS"/>
    <s v="THAIS CARNEIRO"/>
    <s v="Tuane Cristina Alves de Oliveira"/>
    <s v="Tuane Cristina Alves de Oliveira"/>
    <d v="2026-06-03T22:46:00"/>
    <n v="324836"/>
    <s v="Pelotas / RS, Brasil (PET)"/>
    <s v="OFF LINE"/>
    <s v="Invoice"/>
    <s v="Faturado"/>
    <x v="2"/>
    <s v="N"/>
    <x v="12"/>
    <s v="Kpmg Consultoria"/>
    <s v="-"/>
    <s v="-"/>
    <s v="-"/>
    <x v="13"/>
    <s v="-"/>
    <x v="29"/>
    <n v="0"/>
    <n v="0"/>
    <n v="0"/>
    <n v="0"/>
    <n v="0"/>
    <n v="0"/>
    <s v="Reserva importada do Sistema TMS. OS: 324836"/>
    <s v="Fornecedor não preenchido! (ACC01)"/>
    <x v="0"/>
    <x v="1"/>
    <s v="Campo Fornecedor"/>
    <x v="0"/>
    <s v="Qualidade dos dados"/>
    <s v="KONTIK BUSINESS TRAVEL"/>
    <x v="3"/>
  </r>
  <r>
    <n v="24583451"/>
    <n v="25407581"/>
    <s v="ACC01"/>
    <x v="26"/>
    <d v="2026-05-13T00:21:57"/>
    <x v="0"/>
    <x v="0"/>
    <s v="6H7W4H"/>
    <s v="TMS"/>
    <s v="CAROLINA TEIXEIRA"/>
    <s v="Tuane Cristina Alves de Oliveira"/>
    <s v="Tuane Cristina Alves de Oliveira"/>
    <d v="2026-05-12T22:14:00"/>
    <n v="315773"/>
    <s v="Campo Mourão / PR, Brasil (CBW)"/>
    <s v="OFF LINE"/>
    <s v="Invoice"/>
    <s v="Faturado"/>
    <x v="2"/>
    <s v="N"/>
    <x v="12"/>
    <s v="Kpmg Consultoria"/>
    <s v="-"/>
    <s v="-"/>
    <s v="-"/>
    <x v="13"/>
    <s v="-"/>
    <x v="30"/>
    <n v="0"/>
    <n v="0"/>
    <n v="0"/>
    <n v="0"/>
    <n v="0"/>
    <n v="0"/>
    <s v="Reserva importada do Sistema TMS. OS: 315773"/>
    <s v="Fornecedor não preenchido! (ACC01)"/>
    <x v="0"/>
    <x v="1"/>
    <s v="Campo Fornecedor"/>
    <x v="0"/>
    <s v="Qualidade dos dados"/>
    <s v="KONTIK BUSINESS TRAVEL"/>
    <x v="3"/>
  </r>
  <r>
    <n v="24583453"/>
    <n v="25407583"/>
    <s v="ACC01"/>
    <x v="27"/>
    <d v="2026-05-13T00:21:57"/>
    <x v="0"/>
    <x v="0"/>
    <s v="6HM3VY"/>
    <s v="TMS"/>
    <s v="MARCOS OLIVEIRA"/>
    <s v="Tuane Cristina Alves de Oliveira"/>
    <s v="Tuane Cristina Alves de Oliveira"/>
    <d v="2026-05-12T22:34:00"/>
    <n v="315759"/>
    <s v="Querencia / MT, Brasil"/>
    <s v="OFF LINE"/>
    <s v="Invoice"/>
    <s v="Faturado"/>
    <x v="2"/>
    <s v="N"/>
    <x v="12"/>
    <s v="Kpmg Consultoria"/>
    <s v="-"/>
    <s v="-"/>
    <s v="-"/>
    <x v="13"/>
    <s v="-"/>
    <x v="31"/>
    <n v="0"/>
    <n v="0"/>
    <n v="0"/>
    <n v="0"/>
    <n v="0"/>
    <n v="0"/>
    <s v="Reserva importada do Sistema TMS. OS: 315759"/>
    <s v="Fornecedor não preenchido! (ACC01)"/>
    <x v="0"/>
    <x v="1"/>
    <s v="Campo Fornecedor"/>
    <x v="0"/>
    <s v="Qualidade dos dados"/>
    <s v="KONTIK BUSINESS TRAVEL"/>
    <x v="3"/>
  </r>
  <r>
    <n v="24668983"/>
    <n v="25504725"/>
    <s v="ACC02"/>
    <x v="28"/>
    <d v="2026-06-01T17:13:17"/>
    <x v="0"/>
    <x v="0"/>
    <s v="GJZNZCT"/>
    <s v="SABRE"/>
    <s v="MORENO/FABIO CAMPOS MR"/>
    <s v="MARIA CECILIA PEREIRA SILVA"/>
    <s v="MARIA CECILIA PEREIRA SILVA"/>
    <d v="2026-05-29T07:59:00"/>
    <s v="GJZNZC"/>
    <s v="-"/>
    <s v="ON LINE"/>
    <s v="Cartão de crédito"/>
    <s v="Cartão de crédito"/>
    <x v="1"/>
    <s v="N"/>
    <x v="1"/>
    <s v="Honeywell"/>
    <s v="Cliente FEE no POS"/>
    <s v="-"/>
    <s v="-"/>
    <x v="1"/>
    <s v="-"/>
    <x v="32"/>
    <n v="34.619999999999997"/>
    <n v="0"/>
    <n v="0"/>
    <n v="0"/>
    <n v="0"/>
    <n v="0"/>
    <s v="Reserva importada por HubTravel"/>
    <s v="Fornecedor não preenchido! (ACC02)"/>
    <x v="1"/>
    <x v="1"/>
    <s v="Campo Fornecedor"/>
    <x v="0"/>
    <s v="Qualidade dos dados"/>
    <s v="KONTIK BUSINESS TRAVEL"/>
    <x v="2"/>
  </r>
  <r>
    <n v="24713006"/>
    <n v="25551262"/>
    <s v="ACC01"/>
    <x v="29"/>
    <d v="2026-07-06T06:50:24"/>
    <x v="2"/>
    <x v="0"/>
    <s v="AYSESM"/>
    <s v="TMS"/>
    <s v="MICHAEL FERMOSELLES FANTI"/>
    <s v="Tms"/>
    <s v="Tms"/>
    <d v="2026-06-05T08:46:00"/>
    <n v="149403"/>
    <s v="-"/>
    <s v="ON LINE"/>
    <s v="Cartão de crédito"/>
    <s v="Cartão AMEX"/>
    <x v="0"/>
    <s v="N"/>
    <x v="9"/>
    <s v="Claro Sao Paulo (santo Amaro)"/>
    <s v="-"/>
    <s v="Gol Linhas Aereas"/>
    <n v="2305290931"/>
    <x v="10"/>
    <s v="-"/>
    <x v="33"/>
    <n v="124.76"/>
    <n v="0"/>
    <n v="0"/>
    <n v="0"/>
    <n v="0"/>
    <n v="0"/>
    <s v="Reserva importada do Sistema TMS. OS: 149403"/>
    <s v="Erro não localizado"/>
    <x v="0"/>
    <x v="8"/>
    <s v="Análise Benner"/>
    <x v="2"/>
    <s v="Qualidade dos dados"/>
    <s v="KONTIK BUSINESS TRAVEL"/>
    <x v="3"/>
  </r>
  <r>
    <n v="24713008"/>
    <n v="25551264"/>
    <s v="ACC01"/>
    <x v="30"/>
    <d v="2026-07-06T06:50:25"/>
    <x v="2"/>
    <x v="0"/>
    <s v="UJKVZO"/>
    <s v="TMS"/>
    <s v="CAIO SANTOS"/>
    <s v="Tms"/>
    <s v="Tms"/>
    <d v="2026-06-05T08:41:00"/>
    <n v="149394"/>
    <s v="-"/>
    <s v="ON LINE"/>
    <s v="Cartão de crédito"/>
    <s v="Cartão AMEX"/>
    <x v="0"/>
    <s v="N"/>
    <x v="9"/>
    <s v="Claro Sao Paulo (santo Amaro)"/>
    <s v="-"/>
    <s v="Gol Linhas Aereas"/>
    <n v="2305290301"/>
    <x v="10"/>
    <s v="-"/>
    <x v="34"/>
    <n v="124.76"/>
    <n v="0"/>
    <n v="0"/>
    <n v="0"/>
    <n v="0"/>
    <n v="0"/>
    <s v="Reserva importada do Sistema TMS. OS: 149394"/>
    <s v="Erro não localizado"/>
    <x v="0"/>
    <x v="8"/>
    <s v="Análise Benner"/>
    <x v="2"/>
    <s v="Qualidade dos dados"/>
    <s v="KONTIK BUSINESS TRAVEL"/>
    <x v="3"/>
  </r>
  <r>
    <n v="24717148"/>
    <n v="25555303"/>
    <s v="ACC01"/>
    <x v="31"/>
    <d v="2026-07-03T17:10:28"/>
    <x v="1"/>
    <x v="1"/>
    <s v="HRDVNH"/>
    <s v="SABRE"/>
    <s v="HILARIO/RENATA"/>
    <s v="VANESSA ARAUJO ALVES"/>
    <s v="VANESSA ARAUJO ALVES"/>
    <d v="2026-06-05T15:15:00"/>
    <s v="HPMECX"/>
    <s v="-"/>
    <s v="ON LINE"/>
    <s v="Invoice"/>
    <s v="Faturado"/>
    <x v="0"/>
    <s v="N"/>
    <x v="13"/>
    <s v="Freight Logistics International do Brasil Ltda - Inativo"/>
    <s v="-"/>
    <s v="Gol Linhas Aereas"/>
    <n v="2305320078"/>
    <x v="14"/>
    <s v="-"/>
    <x v="35"/>
    <n v="62.14"/>
    <n v="0"/>
    <n v="0"/>
    <n v="0"/>
    <n v="0"/>
    <n v="0"/>
    <s v="Reserva importada por HubTravel"/>
    <s v="Necessário cadastrar um contrato para o cliente &quot;&quot;"/>
    <x v="1"/>
    <x v="9"/>
    <s v="Análise Cadastro"/>
    <x v="0"/>
    <s v="Qualidade dos dados"/>
    <s v="KONTIK BUSINESS TRAVEL"/>
    <x v="4"/>
  </r>
  <r>
    <n v="24593378"/>
    <n v="25418491"/>
    <s v="ACC01"/>
    <x v="32"/>
    <d v="2026-05-14T13:35:31"/>
    <x v="0"/>
    <x v="0"/>
    <s v="DPADCR"/>
    <s v="TMS"/>
    <s v="WILLIAM NEVER"/>
    <s v="Tms"/>
    <s v="Tms"/>
    <d v="2026-05-14T11:31:00"/>
    <n v="4210"/>
    <s v="-"/>
    <s v="ON LINE"/>
    <s v="Outros"/>
    <s v="Cartão convênio"/>
    <x v="0"/>
    <s v="N"/>
    <x v="14"/>
    <s v="Orizon"/>
    <s v="-"/>
    <s v="Latam Airlines Brasil"/>
    <n v="2286719971"/>
    <x v="15"/>
    <s v="-"/>
    <x v="36"/>
    <n v="33.64"/>
    <n v="0"/>
    <n v="0"/>
    <n v="0"/>
    <n v="0"/>
    <n v="0"/>
    <s v="Reserva importada do Sistema TMS. OS: 4210"/>
    <s v="Matrícula não preenchida! (ACC01)"/>
    <x v="0"/>
    <x v="4"/>
    <s v="Falta de informação Gerencial"/>
    <x v="0"/>
    <s v="Qualidade dos dados"/>
    <s v="GRUPO KONTIK"/>
    <x v="0"/>
  </r>
  <r>
    <n v="24599612"/>
    <n v="25425648"/>
    <s v="ACC01"/>
    <x v="33"/>
    <d v="2026-07-03T17:10:26"/>
    <x v="1"/>
    <x v="0"/>
    <s v="QEGSTH"/>
    <s v="SABRE"/>
    <s v="AMPUDIA/GIULIANNO"/>
    <s v="Wellington Ribeiro da Silva"/>
    <s v="Lila Beatriz Medeiros"/>
    <d v="2026-03-02T13:15:00"/>
    <s v="QEGSTH"/>
    <s v="-"/>
    <s v="OFF LINE"/>
    <s v="Cartão de crédito"/>
    <s v="Cartão AMEX"/>
    <x v="0"/>
    <s v="N"/>
    <x v="15"/>
    <s v="Cap1 - Planta Campinas Bosch - 9080"/>
    <s v="Cliente FEE no POS"/>
    <s v="Latam Airlines Brasil"/>
    <n v="9751493047"/>
    <x v="16"/>
    <s v="-"/>
    <x v="8"/>
    <n v="0"/>
    <n v="0"/>
    <n v="0"/>
    <n v="0"/>
    <n v="0"/>
    <n v="21.9"/>
    <s v="Reserva importada por HubTravel"/>
    <s v="Tarifa mínima não preenchida! (ACC01)"/>
    <x v="1"/>
    <x v="10"/>
    <s v="Falta de informação Gerencial"/>
    <x v="0"/>
    <s v="Qualidade dos dados"/>
    <s v="GRUPO KONTIK"/>
    <x v="0"/>
  </r>
  <r>
    <n v="24696661"/>
    <n v="25540976"/>
    <s v="ACC02"/>
    <x v="34"/>
    <d v="2026-07-03T17:10:27"/>
    <x v="1"/>
    <x v="0"/>
    <s v="UPBZIK"/>
    <s v="SABRE"/>
    <s v="GOMES DE OLIVEIRA JUNIOR/ADAL"/>
    <s v="DS"/>
    <s v="WY"/>
    <d v="2026-06-02T13:34:00"/>
    <s v="UPBZIK"/>
    <s v="-"/>
    <s v="ON LINE"/>
    <s v="Invoice"/>
    <s v="Faturado"/>
    <x v="0"/>
    <s v="N"/>
    <x v="15"/>
    <s v="Bosch Home Comfort do Brasil Ltda"/>
    <s v="-"/>
    <s v="Latam Airlines Brasil"/>
    <n v="2615507914"/>
    <x v="16"/>
    <s v="-"/>
    <x v="37"/>
    <n v="88.81"/>
    <n v="0"/>
    <n v="0"/>
    <n v="88.81"/>
    <n v="0"/>
    <n v="0"/>
    <s v="Reserva importada por HubTravel"/>
    <s v="Matrícula não preenchida! (ACC02)"/>
    <x v="1"/>
    <x v="4"/>
    <s v="Falta de informação Gerencial"/>
    <x v="0"/>
    <s v="Qualidade dos dados"/>
    <s v="KONTIK BUSINESS TRAVEL"/>
    <x v="2"/>
  </r>
  <r>
    <n v="24626620"/>
    <n v="25455982"/>
    <s v="ACC01"/>
    <x v="35"/>
    <d v="2026-06-11T15:00:58"/>
    <x v="3"/>
    <x v="0"/>
    <s v="CWKUYJ-1"/>
    <s v="MANUAL"/>
    <s v="FLAVIA DA SILVA"/>
    <s v="Tms"/>
    <s v="Tms"/>
    <d v="2026-05-04T15:02:00"/>
    <n v="6777"/>
    <s v="-"/>
    <s v="OFF LINE"/>
    <s v="Cartão de crédito"/>
    <s v="Faturado"/>
    <x v="0"/>
    <s v="S"/>
    <x v="2"/>
    <s v="Track e Field Co Sa Matriz"/>
    <s v="-"/>
    <s v="Latam Airlines Brasil"/>
    <n v="8800001828"/>
    <x v="2"/>
    <s v="-"/>
    <x v="8"/>
    <n v="0"/>
    <n v="62.9"/>
    <n v="0"/>
    <n v="0"/>
    <n v="0"/>
    <n v="0"/>
    <s v="Reserva importada do Sistema TMS. OS: 6777"/>
    <s v="Problema ocorrido ao cancelar o documento: Problema ao contabilizar o cancelamento:  Não é possível efetuar esta contabilização!  Societário Débitos: "/>
    <x v="2"/>
    <x v="8"/>
    <s v="Análise Benner"/>
    <x v="2"/>
    <s v="Qualidade dos dados"/>
    <s v="KONTIK BUSINESS TRAVEL"/>
    <x v="3"/>
  </r>
  <r>
    <n v="24612982"/>
    <n v="25441457"/>
    <s v="ACC01"/>
    <x v="36"/>
    <d v="2026-07-03T17:10:26"/>
    <x v="1"/>
    <x v="0"/>
    <s v="IMPGKK"/>
    <s v="SABRE"/>
    <s v="DA SILVA/MESSIAS EDUARDO"/>
    <s v="V7"/>
    <s v="Raquel Ribeiro Pinto Villarreal"/>
    <d v="2026-05-15T15:38:00"/>
    <s v="IMPGKK"/>
    <s v="-"/>
    <s v="ON LINE"/>
    <s v="Cartão de crédito"/>
    <s v="Cartão AMEX"/>
    <x v="0"/>
    <s v="S"/>
    <x v="16"/>
    <s v="Livanova Brasil"/>
    <s v="-"/>
    <s v="Latam Airlines Brasil"/>
    <s v="-"/>
    <x v="3"/>
    <s v="-"/>
    <x v="38"/>
    <n v="64.56"/>
    <n v="229.99"/>
    <n v="0"/>
    <n v="0"/>
    <n v="0"/>
    <n v="0"/>
    <s v="Reserva importada por HubTravel"/>
    <s v="Matrícula não preenchida! (ACC01)"/>
    <x v="1"/>
    <x v="4"/>
    <s v="Falta de informação Gerencial"/>
    <x v="0"/>
    <s v="Qualidade dos dados"/>
    <s v="KONTIK BUSINESS TRAVEL"/>
    <x v="2"/>
  </r>
  <r>
    <n v="24587408"/>
    <n v="25411692"/>
    <s v="ACC01"/>
    <x v="37"/>
    <d v="2026-07-03T17:06:14"/>
    <x v="1"/>
    <x v="0"/>
    <s v="OGOGNPT"/>
    <s v="SABRE"/>
    <s v="MORAES/MARCOS  MR"/>
    <s v="VANESSA ARAUJO ALVES"/>
    <s v="VANESSA ARAUJO ALVES"/>
    <d v="2026-05-13T13:25:00"/>
    <s v="OGOGNP"/>
    <s v="-"/>
    <s v="OFF LINE"/>
    <s v="Invoice"/>
    <s v="Faturado"/>
    <x v="1"/>
    <s v="N"/>
    <x v="7"/>
    <s v="Weir do Brasil Ltda"/>
    <s v="-"/>
    <s v="Ilheus Praia Hotel"/>
    <s v="-"/>
    <x v="7"/>
    <s v="-"/>
    <x v="39"/>
    <n v="0"/>
    <n v="0"/>
    <n v="0"/>
    <n v="0"/>
    <n v="0"/>
    <n v="0"/>
    <s v="Reserva importada por HubTravel"/>
    <s v="Empenho/departamento não preenchido! (ACC01) Matrícula não preenchida! (ACC01)"/>
    <x v="1"/>
    <x v="5"/>
    <s v="Falta de informação Gerencial"/>
    <x v="0"/>
    <s v="Qualidade dos dados"/>
    <s v="KONTIK BUSINESS TRAVEL"/>
    <x v="2"/>
  </r>
  <r>
    <n v="24659877"/>
    <n v="25493953"/>
    <s v="ACC01"/>
    <x v="38"/>
    <d v="2026-07-03T17:06:15"/>
    <x v="1"/>
    <x v="0"/>
    <s v="QOYOBYT"/>
    <s v="SABRE"/>
    <s v="SOUTO/MARCIO"/>
    <s v="VANESSA ARAUJO ALVES"/>
    <s v="VANESSA ARAUJO ALVES"/>
    <d v="2026-05-27T08:37:00"/>
    <s v="QOYOBY"/>
    <s v="-"/>
    <s v="OFF LINE"/>
    <s v="Invoice"/>
    <s v="Faturado"/>
    <x v="1"/>
    <s v="N"/>
    <x v="17"/>
    <s v="Iron Mountain"/>
    <s v="-"/>
    <s v="Rigo Hotel Santa Rosa"/>
    <s v="-"/>
    <x v="17"/>
    <s v="-"/>
    <x v="40"/>
    <n v="0"/>
    <n v="0"/>
    <n v="0"/>
    <n v="0"/>
    <n v="0"/>
    <n v="0"/>
    <s v="Reserva importada por HubTravel"/>
    <s v="Matrícula não preenchida! (ACC01)"/>
    <x v="1"/>
    <x v="4"/>
    <s v="Falta de informação Gerencial"/>
    <x v="0"/>
    <s v="Qualidade dos dados"/>
    <s v="KONTIK BUSINESS TRAVEL"/>
    <x v="2"/>
  </r>
  <r>
    <n v="24718971"/>
    <n v="25556998"/>
    <s v="ACC01"/>
    <x v="39"/>
    <d v="2026-07-03T17:06:15"/>
    <x v="1"/>
    <x v="1"/>
    <s v="OREBFZC"/>
    <s v="SABRE"/>
    <s v="MOURA/JONNI"/>
    <s v="Andreia de Alencar Alves"/>
    <s v="Andreia de Alencar Alves"/>
    <d v="2026-06-06T17:44:00"/>
    <s v="OREBFZ"/>
    <s v="BEL"/>
    <s v="OFF LINE"/>
    <s v="Pagamento direto"/>
    <s v="Faturado"/>
    <x v="2"/>
    <s v="N"/>
    <x v="1"/>
    <s v="Honeywell"/>
    <s v="Cliente FEE no POS"/>
    <s v="Localiza - Br - Pa - Belem - Val de Canf"/>
    <s v="-"/>
    <x v="18"/>
    <s v="-"/>
    <x v="41"/>
    <n v="787.53"/>
    <n v="0"/>
    <n v="0"/>
    <n v="0"/>
    <n v="0"/>
    <n v="0"/>
    <s v="Reserva importada por HubTravel"/>
    <s v="Este cliente não possui permissão para usar este tipo de pagamento e recebimento para este produto."/>
    <x v="1"/>
    <x v="2"/>
    <s v="Forma PG. e REC."/>
    <x v="0"/>
    <s v="Sistêmico"/>
    <s v="GRUPO KONTIK"/>
    <x v="1"/>
  </r>
  <r>
    <n v="24731930"/>
    <n v="25569446"/>
    <s v="ACC01"/>
    <x v="40"/>
    <d v="2026-07-03T17:06:15"/>
    <x v="1"/>
    <x v="1"/>
    <s v="AWBSNCT"/>
    <s v="SABRE"/>
    <s v="RODRIGUES/ANDRE PAES MR"/>
    <s v="VANESSA ARAUJO ALVES"/>
    <s v="VANESSA ARAUJO ALVES"/>
    <d v="2026-06-08T15:17:00"/>
    <s v="AWBSNC"/>
    <s v="-"/>
    <s v="ON LINE"/>
    <s v="Invoice"/>
    <s v="Faturado"/>
    <x v="1"/>
    <s v="N"/>
    <x v="3"/>
    <s v="Innomotics Motores e Grandes Conversores Ltda"/>
    <s v="-"/>
    <s v="Hotel Palmares -  Para"/>
    <s v="-"/>
    <x v="3"/>
    <s v="-"/>
    <x v="42"/>
    <n v="0"/>
    <n v="0"/>
    <n v="0"/>
    <n v="0"/>
    <n v="0"/>
    <n v="0"/>
    <s v="Reserva importada por HubTravel"/>
    <s v="Matrícula não preenchida! (ACC01)"/>
    <x v="1"/>
    <x v="4"/>
    <s v="Falta de informação Gerencial"/>
    <x v="0"/>
    <s v="Qualidade dos dados"/>
    <s v="KONTIK BUSINESS TRAVEL"/>
    <x v="2"/>
  </r>
  <r>
    <n v="24646482"/>
    <n v="25478485"/>
    <s v="ACC01"/>
    <x v="41"/>
    <d v="2026-06-01T18:01:18"/>
    <x v="0"/>
    <x v="0"/>
    <s v="AWMQ2K"/>
    <s v="MANUAL"/>
    <s v="DOUGLAS SANTANA SANTOS"/>
    <s v="RAYSSA MARTINS FERREIRA"/>
    <s v="Alexander Perez Alves"/>
    <d v="2026-05-04T15:24:00"/>
    <n v="4693437"/>
    <s v="-"/>
    <s v="OFF LINE"/>
    <s v="Invoice"/>
    <s v="Cartão convênio"/>
    <x v="0"/>
    <s v="S"/>
    <x v="18"/>
    <s v="Aspen Pharma"/>
    <s v="-"/>
    <s v="Azul Linhas Aereas"/>
    <n v="3025478510"/>
    <x v="19"/>
    <s v="-"/>
    <x v="43"/>
    <n v="48.63"/>
    <n v="0"/>
    <n v="0"/>
    <n v="0"/>
    <n v="0"/>
    <n v="0"/>
    <s v="Reserva importada do sistema Gover. Id: 4693437"/>
    <s v="Matrícula não preenchida! (ACC02)"/>
    <x v="2"/>
    <x v="4"/>
    <s v="Falta de informação Gerencial"/>
    <x v="0"/>
    <s v="Qualidade dos dados"/>
    <s v="GRUPO KONTIK"/>
    <x v="0"/>
  </r>
  <r>
    <n v="24646482"/>
    <n v="25526733"/>
    <s v="ACC02"/>
    <x v="41"/>
    <d v="2026-06-01T18:01:18"/>
    <x v="0"/>
    <x v="0"/>
    <s v="AWMQ2K"/>
    <s v="MANUAL"/>
    <s v="Douglas Santana Santos"/>
    <s v="RAYSSA MARTINS FERREIRA"/>
    <s v="Alexander Perez Alves"/>
    <d v="2026-05-04T15:24:00"/>
    <n v="4693437"/>
    <s v="-"/>
    <s v="OFF LINE"/>
    <s v="Cartão de crédito"/>
    <s v="Cartão de crédito"/>
    <x v="0"/>
    <s v="N"/>
    <x v="18"/>
    <s v="Aspen Pharma"/>
    <s v="-"/>
    <s v="Azul Linhas Aereas"/>
    <n v="3025526731"/>
    <x v="19"/>
    <s v="-"/>
    <x v="44"/>
    <n v="48.63"/>
    <n v="0"/>
    <n v="0"/>
    <n v="0"/>
    <n v="0"/>
    <n v="0"/>
    <s v="Reserva importada do sistema Gover. Id: 4693437"/>
    <s v="Matrícula não preenchida! (ACC02)"/>
    <x v="2"/>
    <x v="4"/>
    <s v="Falta de informação Gerencial"/>
    <x v="0"/>
    <s v="Qualidade dos dados"/>
    <s v="GRUPO KONTIK"/>
    <x v="0"/>
  </r>
  <r>
    <n v="24732536"/>
    <n v="25570071"/>
    <s v="ACC01"/>
    <x v="42"/>
    <d v="2026-07-03T17:10:29"/>
    <x v="1"/>
    <x v="1"/>
    <s v="FQIUZV"/>
    <s v="SABRE"/>
    <s v="RAMOS PAIVA/LEONARDO"/>
    <s v="VITOR TEICHMANN"/>
    <s v="VITOR TEICHMANN"/>
    <d v="2026-06-09T08:57:00"/>
    <s v="FQIUZV_1"/>
    <s v="-"/>
    <s v="ON LINE"/>
    <s v="Cartão de crédito"/>
    <s v="Cartão de crédito"/>
    <x v="0"/>
    <s v="N"/>
    <x v="8"/>
    <s v="Nielseniq do Brasil"/>
    <s v="Cliente FEE no POS"/>
    <s v="Azul Linhas Aereas"/>
    <n v="7700089417"/>
    <x v="8"/>
    <s v="-"/>
    <x v="8"/>
    <n v="0"/>
    <n v="0"/>
    <n v="0"/>
    <n v="0"/>
    <n v="0"/>
    <n v="36.700000000000003"/>
    <s v="Reserva importada por HubTravel"/>
    <s v="Tarifa mínima não preenchida! (ACC01)"/>
    <x v="1"/>
    <x v="10"/>
    <s v="Falta de informação Gerencial"/>
    <x v="0"/>
    <s v="Qualidade dos dados"/>
    <s v="KONTIK BUSINESS TRAVEL"/>
    <x v="2"/>
  </r>
  <r>
    <n v="24724740"/>
    <n v="25561996"/>
    <s v="ACC01"/>
    <x v="43"/>
    <d v="2026-06-08T13:05:59"/>
    <x v="3"/>
    <x v="1"/>
    <s v="6M6I5D"/>
    <s v="MANUAL"/>
    <s v="LUIZ PAULO HITOSHI HIMENO"/>
    <s v="Juliana dos Santos Pinto"/>
    <s v="Juliana dos Santos Pinto"/>
    <d v="2025-12-18T10:56:00"/>
    <n v="4639544"/>
    <s v="-"/>
    <s v="OFF LINE"/>
    <s v="Invoice"/>
    <s v="Cartão convênio"/>
    <x v="0"/>
    <s v="S"/>
    <x v="19"/>
    <s v="Energisa Rondonia - Distribuidora de Energia S.a."/>
    <s v="-"/>
    <s v="Azul Linhas Aereas"/>
    <n v="3025562072"/>
    <x v="20"/>
    <s v="-"/>
    <x v="45"/>
    <n v="0"/>
    <n v="0"/>
    <n v="0"/>
    <n v="0"/>
    <n v="0"/>
    <n v="0"/>
    <s v="Reserva importada do sistema Gover. Id: 4639544"/>
    <s v="Validação do documento: Documento está dentro de um período financeiro já fechado!"/>
    <x v="2"/>
    <x v="11"/>
    <s v="Financeiro Conciliado"/>
    <x v="1"/>
    <s v="Qualidade dos dados"/>
    <s v="GRUPO KONTIK"/>
    <x v="0"/>
  </r>
  <r>
    <n v="24724740"/>
    <n v="25561997"/>
    <s v="ACC02"/>
    <x v="43"/>
    <d v="2026-06-08T13:05:59"/>
    <x v="3"/>
    <x v="1"/>
    <s v="6M6I5D"/>
    <s v="MANUAL"/>
    <s v="GABRIEL TAKESHI ARAKAKI HIMENO"/>
    <s v="Juliana dos Santos Pinto"/>
    <s v="Juliana dos Santos Pinto"/>
    <d v="2025-12-18T10:56:00"/>
    <n v="4639544"/>
    <s v="-"/>
    <s v="OFF LINE"/>
    <s v="Invoice"/>
    <s v="Cartão convênio"/>
    <x v="0"/>
    <s v="S"/>
    <x v="19"/>
    <s v="Energisa Rondonia - Distribuidora de Energia S.a."/>
    <s v="-"/>
    <s v="Azul Linhas Aereas"/>
    <n v="3024425518"/>
    <x v="20"/>
    <s v="-"/>
    <x v="45"/>
    <n v="0"/>
    <n v="0"/>
    <n v="0"/>
    <n v="0"/>
    <n v="0"/>
    <n v="0"/>
    <s v="Reserva importada do sistema Gover. Id: 4639544"/>
    <s v="Validação do documento: Documento está dentro de um período financeiro já fechado!"/>
    <x v="2"/>
    <x v="11"/>
    <s v="Financeiro Conciliado"/>
    <x v="1"/>
    <s v="Qualidade dos dados"/>
    <s v="GRUPO KONTIK"/>
    <x v="0"/>
  </r>
  <r>
    <n v="24724740"/>
    <n v="25561998"/>
    <s v="ACC03"/>
    <x v="43"/>
    <d v="2026-06-08T13:05:59"/>
    <x v="3"/>
    <x v="1"/>
    <s v="6M6I5D"/>
    <s v="MANUAL"/>
    <s v="DANIELA YURI ARAKAKI"/>
    <s v="Juliana dos Santos Pinto"/>
    <s v="Juliana dos Santos Pinto"/>
    <d v="2025-12-18T10:56:00"/>
    <n v="4639544"/>
    <s v="-"/>
    <s v="OFF LINE"/>
    <s v="Invoice"/>
    <s v="Cartão convênio"/>
    <x v="0"/>
    <s v="S"/>
    <x v="19"/>
    <s v="Energisa Rondonia - Distribuidora de Energia S.a."/>
    <s v="-"/>
    <s v="Azul Linhas Aereas"/>
    <n v="3024425519"/>
    <x v="20"/>
    <s v="-"/>
    <x v="45"/>
    <n v="0"/>
    <n v="0"/>
    <n v="0"/>
    <n v="0"/>
    <n v="0"/>
    <n v="0"/>
    <s v="Reserva importada do sistema Gover. Id: 4639544"/>
    <s v="Validação do documento: Documento está dentro de um período financeiro já fechado!"/>
    <x v="2"/>
    <x v="11"/>
    <s v="Financeiro Conciliado"/>
    <x v="1"/>
    <s v="Qualidade dos dados"/>
    <s v="GRUPO KONTIK"/>
    <x v="0"/>
  </r>
  <r>
    <n v="24724740"/>
    <n v="25561999"/>
    <s v="ACC04"/>
    <x v="43"/>
    <d v="2026-06-08T13:05:59"/>
    <x v="3"/>
    <x v="1"/>
    <s v="6M6I5D"/>
    <s v="MANUAL"/>
    <s v="LARISSA NATSUMI ARAKAKI HIMENO"/>
    <s v="Juliana dos Santos Pinto"/>
    <s v="Juliana dos Santos Pinto"/>
    <d v="2025-12-18T10:56:00"/>
    <n v="4639544"/>
    <s v="-"/>
    <s v="OFF LINE"/>
    <s v="Invoice"/>
    <s v="Cartão convênio"/>
    <x v="0"/>
    <s v="S"/>
    <x v="19"/>
    <s v="Energisa Rondonia - Distribuidora de Energia S.a."/>
    <s v="-"/>
    <s v="Azul Linhas Aereas"/>
    <n v="3024425520"/>
    <x v="20"/>
    <s v="-"/>
    <x v="45"/>
    <n v="0"/>
    <n v="0"/>
    <n v="0"/>
    <n v="0"/>
    <n v="0"/>
    <n v="0"/>
    <s v="Reserva importada do sistema Gover. Id: 4639544"/>
    <s v="Validação do documento: Documento está dentro de um período financeiro já fechado!"/>
    <x v="2"/>
    <x v="11"/>
    <s v="Financeiro Conciliado"/>
    <x v="1"/>
    <s v="Qualidade dos dados"/>
    <s v="GRUPO KONTIK"/>
    <x v="0"/>
  </r>
  <r>
    <n v="24658999"/>
    <n v="25492925"/>
    <s v="ACC01"/>
    <x v="44"/>
    <d v="2026-06-24T10:01:20"/>
    <x v="4"/>
    <x v="0"/>
    <s v="6J95LH"/>
    <s v="MANUAL"/>
    <s v="ANDREA CRISTINA MOREIRA ABREU DE PAULA"/>
    <s v="Patricia Pinato Ferreira Lima"/>
    <s v="Patricia Pinato Ferreira Lima"/>
    <d v="2026-05-26T22:21:00"/>
    <s v="-"/>
    <s v="-"/>
    <s v="OFF LINE"/>
    <s v="Cartão de crédito"/>
    <s v="Cartão de crédito"/>
    <x v="0"/>
    <s v="N"/>
    <x v="20"/>
    <s v="Vendas Lazer - Pessoa Fisica"/>
    <s v="-"/>
    <s v="Tap Air Portugal"/>
    <n v="2615164148"/>
    <x v="18"/>
    <s v="-"/>
    <x v="46"/>
    <n v="1471.95"/>
    <n v="0"/>
    <n v="0"/>
    <n v="0"/>
    <n v="0"/>
    <n v="0"/>
    <s v="atendimento emergencial tkt 1276204"/>
    <s v="Erro excluindo PNR: Ocorrência no método TBSistemaWrapper.MyException. Mensagem: Exclusão cancelada devido a vínculo(s) com registros(s) da "/>
    <x v="2"/>
    <x v="12"/>
    <s v="Falha de Integração"/>
    <x v="2"/>
    <s v="Sistêmico"/>
    <s v="KONTIK BUSINESS TRAVEL"/>
    <x v="3"/>
  </r>
  <r>
    <n v="24666060"/>
    <n v="25501310"/>
    <s v="ACC01"/>
    <x v="45"/>
    <d v="2026-07-03T17:10:27"/>
    <x v="1"/>
    <x v="0"/>
    <s v="SNFXYX"/>
    <s v="SABRE"/>
    <s v="MITRE/MARCOS PEDROSA"/>
    <s v="5I"/>
    <s v="VITOR TEICHMANN"/>
    <d v="2026-05-27T13:26:00"/>
    <s v="SNFXYX"/>
    <s v="-"/>
    <s v="ON LINE"/>
    <s v="Cartão de crédito"/>
    <s v="Cartão de crédito"/>
    <x v="0"/>
    <s v="N"/>
    <x v="21"/>
    <s v="Axa Cs - Inativo"/>
    <s v="Cliente FEE no POS"/>
    <s v="Air Canada"/>
    <n v="2615424878"/>
    <x v="21"/>
    <s v="-"/>
    <x v="47"/>
    <n v="64.56"/>
    <n v="349.3"/>
    <n v="0"/>
    <n v="64.56"/>
    <n v="0"/>
    <n v="21"/>
    <s v="Reserva importada por HubTravel"/>
    <s v="Empenho/departamento não preenchido! (ACC01)"/>
    <x v="1"/>
    <x v="7"/>
    <s v="Falta de informação Gerencial"/>
    <x v="0"/>
    <s v="Qualidade dos dados"/>
    <s v="KONTIK BUSINESS TRAVEL"/>
    <x v="2"/>
  </r>
  <r>
    <n v="24693392"/>
    <n v="25532306"/>
    <s v="ACC01"/>
    <x v="46"/>
    <d v="2026-06-02T11:55:52"/>
    <x v="0"/>
    <x v="0"/>
    <s v="6L59R0"/>
    <s v="MANUAL"/>
    <s v="RAMIREZ/LUIS ESTEBAN"/>
    <s v="5I"/>
    <s v="Clayton Alves de Rezende"/>
    <d v="2026-05-29T09:35:00"/>
    <s v="OFFLINE"/>
    <s v="-"/>
    <s v="OFF LINE"/>
    <s v="Pagamento direto"/>
    <s v="Pagamento direto"/>
    <x v="1"/>
    <s v="N"/>
    <x v="21"/>
    <s v="Axa Xl Resseguros Sa"/>
    <s v="Cliente FEE no POS"/>
    <s v="Movich Hotel Las Lomas"/>
    <s v="-"/>
    <x v="21"/>
    <s v="-"/>
    <x v="48"/>
    <n v="1131.81"/>
    <n v="0"/>
    <n v="0"/>
    <n v="0"/>
    <n v="0"/>
    <n v="0"/>
    <s v="Reserva importada por HubTravel"/>
    <s v="Este cliente não possui permissão para usar este tipo de pagamento e recebimento para este produto."/>
    <x v="2"/>
    <x v="2"/>
    <s v="Forma PG. e REC."/>
    <x v="0"/>
    <s v="Qualidade dos dados"/>
    <s v="GRUPO KONTIK"/>
    <x v="0"/>
  </r>
  <r>
    <n v="24625588"/>
    <n v="25454872"/>
    <s v="ACC01"/>
    <x v="47"/>
    <d v="2026-05-20T15:41:57"/>
    <x v="0"/>
    <x v="0"/>
    <s v="6II3B9"/>
    <s v="TMS"/>
    <s v="AUGUSTO ALMEIDA"/>
    <s v="Tms"/>
    <s v="Tms"/>
    <d v="2026-05-20T09:59:00"/>
    <n v="7607"/>
    <s v="-"/>
    <s v="ON LINE"/>
    <s v="Cartão de crédito"/>
    <s v="Cartão de crédito"/>
    <x v="1"/>
    <s v="N"/>
    <x v="22"/>
    <s v="-"/>
    <s v="-"/>
    <s v="Ibis Natal"/>
    <s v="-"/>
    <x v="9"/>
    <s v="-"/>
    <x v="49"/>
    <n v="0"/>
    <n v="0"/>
    <n v="0"/>
    <n v="0"/>
    <n v="16.899999999999999"/>
    <n v="0"/>
    <s v="Reserva importada do Sistema TMS. OS: 7607"/>
    <s v="Cliente não preenchido! (ACC01)"/>
    <x v="0"/>
    <x v="13"/>
    <s v="Falta de informação Gerencial"/>
    <x v="0"/>
    <s v="Qualidade dos dados"/>
    <s v="KONTIK BUSINESS TRAVEL"/>
    <x v="3"/>
  </r>
  <r>
    <n v="24668983"/>
    <n v="25504724"/>
    <s v="ACC01"/>
    <x v="28"/>
    <d v="2026-06-01T17:13:17"/>
    <x v="0"/>
    <x v="0"/>
    <s v="GJZNZCT"/>
    <s v="SABRE"/>
    <s v="MORENO/FABIO CAMPOS MR"/>
    <s v="MARIA CECILIA PEREIRA SILVA"/>
    <s v="MARIA CECILIA PEREIRA SILVA"/>
    <d v="2026-05-29T07:59:00"/>
    <s v="GJZNZC"/>
    <s v="-"/>
    <s v="ON LINE"/>
    <s v="Cartão de crédito"/>
    <s v="Cartão de crédito"/>
    <x v="1"/>
    <s v="N"/>
    <x v="1"/>
    <s v="Honeywell"/>
    <s v="Cliente FEE no POS"/>
    <s v="Staybridge Stes Dfw Arpt"/>
    <s v="-"/>
    <x v="1"/>
    <s v="-"/>
    <x v="50"/>
    <n v="51.51"/>
    <n v="0"/>
    <n v="0"/>
    <n v="0"/>
    <n v="0"/>
    <n v="13"/>
    <s v="Reserva importada por HubTravel"/>
    <s v="Fornecedor não preenchido! (ACC02)"/>
    <x v="1"/>
    <x v="1"/>
    <s v="Campo Fornecedor"/>
    <x v="0"/>
    <s v="Qualidade dos dados"/>
    <s v="KONTIK BUSINESS TRAVEL"/>
    <x v="2"/>
  </r>
  <r>
    <n v="24666061"/>
    <n v="25501311"/>
    <s v="ACC01"/>
    <x v="48"/>
    <d v="2026-07-03T17:06:15"/>
    <x v="1"/>
    <x v="0"/>
    <s v="SNFXYXT"/>
    <s v="SABRE"/>
    <s v="MITRE/MARCOS PEDROSA MR"/>
    <s v="VITOR TEICHMANN"/>
    <s v="VITOR TEICHMANN"/>
    <d v="2026-05-27T13:26:00"/>
    <s v="SNFXYX"/>
    <s v="-"/>
    <s v="OFF LINE"/>
    <s v="Invoice"/>
    <s v="Faturado"/>
    <x v="1"/>
    <s v="N"/>
    <x v="21"/>
    <s v="Axa Cs - Inativo"/>
    <s v="Cliente FEE no POS"/>
    <s v="Delta Hotels Saguenay Conference Centre"/>
    <s v="-"/>
    <x v="21"/>
    <s v="-"/>
    <x v="51"/>
    <n v="0"/>
    <n v="0"/>
    <n v="0"/>
    <n v="0"/>
    <n v="0"/>
    <n v="0"/>
    <s v="Reserva importada por HubTravel"/>
    <s v="Empenho/departamento não preenchido! (ACC01)"/>
    <x v="1"/>
    <x v="7"/>
    <s v="Falta de informação Gerencial"/>
    <x v="0"/>
    <s v="Qualidade dos dados"/>
    <s v="KONTIK BUSINESS TRAVEL"/>
    <x v="2"/>
  </r>
  <r>
    <n v="24782703"/>
    <n v="25624590"/>
    <s v="ACC01"/>
    <x v="49"/>
    <d v="2026-06-19T10:25:50"/>
    <x v="5"/>
    <x v="2"/>
    <n v="202606190891"/>
    <s v="GOVER"/>
    <s v="Karla Barbosa"/>
    <s v="Gover"/>
    <s v="Gover"/>
    <d v="2026-06-19T10:10:00"/>
    <n v="4712740"/>
    <s v="-"/>
    <s v="ON LINE"/>
    <s v="Invoice"/>
    <s v="Faturado"/>
    <x v="1"/>
    <s v="N"/>
    <x v="23"/>
    <s v="Benner Sistemas - Blumenau"/>
    <s v="-"/>
    <s v="-"/>
    <s v="-"/>
    <x v="0"/>
    <s v="-"/>
    <x v="52"/>
    <n v="11.68"/>
    <n v="0"/>
    <n v="0"/>
    <n v="0"/>
    <n v="0"/>
    <n v="0"/>
    <s v="Reserva importada do sistema Gover. Id: 4712740"/>
    <s v="Fornecedor não preenchido! (ACC01)"/>
    <x v="3"/>
    <x v="1"/>
    <s v="Campo Fornecedor"/>
    <x v="0"/>
    <s v="Sistêmico"/>
    <s v="GRUPO KONTIK"/>
    <x v="1"/>
  </r>
  <r>
    <n v="24797288"/>
    <n v="25638339"/>
    <s v="ACC01"/>
    <x v="50"/>
    <d v="2026-06-22T13:47:12"/>
    <x v="4"/>
    <x v="3"/>
    <s v="6OGDTK"/>
    <s v="TMS"/>
    <s v="VINICIUS ROMEIRO"/>
    <s v="Tms"/>
    <s v="Tms"/>
    <d v="2026-06-22T10:21:00"/>
    <n v="329371"/>
    <s v="Dourados / DOU"/>
    <s v="ON LINE"/>
    <s v="Invoice"/>
    <s v="Faturado"/>
    <x v="2"/>
    <s v="N"/>
    <x v="12"/>
    <s v="Kpmg"/>
    <s v="-"/>
    <s v="-"/>
    <s v="-"/>
    <x v="13"/>
    <s v="-"/>
    <x v="53"/>
    <n v="0"/>
    <n v="0"/>
    <n v="0"/>
    <n v="0"/>
    <n v="0"/>
    <n v="0"/>
    <s v="Reserva importada do Sistema TMS. OS: 329371"/>
    <s v="Fornecedor não preenchido! (ACC01)"/>
    <x v="0"/>
    <x v="1"/>
    <s v="Campo Fornecedor"/>
    <x v="0"/>
    <s v="Qualidade dos dados"/>
    <s v="KONTIK BUSINESS TRAVEL"/>
    <x v="4"/>
  </r>
  <r>
    <n v="24772733"/>
    <n v="25614728"/>
    <s v="ACC01"/>
    <x v="51"/>
    <d v="2026-06-17T18:36:04"/>
    <x v="5"/>
    <x v="2"/>
    <s v="6NFLRL"/>
    <s v="TMS"/>
    <s v="MARIANA SILVA"/>
    <s v="BRUNO ALVARENGA MELONI"/>
    <s v="BRUNO ALVARENGA MELONI"/>
    <d v="2026-06-17T17:01:00"/>
    <n v="328272"/>
    <s v="Ibiruba / RS, Brasil (PFB)"/>
    <s v="OFF LINE"/>
    <s v="Invoice"/>
    <s v="Faturado"/>
    <x v="2"/>
    <s v="N"/>
    <x v="12"/>
    <s v="Kpmg Consultoria"/>
    <s v="-"/>
    <s v="-"/>
    <s v="-"/>
    <x v="13"/>
    <s v="-"/>
    <x v="54"/>
    <n v="0"/>
    <n v="0"/>
    <n v="0"/>
    <n v="0"/>
    <n v="0"/>
    <n v="0"/>
    <s v="Reserva importada do Sistema TMS. OS: 328272"/>
    <s v="Fornecedor não preenchido! (ACC01)"/>
    <x v="0"/>
    <x v="1"/>
    <s v="Campo Fornecedor"/>
    <x v="0"/>
    <s v="Qualidade dos dados"/>
    <s v="KONTIK BUSINESS TRAVEL"/>
    <x v="3"/>
  </r>
  <r>
    <n v="24747713"/>
    <n v="25586716"/>
    <s v="ACC02"/>
    <x v="52"/>
    <d v="2026-07-03T17:06:16"/>
    <x v="1"/>
    <x v="1"/>
    <s v="NPLPZXT"/>
    <s v="SABRE"/>
    <s v="VESPERO/JOAO FORTUNATO PEDROTTI MR"/>
    <s v="CT"/>
    <s v="CT"/>
    <d v="2026-06-12T05:19:00"/>
    <s v="NPLPZX"/>
    <s v="-"/>
    <s v="ON LINE"/>
    <s v="Pagamento direto"/>
    <s v="Pagamento direto"/>
    <x v="1"/>
    <s v="N"/>
    <x v="24"/>
    <s v="Basf Sa"/>
    <s v="-"/>
    <s v="-"/>
    <s v="-"/>
    <x v="22"/>
    <s v="-"/>
    <x v="55"/>
    <n v="0"/>
    <n v="0"/>
    <n v="0"/>
    <n v="0"/>
    <n v="0"/>
    <n v="0"/>
    <s v="Reserva importada por HubTravel"/>
    <s v="Fornecedor não preenchido! (ACC02)"/>
    <x v="1"/>
    <x v="1"/>
    <s v="Campo Fornecedor"/>
    <x v="0"/>
    <s v="Sistêmico"/>
    <s v="GRUPO KONTIK"/>
    <x v="1"/>
  </r>
  <r>
    <n v="24784332"/>
    <n v="25626279"/>
    <s v="ACC01"/>
    <x v="53"/>
    <d v="2026-06-19T14:35:25"/>
    <x v="5"/>
    <x v="2"/>
    <s v="H4712429"/>
    <s v="GOVER"/>
    <s v="Ana ROXO OLIVEIRA"/>
    <s v="Sergio Henrique Mendes"/>
    <s v="Sergio Henrique Mendes"/>
    <d v="2026-06-19T14:00:00"/>
    <n v="4712429"/>
    <s v="-"/>
    <s v="OFF LINE"/>
    <s v="Pagamento direto"/>
    <s v="Pagamento direto"/>
    <x v="1"/>
    <s v="N"/>
    <x v="25"/>
    <s v="Arcadis"/>
    <s v="-"/>
    <s v="-"/>
    <s v="-"/>
    <x v="23"/>
    <s v="-"/>
    <x v="56"/>
    <n v="0"/>
    <n v="0"/>
    <n v="0"/>
    <n v="0"/>
    <n v="0"/>
    <n v="0"/>
    <s v="Reserva importada do sistema Gover. Id: 4712429"/>
    <s v="Fornecedor não preenchido! (ACC01)"/>
    <x v="3"/>
    <x v="1"/>
    <s v="Campo Fornecedor"/>
    <x v="0"/>
    <s v="Sistêmico"/>
    <s v="GRUPO KONTIK"/>
    <x v="1"/>
  </r>
  <r>
    <n v="24769631"/>
    <n v="25611166"/>
    <s v="ACC01"/>
    <x v="54"/>
    <d v="2026-06-17T09:05:09"/>
    <x v="5"/>
    <x v="2"/>
    <s v="H4707120"/>
    <s v="GOVER"/>
    <s v="Roberio ACIOLE"/>
    <s v="Sergio Henrique Mendes"/>
    <s v="Sergio Henrique Mendes"/>
    <d v="2026-06-10T16:00:00"/>
    <n v="4707120"/>
    <s v="-"/>
    <s v="OFF LINE"/>
    <s v="Pagamento direto"/>
    <s v="Pagamento direto"/>
    <x v="1"/>
    <s v="N"/>
    <x v="25"/>
    <s v="Arcadis"/>
    <s v="-"/>
    <s v="-"/>
    <s v="-"/>
    <x v="23"/>
    <s v="-"/>
    <x v="57"/>
    <n v="0"/>
    <n v="0"/>
    <n v="0"/>
    <n v="0"/>
    <n v="0"/>
    <n v="0"/>
    <s v="Reserva importada do sistema Gover. Id: 4707120"/>
    <s v="Fornecedor não preenchido! (ACC01)"/>
    <x v="3"/>
    <x v="1"/>
    <s v="Campo Fornecedor"/>
    <x v="0"/>
    <s v="Sistêmico"/>
    <s v="GRUPO KONTIK"/>
    <x v="1"/>
  </r>
  <r>
    <n v="24775834"/>
    <n v="25617916"/>
    <s v="ACC01"/>
    <x v="55"/>
    <d v="2026-06-18T06:20:46"/>
    <x v="5"/>
    <x v="2"/>
    <s v="6OUG6P"/>
    <s v="TMS"/>
    <s v="MARIELLE SILVA"/>
    <s v="Tms"/>
    <s v="Tms"/>
    <d v="2026-06-17T18:58:00"/>
    <n v="127567"/>
    <s v="-"/>
    <s v="ON LINE"/>
    <s v="Pagamento direto"/>
    <s v="Pagamento direto"/>
    <x v="1"/>
    <s v="N"/>
    <x v="10"/>
    <s v="Ache Laboratorios Farmaceuticos Sa"/>
    <s v="-"/>
    <s v="-"/>
    <s v="-"/>
    <x v="11"/>
    <s v="-"/>
    <x v="58"/>
    <n v="0"/>
    <n v="0"/>
    <n v="0"/>
    <n v="0"/>
    <n v="0"/>
    <n v="0"/>
    <s v="Reserva importada do Sistema TMS. OS: 127567"/>
    <s v="Fornecedor não preenchido! (ACC01)"/>
    <x v="0"/>
    <x v="1"/>
    <s v="Campo Fornecedor"/>
    <x v="0"/>
    <s v="Sistêmico"/>
    <s v="GRUPO KONTIK"/>
    <x v="1"/>
  </r>
  <r>
    <n v="24802917"/>
    <n v="25644278"/>
    <s v="ACC01"/>
    <x v="56"/>
    <d v="2026-06-24T03:36:31"/>
    <x v="4"/>
    <x v="3"/>
    <s v="OFHFEU"/>
    <s v="GOVER"/>
    <s v="Marcondes Muniz de Jesus"/>
    <s v="Gover"/>
    <s v="Gover"/>
    <d v="2026-06-22T14:10:00"/>
    <n v="4713573"/>
    <s v="-"/>
    <s v="OFF LINE"/>
    <s v="Cartão de crédito"/>
    <s v="Cartão de crédito"/>
    <x v="1"/>
    <s v="N"/>
    <x v="26"/>
    <s v="Bat | Souza Cruz - Matriz"/>
    <s v="-"/>
    <s v="-"/>
    <s v="-"/>
    <x v="24"/>
    <s v="-"/>
    <x v="59"/>
    <n v="96.36"/>
    <n v="0"/>
    <n v="0"/>
    <n v="0"/>
    <n v="0"/>
    <n v="0"/>
    <s v="Reserva importada do sistema Gover. Id: 4713573"/>
    <s v="Fornecedor não preenchido! (ACC01)"/>
    <x v="3"/>
    <x v="1"/>
    <s v="Campo Fornecedor"/>
    <x v="0"/>
    <s v="Sistêmico"/>
    <s v="GRUPO KONTIK"/>
    <x v="1"/>
  </r>
  <r>
    <n v="24770140"/>
    <n v="25611730"/>
    <s v="ACC01"/>
    <x v="57"/>
    <d v="2026-06-17T11:06:31"/>
    <x v="5"/>
    <x v="2"/>
    <s v="FJLAFMT"/>
    <s v="SABRE"/>
    <s v="SILVA/FLAVIO"/>
    <s v="Rafaela Leitao Oliveira"/>
    <s v="Rafaela Leitao Oliveira"/>
    <d v="2026-06-17T08:37:00"/>
    <s v="FJLAFM"/>
    <s v="-"/>
    <s v="OFF LINE"/>
    <s v="Cartão de crédito"/>
    <s v="Cartão de crédito"/>
    <x v="1"/>
    <s v="N"/>
    <x v="27"/>
    <s v="Grupo Casas Bahia S.a."/>
    <s v="-"/>
    <s v="-"/>
    <s v="-"/>
    <x v="25"/>
    <s v="-"/>
    <x v="60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770141"/>
    <n v="25611731"/>
    <s v="ACC01"/>
    <x v="58"/>
    <d v="2026-06-17T11:06:32"/>
    <x v="5"/>
    <x v="2"/>
    <s v="IRKXKKT"/>
    <s v="SABRE"/>
    <s v="SILVA/JOSE"/>
    <s v="Rafaela Leitao Oliveira"/>
    <s v="Rafaela Leitao Oliveira"/>
    <d v="2026-06-17T08:49:00"/>
    <s v="IRKXKK"/>
    <s v="-"/>
    <s v="OFF LINE"/>
    <s v="Cartão de crédito"/>
    <s v="Cartão de crédito"/>
    <x v="1"/>
    <s v="N"/>
    <x v="27"/>
    <s v="Grupo Casas Bahia S.a."/>
    <s v="-"/>
    <s v="-"/>
    <s v="-"/>
    <x v="25"/>
    <s v="-"/>
    <x v="60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773814"/>
    <n v="25615861"/>
    <s v="ACC01"/>
    <x v="59"/>
    <d v="2026-06-17T19:30:35"/>
    <x v="5"/>
    <x v="2"/>
    <s v="DNOEUST"/>
    <s v="SABRE"/>
    <s v="BARBOSA/ITALO"/>
    <s v="Rafaela Leitao Oliveira"/>
    <s v="Rafaela Leitao Oliveira"/>
    <d v="2026-06-17T16:26:00"/>
    <s v="DNOEUS"/>
    <s v="-"/>
    <s v="OFF LINE"/>
    <s v="Cartão de crédito"/>
    <s v="Cartão de crédito"/>
    <x v="1"/>
    <s v="N"/>
    <x v="27"/>
    <s v="Grupo Casas Bahia S.a."/>
    <s v="-"/>
    <s v="-"/>
    <s v="-"/>
    <x v="25"/>
    <s v="-"/>
    <x v="60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773815"/>
    <n v="25615862"/>
    <s v="ACC01"/>
    <x v="60"/>
    <d v="2026-06-17T19:30:35"/>
    <x v="5"/>
    <x v="2"/>
    <s v="YKCTVET"/>
    <s v="SABRE"/>
    <s v="SILVA/JOAO"/>
    <s v="Rafaela Leitao Oliveira"/>
    <s v="Rafaela Leitao Oliveira"/>
    <d v="2026-06-17T16:32:00"/>
    <s v="YKCTVE"/>
    <s v="-"/>
    <s v="OFF LINE"/>
    <s v="Cartão de crédito"/>
    <s v="Cartão de crédito"/>
    <x v="1"/>
    <s v="N"/>
    <x v="27"/>
    <s v="Grupo Casas Bahia S.a."/>
    <s v="-"/>
    <s v="-"/>
    <s v="-"/>
    <x v="25"/>
    <s v="-"/>
    <x v="60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773816"/>
    <n v="25615867"/>
    <s v="ACC01"/>
    <x v="61"/>
    <d v="2026-06-17T19:30:36"/>
    <x v="5"/>
    <x v="2"/>
    <s v="DOJYQET"/>
    <s v="SABRE"/>
    <s v="LEAO/LUCIANA"/>
    <s v="Rafaela Leitao Oliveira"/>
    <s v="Rafaela Leitao Oliveira"/>
    <d v="2026-06-17T16:36:00"/>
    <s v="DOJYQE"/>
    <s v="-"/>
    <s v="OFF LINE"/>
    <s v="Cartão de crédito"/>
    <s v="Cartão de crédito"/>
    <x v="1"/>
    <s v="N"/>
    <x v="27"/>
    <s v="Grupo Casas Bahia S.a."/>
    <s v="-"/>
    <s v="-"/>
    <s v="-"/>
    <x v="25"/>
    <s v="-"/>
    <x v="61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798196"/>
    <n v="25639258"/>
    <s v="ACC02"/>
    <x v="62"/>
    <d v="2026-06-22T14:48:38"/>
    <x v="4"/>
    <x v="3"/>
    <s v="JLBGFST"/>
    <s v="SABRE"/>
    <s v="SANTOS/MILSON"/>
    <s v="WU"/>
    <s v="WU"/>
    <d v="2026-06-05T10:25:00"/>
    <s v="JLBGFS"/>
    <s v="-"/>
    <s v="ON LINE"/>
    <s v="Pagamento direto"/>
    <s v="Pagamento direto"/>
    <x v="1"/>
    <s v="N"/>
    <x v="27"/>
    <s v="Grupo Casas Bahia S.a."/>
    <s v="-"/>
    <s v="-"/>
    <s v="-"/>
    <x v="25"/>
    <s v="-"/>
    <x v="62"/>
    <n v="0"/>
    <n v="0"/>
    <n v="0"/>
    <n v="0"/>
    <n v="0"/>
    <n v="0"/>
    <s v="Reserva importada por HubTravel"/>
    <s v="Fornecedor não preenchido! (ACC02)"/>
    <x v="1"/>
    <x v="1"/>
    <s v="Campo Fornecedor"/>
    <x v="0"/>
    <s v="Qualidade dos dados"/>
    <s v="KONTIK BUSINESS TRAVEL"/>
    <x v="3"/>
  </r>
  <r>
    <n v="24798196"/>
    <n v="25639259"/>
    <s v="ACC03"/>
    <x v="62"/>
    <d v="2026-06-22T14:48:38"/>
    <x v="4"/>
    <x v="3"/>
    <s v="JLBGFST"/>
    <s v="SABRE"/>
    <s v="SANTOS/MILSON"/>
    <s v="WU"/>
    <s v="WU"/>
    <d v="2026-06-05T10:25:00"/>
    <s v="JLBGFS"/>
    <s v="-"/>
    <s v="ON LINE"/>
    <s v="Pagamento direto"/>
    <s v="Pagamento direto"/>
    <x v="1"/>
    <s v="N"/>
    <x v="27"/>
    <s v="Grupo Casas Bahia S.a."/>
    <s v="-"/>
    <s v="-"/>
    <s v="-"/>
    <x v="25"/>
    <s v="-"/>
    <x v="63"/>
    <n v="0"/>
    <n v="0"/>
    <n v="0"/>
    <n v="0"/>
    <n v="0"/>
    <n v="0"/>
    <s v="Reserva importada por HubTravel"/>
    <s v="Fornecedor não preenchido! (ACC02)"/>
    <x v="1"/>
    <x v="1"/>
    <s v="Campo Fornecedor"/>
    <x v="0"/>
    <s v="Qualidade dos dados"/>
    <s v="KONTIK BUSINESS TRAVEL"/>
    <x v="3"/>
  </r>
  <r>
    <n v="24782129"/>
    <n v="25624098"/>
    <s v="ACC01"/>
    <x v="63"/>
    <d v="2026-06-19T06:35:37"/>
    <x v="5"/>
    <x v="2"/>
    <s v="6OZYWD"/>
    <s v="TMS"/>
    <s v="PORCINO/ANA"/>
    <s v="Maria Eugenia Oliva"/>
    <s v="Maria Eugenia Oliva"/>
    <d v="2026-06-18T23:14:00"/>
    <n v="127851"/>
    <s v="-"/>
    <s v="OFF LINE"/>
    <s v="Cartão de crédito"/>
    <s v="Cartão de crédito"/>
    <x v="0"/>
    <s v="N"/>
    <x v="10"/>
    <s v="Ache Laboratorios Farmaceuticos Sa"/>
    <s v="-"/>
    <s v="Gol Linhas Aereas"/>
    <n v="3025624093"/>
    <x v="11"/>
    <s v="-"/>
    <x v="8"/>
    <n v="121"/>
    <n v="0"/>
    <n v="0"/>
    <n v="0"/>
    <n v="0"/>
    <n v="0"/>
    <s v="Reserva importada do Sistema TMS. OS: 127851"/>
    <s v="Empenho/departamento não preenchido! (ACC01)"/>
    <x v="0"/>
    <x v="7"/>
    <s v="Falta de informação Gerencial"/>
    <x v="0"/>
    <s v="Qualidade dos dados"/>
    <s v="KONTIK BUSINESS TRAVEL"/>
    <x v="3"/>
  </r>
  <r>
    <n v="24733866"/>
    <n v="25571473"/>
    <s v="ACC01"/>
    <x v="64"/>
    <d v="2026-07-03T17:10:29"/>
    <x v="1"/>
    <x v="1"/>
    <s v="GXSXTU"/>
    <s v="SABRE"/>
    <s v="DA SILVA/AMANDA PEREIRA"/>
    <s v="WY"/>
    <s v="WY"/>
    <d v="2026-06-09T12:20:00"/>
    <s v="GXSXTU"/>
    <s v="-"/>
    <s v="OFF LINE"/>
    <s v="Cartão de crédito"/>
    <s v="Cartão AMEX"/>
    <x v="0"/>
    <s v="N"/>
    <x v="24"/>
    <s v="Basf Sa"/>
    <s v="-"/>
    <s v="Gol Linhas Aereas"/>
    <n v="7700089421"/>
    <x v="22"/>
    <s v="-"/>
    <x v="64"/>
    <n v="97.29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1"/>
    <x v="5"/>
    <s v="Falta de informação Gerencial"/>
    <x v="0"/>
    <s v="Qualidade dos dados"/>
    <s v="KONTIK BUSINESS TRAVEL"/>
    <x v="2"/>
  </r>
  <r>
    <n v="24800365"/>
    <n v="25641666"/>
    <s v="ACC01"/>
    <x v="65"/>
    <d v="2026-06-24T10:05:37"/>
    <x v="4"/>
    <x v="3"/>
    <s v="WLCHGO0"/>
    <s v="TMS"/>
    <s v="DANILLA SOUZA"/>
    <s v="Juliana dos Santos Pinto"/>
    <s v="Juliana dos Santos Pinto"/>
    <d v="2026-06-22T17:07:00"/>
    <n v="7006"/>
    <s v="-"/>
    <s v="OFF LINE"/>
    <s v="Cartão de crédito"/>
    <s v="Faturado"/>
    <x v="0"/>
    <s v="N"/>
    <x v="2"/>
    <s v="Track e Field Co Sa Matriz"/>
    <s v="-"/>
    <s v="Gol Linhas Aereas"/>
    <n v="2306392847"/>
    <x v="2"/>
    <s v="-"/>
    <x v="65"/>
    <n v="0"/>
    <n v="0"/>
    <n v="0"/>
    <n v="0"/>
    <n v="0"/>
    <n v="0"/>
    <s v="Reserva importada do Sistema TMS. OS: 7006"/>
    <s v="Erro excluindo PNR: Ocorrência no método TBSistemaWrapper.MyException. Mensagem: Exclusão cancelada devido a vínculo(s) com registros(s) da "/>
    <x v="0"/>
    <x v="12"/>
    <s v="Falha de Integração"/>
    <x v="2"/>
    <s v="Qualidade dos dados"/>
    <s v="GRUPO KONTIK"/>
    <x v="0"/>
  </r>
  <r>
    <n v="24789523"/>
    <n v="25631156"/>
    <s v="ACC01"/>
    <x v="66"/>
    <d v="2026-07-03T17:10:33"/>
    <x v="1"/>
    <x v="2"/>
    <s v="IFEYML"/>
    <s v="SABRE"/>
    <s v="MORENO SAVARIS/QUELI"/>
    <s v="Maria Eugenia Oliva"/>
    <s v="Maria Eugenia Oliva"/>
    <d v="2026-06-20T10:06:00"/>
    <s v="IFEYML"/>
    <s v="-"/>
    <s v="ON LINE"/>
    <s v="Cartão de crédito"/>
    <s v="Cartão AMEX"/>
    <x v="0"/>
    <s v="N"/>
    <x v="24"/>
    <s v="Basf Sa"/>
    <s v="-"/>
    <s v="Latam Airlines Brasil"/>
    <n v="5232120003"/>
    <x v="22"/>
    <s v="-"/>
    <x v="66"/>
    <n v="33.64"/>
    <n v="0"/>
    <n v="0"/>
    <n v="33.64"/>
    <n v="0"/>
    <n v="0"/>
    <s v="Reserva importada por HubTravel"/>
    <s v="Finalidade não preenchida! (ACC01)"/>
    <x v="1"/>
    <x v="14"/>
    <s v="Falta de informação Gerencial"/>
    <x v="0"/>
    <s v="Qualidade dos dados"/>
    <s v="KONTIK BUSINESS TRAVEL"/>
    <x v="2"/>
  </r>
  <r>
    <n v="24779709"/>
    <n v="25621970"/>
    <s v="ACC01"/>
    <x v="67"/>
    <d v="2026-06-18T20:01:35"/>
    <x v="5"/>
    <x v="2"/>
    <s v="6OCM2W"/>
    <s v="MANUAL"/>
    <s v="CACHIONI TEIXEIRA/VINICIUS"/>
    <s v="DS"/>
    <s v="Itamar de Souza"/>
    <d v="2026-06-09T12:44:00"/>
    <s v="KGWFCT_1_1"/>
    <s v="-"/>
    <s v="OFF LINE"/>
    <s v="Invoice"/>
    <s v="Cartão convênio"/>
    <x v="0"/>
    <s v="N"/>
    <x v="8"/>
    <s v="Nielseniq do Brasil"/>
    <s v="Cliente FEE no POS"/>
    <s v="Latam Airlines Brasil"/>
    <n v="9552474476"/>
    <x v="8"/>
    <s v="-"/>
    <x v="67"/>
    <n v="50.57"/>
    <n v="0"/>
    <n v="0"/>
    <n v="0"/>
    <n v="0"/>
    <n v="62.03"/>
    <s v="Reserva importada por HubTravel"/>
    <s v="Este cliente não possui permissão para usar este tipo de pagamento e recebimento para este produto."/>
    <x v="2"/>
    <x v="2"/>
    <s v="Forma PG. e REC."/>
    <x v="0"/>
    <s v="Qualidade dos dados"/>
    <s v="GRUPO KONTIK"/>
    <x v="0"/>
  </r>
  <r>
    <n v="24779709"/>
    <n v="25622308"/>
    <s v="ACC"/>
    <x v="67"/>
    <d v="2026-06-18T20:01:35"/>
    <x v="5"/>
    <x v="2"/>
    <s v="6OCM2W"/>
    <s v="MANUAL"/>
    <s v="VINICIUS CACHIONI TEIXEIRA"/>
    <s v="DS"/>
    <s v="Itamar de Souza"/>
    <d v="2026-06-09T12:44:00"/>
    <s v="6OCM2W"/>
    <s v="-"/>
    <s v="OFF LINE"/>
    <s v="Cartão de crédito"/>
    <s v="Pagamento direto"/>
    <x v="0"/>
    <s v="N"/>
    <x v="8"/>
    <s v="Nielseniq do Brasil"/>
    <s v="Cliente FEE no POS"/>
    <s v="Latam Airlines Brasil"/>
    <n v="9552474487"/>
    <x v="18"/>
    <s v="-"/>
    <x v="68"/>
    <n v="0"/>
    <n v="0"/>
    <n v="0"/>
    <n v="0"/>
    <n v="0"/>
    <n v="0"/>
    <s v="Reserva importada por HubTravel"/>
    <s v="Este cliente não possui permissão para usar este tipo de pagamento e recebimento para este produto."/>
    <x v="2"/>
    <x v="2"/>
    <s v="Forma PG. e REC."/>
    <x v="0"/>
    <s v="Qualidade dos dados"/>
    <s v="GRUPO KONTIK"/>
    <x v="0"/>
  </r>
  <r>
    <n v="24781654"/>
    <n v="25623914"/>
    <s v="ACC01"/>
    <x v="68"/>
    <d v="2026-06-19T03:01:40"/>
    <x v="5"/>
    <x v="2"/>
    <s v="6OKHOS"/>
    <s v="MANUAL"/>
    <s v="HERNANDO ALLUE/SERGIO"/>
    <s v="EVA SILVA FERREIRA"/>
    <s v="EVA SILVA FERREIRA"/>
    <d v="2026-06-17T12:39:00"/>
    <s v="KPYAAL_3_1"/>
    <s v="-"/>
    <s v="OFF LINE"/>
    <s v="Invoice"/>
    <s v="Cartão convênio"/>
    <x v="0"/>
    <s v="N"/>
    <x v="8"/>
    <s v="Nielseniq do Brasil"/>
    <s v="Cliente FEE no POS"/>
    <s v="Latam Airlines Brasil"/>
    <n v="9552474477"/>
    <x v="8"/>
    <s v="-"/>
    <x v="69"/>
    <n v="50.57"/>
    <n v="0"/>
    <n v="0"/>
    <n v="0"/>
    <n v="0"/>
    <n v="62.03"/>
    <s v="Atendimento emergencial"/>
    <s v="Este cliente não possui permissão para usar este tipo de pagamento e recebimento para este produto."/>
    <x v="2"/>
    <x v="2"/>
    <s v="Forma PG. e REC."/>
    <x v="0"/>
    <s v="Qualidade dos dados"/>
    <s v="KONTIK BUSINESS TRAVEL"/>
    <x v="2"/>
  </r>
  <r>
    <n v="24781654"/>
    <n v="25623932"/>
    <s v="ACC"/>
    <x v="68"/>
    <d v="2026-06-19T03:01:40"/>
    <x v="5"/>
    <x v="2"/>
    <s v="6OKHOS"/>
    <s v="MANUAL"/>
    <s v="SERGIO HERNANDO ALLUE"/>
    <s v="EVA SILVA FERREIRA"/>
    <s v="EVA SILVA FERREIRA"/>
    <d v="2026-06-17T12:39:00"/>
    <s v="6OKHOS"/>
    <s v="-"/>
    <s v="OFF LINE"/>
    <s v="Cartão de crédito"/>
    <s v="Pagamento direto"/>
    <x v="0"/>
    <s v="N"/>
    <x v="8"/>
    <s v="Nielseniq do Brasil"/>
    <s v="Cliente FEE no POS"/>
    <s v="Latam Airlines Brasil"/>
    <n v="7955247448"/>
    <x v="18"/>
    <s v="-"/>
    <x v="68"/>
    <n v="0"/>
    <n v="0"/>
    <n v="0"/>
    <n v="0"/>
    <n v="0"/>
    <n v="0"/>
    <s v="Atendimento emergencial"/>
    <s v="Este cliente não possui permissão para usar este tipo de pagamento e recebimento para este produto."/>
    <x v="2"/>
    <x v="2"/>
    <s v="Forma PG. e REC."/>
    <x v="0"/>
    <s v="Qualidade dos dados"/>
    <s v="KONTIK BUSINESS TRAVEL"/>
    <x v="3"/>
  </r>
  <r>
    <n v="24778304"/>
    <n v="25620460"/>
    <s v="ACC01"/>
    <x v="69"/>
    <d v="2026-06-24T12:01:19"/>
    <x v="4"/>
    <x v="2"/>
    <s v="6OTD6Z"/>
    <s v="MANUAL"/>
    <s v="MIGUEL NUNO SIMOES NUNES FERREIRA SETAS"/>
    <s v="Gover"/>
    <s v="Gover"/>
    <d v="2026-06-16T13:34:00"/>
    <n v="4711199"/>
    <s v="-"/>
    <s v="OFF LINE"/>
    <s v="Cartão de crédito"/>
    <s v="Cartão de crédito"/>
    <x v="0"/>
    <s v="N"/>
    <x v="19"/>
    <s v="Energisa S.a."/>
    <s v="-"/>
    <s v="Latam Airlines Brasil"/>
    <n v="4473358374"/>
    <x v="26"/>
    <s v="-"/>
    <x v="70"/>
    <n v="0"/>
    <n v="0"/>
    <n v="0"/>
    <n v="0"/>
    <n v="0"/>
    <n v="0"/>
    <s v="Reserva importada do sistema Gover. Id: 4711199"/>
    <s v="Problema ocorrido ao bloquear o documento: Existem remessas associadas ao documento!"/>
    <x v="2"/>
    <x v="8"/>
    <s v="Análise Benner"/>
    <x v="2"/>
    <s v="Qualidade dos dados"/>
    <s v="KONTIK BUSINESS TRAVEL"/>
    <x v="3"/>
  </r>
  <r>
    <n v="24796956"/>
    <n v="25637968"/>
    <s v="ACC01"/>
    <x v="70"/>
    <d v="2026-07-03T17:10:33"/>
    <x v="1"/>
    <x v="3"/>
    <s v="YUZPTB"/>
    <s v="SABRE"/>
    <s v="BUTTON/PAULO ALVARO NANTES"/>
    <s v="Juliana dos Santos Pinto"/>
    <s v="WS"/>
    <d v="2026-01-21T12:45:00"/>
    <s v="YUZPTB"/>
    <s v="-"/>
    <s v="ON LINE"/>
    <s v="?"/>
    <s v="TKT"/>
    <x v="0"/>
    <s v="N"/>
    <x v="21"/>
    <s v="Axa Cs - Inativo"/>
    <s v="Cliente FEE no POS"/>
    <s v="Latam Airlines Brasil"/>
    <n v="2615238248"/>
    <x v="21"/>
    <s v="-"/>
    <x v="8"/>
    <n v="0"/>
    <n v="500"/>
    <n v="0"/>
    <n v="2.12"/>
    <n v="0"/>
    <n v="0"/>
    <s v="Reserva importada por HubTravel"/>
    <s v="Este cliente não possui permissão para usar este tipo de pagamento e recebimento para este produto."/>
    <x v="1"/>
    <x v="2"/>
    <s v="Forma PG. e REC."/>
    <x v="0"/>
    <s v="Qualidade dos dados"/>
    <s v="GRUPO KONTIK"/>
    <x v="0"/>
  </r>
  <r>
    <n v="24796956"/>
    <n v="25637969"/>
    <s v="ACC02"/>
    <x v="70"/>
    <d v="2026-07-03T17:10:33"/>
    <x v="1"/>
    <x v="3"/>
    <s v="YUZPTB"/>
    <s v="SABRE"/>
    <s v="BUTTON/PAULO ALVARO NANTES"/>
    <s v="Juliana dos Santos Pinto"/>
    <s v="WS"/>
    <d v="2026-01-21T12:45:00"/>
    <s v="YUZPTB"/>
    <s v="-"/>
    <s v="ON LINE"/>
    <s v="?"/>
    <s v="TKT"/>
    <x v="0"/>
    <s v="N"/>
    <x v="21"/>
    <s v="Axa Cs - Inativo"/>
    <s v="Cliente FEE no POS"/>
    <s v="Latam Airlines Brasil"/>
    <n v="2615238248"/>
    <x v="21"/>
    <s v="-"/>
    <x v="8"/>
    <n v="0"/>
    <n v="447.38"/>
    <n v="0"/>
    <n v="0"/>
    <n v="0"/>
    <n v="0"/>
    <s v="Reserva importada por HubTravel"/>
    <s v="Este cliente não possui permissão para usar este tipo de pagamento e recebimento para este produto."/>
    <x v="1"/>
    <x v="2"/>
    <s v="Forma PG. e REC."/>
    <x v="0"/>
    <s v="Qualidade dos dados"/>
    <s v="GRUPO KONTIK"/>
    <x v="0"/>
  </r>
  <r>
    <n v="24783537"/>
    <n v="25625459"/>
    <s v="ACC01"/>
    <x v="71"/>
    <d v="2026-06-19T12:51:08"/>
    <x v="5"/>
    <x v="2"/>
    <s v="6O7A8D"/>
    <s v="TMS"/>
    <s v="FONSECA JUNIOR/UIRSON MIRANDA"/>
    <s v="Cintya Cocco Figueiredo"/>
    <s v="Cintya Cocco Figueiredo"/>
    <d v="2026-06-19T12:23:00"/>
    <n v="50263"/>
    <s v="-"/>
    <s v="OFF LINE"/>
    <s v="Cartão de crédito"/>
    <s v="Cartão AMEX"/>
    <x v="0"/>
    <s v="N"/>
    <x v="28"/>
    <s v="Htb Construcoes"/>
    <s v="-"/>
    <s v="Latam Airlines Brasil"/>
    <n v="4473400126"/>
    <x v="27"/>
    <s v="-"/>
    <x v="8"/>
    <n v="178"/>
    <n v="0"/>
    <n v="0"/>
    <n v="0"/>
    <n v="0"/>
    <n v="0"/>
    <s v="Reserva importada do Sistema TMS. OS: 50263"/>
    <s v="Tarifa mínima não preenchida! (ACC01)"/>
    <x v="0"/>
    <x v="10"/>
    <s v="Falta de informação Gerencial"/>
    <x v="0"/>
    <s v="Qualidade dos dados"/>
    <s v="KONTIK BUSINESS TRAVEL"/>
    <x v="3"/>
  </r>
  <r>
    <n v="24797955"/>
    <n v="25639063"/>
    <s v="ACC"/>
    <x v="72"/>
    <d v="2026-07-01T13:55:48"/>
    <x v="1"/>
    <x v="3"/>
    <s v="6OMTO8"/>
    <s v="MANUAL"/>
    <s v="STELLA BRANDAO"/>
    <s v="Marcelo da Silva"/>
    <s v="Marcelo da Silva"/>
    <d v="2026-03-31T14:11:00"/>
    <s v="WATTSAPP"/>
    <s v="-"/>
    <s v="OFF LINE"/>
    <s v="Invoice"/>
    <s v="Cartão de crédito"/>
    <x v="0"/>
    <s v="N"/>
    <x v="29"/>
    <s v="Venda Particular - Cartao - Koncept"/>
    <s v="-"/>
    <s v="Latam Airlines Brasil"/>
    <n v="2280492609"/>
    <x v="26"/>
    <s v="-"/>
    <x v="71"/>
    <n v="52.72"/>
    <n v="0"/>
    <n v="0"/>
    <n v="0"/>
    <n v="0"/>
    <n v="0"/>
    <s v="KONCEPT SELETO"/>
    <s v=" Módulo Operações    -&gt; Configurações      -&gt; Configurações do sistema turismo        -&gt; Importação das vendas          -&gt; Entradas/Saídas  Para o "/>
    <x v="2"/>
    <x v="2"/>
    <s v="Forma PG. e REC."/>
    <x v="0"/>
    <s v="Qualidade dos dados"/>
    <s v="KONTIK BUSINESS TRAVEL"/>
    <x v="3"/>
  </r>
  <r>
    <n v="24748380"/>
    <n v="25587511"/>
    <s v="ACC01"/>
    <x v="73"/>
    <d v="2026-07-03T17:10:30"/>
    <x v="1"/>
    <x v="1"/>
    <s v="YPLCRA"/>
    <s v="SABRE"/>
    <s v="MONTEIRO/HELOISA ALCANTARA"/>
    <s v="WS"/>
    <s v="WS"/>
    <d v="2026-06-12T08:08:00"/>
    <s v="YPLCRA"/>
    <s v="-"/>
    <s v="ON LINE"/>
    <s v="Cartão de crédito"/>
    <s v="Cartão de crédito"/>
    <x v="0"/>
    <s v="N"/>
    <x v="30"/>
    <s v="Parexel International Pesquisas Clinicas Ltda"/>
    <s v="-"/>
    <s v="Latam Airlines Brasil"/>
    <s v="-"/>
    <x v="7"/>
    <s v="-"/>
    <x v="72"/>
    <n v="50.42"/>
    <n v="0"/>
    <n v="0"/>
    <n v="0"/>
    <n v="0"/>
    <n v="0"/>
    <s v="Reserva importada por HubTravel"/>
    <s v="Necessário informar o bilhete"/>
    <x v="1"/>
    <x v="15"/>
    <s v="Validação de Dados"/>
    <x v="0"/>
    <s v="Qualidade dos dados"/>
    <s v="KONTIK BUSINESS TRAVEL"/>
    <x v="4"/>
  </r>
  <r>
    <n v="24765182"/>
    <n v="25606757"/>
    <s v="ACC01"/>
    <x v="74"/>
    <d v="2026-07-03T17:10:31"/>
    <x v="1"/>
    <x v="2"/>
    <s v="CCPQDJ"/>
    <s v="SABRE"/>
    <s v="PERRELLI/LAIS"/>
    <s v="Wellington Ribeiro da Silva"/>
    <s v="Wellington Ribeiro da Silva"/>
    <d v="2026-06-15T11:39:00"/>
    <s v="CCPQDJ"/>
    <s v="-"/>
    <s v="ON LINE"/>
    <s v="Cartão de crédito"/>
    <s v="Cartão de crédito"/>
    <x v="0"/>
    <s v="N"/>
    <x v="29"/>
    <s v="Kontik Franstur - Sao Paulo"/>
    <s v="-"/>
    <s v="Latam Airlines Brasil"/>
    <s v="-"/>
    <x v="28"/>
    <s v="-"/>
    <x v="73"/>
    <n v="64.56"/>
    <n v="1110.57"/>
    <n v="0"/>
    <n v="0"/>
    <n v="0"/>
    <n v="0"/>
    <s v="Reserva importada por HubTravel"/>
    <s v="Necessário informar o bilhete"/>
    <x v="1"/>
    <x v="15"/>
    <s v="Validação de Dados"/>
    <x v="0"/>
    <s v="Qualidade dos dados"/>
    <s v="GRUPO KONTIK"/>
    <x v="0"/>
  </r>
  <r>
    <n v="24757645"/>
    <n v="25598207"/>
    <s v="ACC01"/>
    <x v="75"/>
    <d v="2026-06-19T11:00:38"/>
    <x v="5"/>
    <x v="2"/>
    <s v="DKMIAF-1"/>
    <s v="MANUAL"/>
    <s v="GUILHERME  PIMENTEL"/>
    <s v="Cristiane Santos Pio Memoria"/>
    <s v="Cristiane Santos Pio Memoria"/>
    <d v="2026-06-12T17:17:00"/>
    <n v="4710457"/>
    <s v="-"/>
    <s v="OFF LINE"/>
    <s v="Cartão de crédito"/>
    <s v="Cartão AMEX"/>
    <x v="0"/>
    <s v="N"/>
    <x v="26"/>
    <s v="Bat | Souza Cruz - Matriz"/>
    <s v="-"/>
    <s v="Latam Airlines Brasil"/>
    <n v="1952736315"/>
    <x v="24"/>
    <s v="-"/>
    <x v="74"/>
    <n v="0"/>
    <n v="0"/>
    <n v="0"/>
    <n v="0"/>
    <n v="0"/>
    <n v="0"/>
    <s v="Reserva importada do sistema Gover. Id: 4710457"/>
    <s v="Erro excluindo PNR: Ocorrência no método TBSistemaWrapper.MyException. Mensagem: Exclusão cancelada devido a vínculo(s) com registros(s) da "/>
    <x v="2"/>
    <x v="12"/>
    <s v="Falha de Integração"/>
    <x v="2"/>
    <s v="Sistêmico"/>
    <s v="KONTIK BUSINESS TRAVEL"/>
    <x v="2"/>
  </r>
  <r>
    <n v="24748257"/>
    <n v="25587341"/>
    <s v="ACC01"/>
    <x v="76"/>
    <d v="2026-06-12T10:57:07"/>
    <x v="3"/>
    <x v="1"/>
    <s v="KFKEUY"/>
    <s v="GOVER"/>
    <s v="Marcelo Deble Joaquim"/>
    <s v="Gover"/>
    <s v="Gover"/>
    <d v="2026-05-14T17:00:00"/>
    <n v="4707849"/>
    <s v="-"/>
    <s v="ON LINE"/>
    <s v="Invoice"/>
    <s v="Faturado"/>
    <x v="0"/>
    <s v="N"/>
    <x v="26"/>
    <s v="Bat | Souza Cruz - Matriz"/>
    <s v="-"/>
    <s v="Latam Airlines Brasil"/>
    <s v="-"/>
    <x v="24"/>
    <s v="-"/>
    <x v="8"/>
    <n v="62.14"/>
    <n v="0"/>
    <n v="0"/>
    <n v="0"/>
    <n v="0"/>
    <n v="0"/>
    <s v="Reserva importada do sistema Gover. Id: 4707849"/>
    <s v="Necessário informar o bilhete"/>
    <x v="3"/>
    <x v="15"/>
    <s v="Validação de Dados"/>
    <x v="0"/>
    <s v="Qualidade dos dados"/>
    <s v="KONTIK BUSINESS TRAVEL"/>
    <x v="4"/>
  </r>
  <r>
    <n v="24735476"/>
    <n v="25573095"/>
    <s v="ACC01"/>
    <x v="77"/>
    <d v="2026-07-03T17:10:29"/>
    <x v="1"/>
    <x v="1"/>
    <s v="CSVGEI"/>
    <s v="SABRE"/>
    <s v="PRESTON/JONATHAN FRANCIS"/>
    <s v="DS"/>
    <s v="VITOR TEICHMANN"/>
    <d v="2026-06-08T12:01:00"/>
    <s v="CSVGEI"/>
    <s v="-"/>
    <s v="ON LINE"/>
    <s v="?"/>
    <s v="TKT"/>
    <x v="0"/>
    <s v="N"/>
    <x v="31"/>
    <s v="Consulado Geral da Nova Zelandia"/>
    <s v="-"/>
    <s v="Latam Airlines Brasil"/>
    <n v="2615495497"/>
    <x v="29"/>
    <s v="-"/>
    <x v="8"/>
    <n v="0"/>
    <n v="500"/>
    <n v="0"/>
    <n v="0"/>
    <n v="0"/>
    <n v="0"/>
    <s v="Reserva importada por HubTravel"/>
    <s v="Matrícula não preenchida! (ACC01)"/>
    <x v="1"/>
    <x v="4"/>
    <s v="Falta de informação Gerencial"/>
    <x v="0"/>
    <s v="Qualidade dos dados"/>
    <s v="KONTIK BUSINESS TRAVEL"/>
    <x v="2"/>
  </r>
  <r>
    <n v="24768035"/>
    <n v="25609799"/>
    <s v="ACC01"/>
    <x v="78"/>
    <d v="2026-07-03T17:10:33"/>
    <x v="1"/>
    <x v="2"/>
    <s v="HEEOHD"/>
    <s v="SABRE"/>
    <s v="CORREA/DENIS"/>
    <s v="Wellington Ribeiro da Silva"/>
    <s v="Wellington Ribeiro da Silva"/>
    <d v="2026-06-10T09:42:00"/>
    <s v="HEEOHD"/>
    <s v="-"/>
    <s v="ON LINE"/>
    <s v="?"/>
    <s v="?"/>
    <x v="0"/>
    <s v="N"/>
    <x v="29"/>
    <s v="Kontik Franstur - Sao Paulo"/>
    <s v="-"/>
    <s v="United"/>
    <s v="-"/>
    <x v="28"/>
    <s v="-"/>
    <x v="75"/>
    <n v="0"/>
    <n v="371.32"/>
    <n v="0"/>
    <n v="0"/>
    <n v="0"/>
    <n v="0"/>
    <s v="Reserva importada por HubTravel"/>
    <s v="Necessário informar o bilhete"/>
    <x v="1"/>
    <x v="15"/>
    <s v="Validação de Dados"/>
    <x v="0"/>
    <s v="Qualidade dos dados"/>
    <s v="GRUPO KONTIK"/>
    <x v="0"/>
  </r>
  <r>
    <n v="24736518"/>
    <n v="25574118"/>
    <s v="ACC01"/>
    <x v="79"/>
    <d v="2026-06-10T02:25:45"/>
    <x v="3"/>
    <x v="1"/>
    <s v="6MB8FK"/>
    <s v="TMS"/>
    <s v="VITOR BENTO"/>
    <s v="Tms"/>
    <s v="Tms"/>
    <d v="2026-06-09T15:27:00"/>
    <n v="1544"/>
    <s v="-"/>
    <s v="ON LINE"/>
    <s v="Cartão de crédito"/>
    <s v="Cartão de crédito"/>
    <x v="1"/>
    <s v="N"/>
    <x v="22"/>
    <s v="-"/>
    <s v="-"/>
    <s v="Mercure Belo Horizonte Lourdes"/>
    <s v="-"/>
    <x v="9"/>
    <s v="-"/>
    <x v="76"/>
    <n v="0"/>
    <n v="0"/>
    <n v="0"/>
    <n v="0"/>
    <n v="32.5"/>
    <n v="0"/>
    <s v="Reserva importada do Sistema TMS. OS: 1544"/>
    <s v="Cliente não preenchido! (ACC01)"/>
    <x v="0"/>
    <x v="13"/>
    <s v="Falta de informação Gerencial"/>
    <x v="0"/>
    <s v="Qualidade dos dados"/>
    <s v="KONTIK BUSINESS TRAVEL"/>
    <x v="3"/>
  </r>
  <r>
    <n v="24798196"/>
    <n v="25639260"/>
    <s v="ACC04"/>
    <x v="62"/>
    <d v="2026-06-22T14:48:38"/>
    <x v="4"/>
    <x v="3"/>
    <s v="JLBGFST"/>
    <s v="SABRE"/>
    <s v="SANTOS/MILSON"/>
    <s v="WU"/>
    <s v="WU"/>
    <d v="2026-06-05T10:25:00"/>
    <s v="JLBGFS"/>
    <s v="-"/>
    <s v="ON LINE"/>
    <s v="Pagamento direto"/>
    <s v="Pagamento direto"/>
    <x v="1"/>
    <s v="N"/>
    <x v="27"/>
    <s v="Grupo Casas Bahia S.a."/>
    <s v="-"/>
    <s v="Slaviero Essential Londrina Flat"/>
    <s v="-"/>
    <x v="25"/>
    <s v="-"/>
    <x v="77"/>
    <n v="0"/>
    <n v="0"/>
    <n v="0"/>
    <n v="0"/>
    <n v="0"/>
    <n v="0"/>
    <s v="Reserva importada por HubTravel"/>
    <s v="Fornecedor não preenchido! (ACC02)"/>
    <x v="1"/>
    <x v="1"/>
    <s v="Campo Fornecedor"/>
    <x v="0"/>
    <s v="Qualidade dos dados"/>
    <s v="KONTIK BUSINESS TRAVEL"/>
    <x v="3"/>
  </r>
  <r>
    <n v="24788725"/>
    <n v="25630389"/>
    <s v="ACC01"/>
    <x v="80"/>
    <d v="2026-06-20T10:25:12"/>
    <x v="5"/>
    <x v="2"/>
    <s v="6OO5IT"/>
    <s v="MANUAL"/>
    <s v="LUIS FERNANDO CARDILLO NUNES ALVES"/>
    <s v="Geovanne Costanzi Prudencio"/>
    <s v="Geovanne Costanzi Prudencio"/>
    <d v="2026-06-20T10:18:00"/>
    <s v="EMERGENCIAL-1353510"/>
    <s v="-"/>
    <s v="OFF LINE"/>
    <s v="Pagamento direto"/>
    <s v="Cartão de crédito"/>
    <x v="2"/>
    <s v="N"/>
    <x v="32"/>
    <s v="Deloitte Assessoria - Sao Paulo"/>
    <s v="-"/>
    <s v="Localiza - Br - Pr - Curitiba - Sao Jose dos Pinhais"/>
    <s v="-"/>
    <x v="18"/>
    <s v="-"/>
    <x v="78"/>
    <n v="199.6"/>
    <n v="0"/>
    <n v="0"/>
    <n v="0"/>
    <n v="0"/>
    <n v="0"/>
    <s v="Emergencial 1353510"/>
    <s v=" Módulo Operações    -&gt; Configurações      -&gt; Configurações do sistema turismo        -&gt; Importação das vendas          -&gt; Entradas/Saídas  Para o "/>
    <x v="2"/>
    <x v="2"/>
    <s v="Forma PG. e REC."/>
    <x v="0"/>
    <s v="Qualidade dos dados"/>
    <s v="KONTIK BUSINESS TRAVEL"/>
    <x v="3"/>
  </r>
  <r>
    <n v="24779473"/>
    <n v="25621742"/>
    <s v="ACC01"/>
    <x v="81"/>
    <d v="2026-06-18T18:51:26"/>
    <x v="5"/>
    <x v="2"/>
    <s v="VMSMKW0"/>
    <s v="TMS"/>
    <s v="PRISCILLA MORAES"/>
    <s v="Adriana Dias de Grano"/>
    <s v="Adriana Dias de Grano"/>
    <d v="2026-06-18T18:15:00"/>
    <n v="133177"/>
    <s v="-"/>
    <s v="OFF LINE"/>
    <s v="Cartão de crédito"/>
    <s v="Cartão AMEX"/>
    <x v="0"/>
    <s v="N"/>
    <x v="32"/>
    <s v="Deloitte Consultores - Recife"/>
    <s v="-"/>
    <s v="Azul Linhas Aereas"/>
    <n v="3025621741"/>
    <x v="30"/>
    <s v="-"/>
    <x v="8"/>
    <n v="0"/>
    <n v="0"/>
    <n v="0"/>
    <n v="0"/>
    <n v="0"/>
    <n v="0"/>
    <s v="Reserva importada do Sistema TMS. OS: 133177"/>
    <s v="Tarifa mínima não preenchida! (ACC01)"/>
    <x v="0"/>
    <x v="10"/>
    <s v="Falta de informação Gerencial"/>
    <x v="0"/>
    <s v="Qualidade dos dados"/>
    <s v="KONTIK BUSINESS TRAVEL"/>
    <x v="3"/>
  </r>
  <r>
    <n v="24774523"/>
    <n v="25616768"/>
    <s v="ACC"/>
    <x v="82"/>
    <d v="2026-06-17T22:01:05"/>
    <x v="5"/>
    <x v="2"/>
    <s v="6OT4QM"/>
    <s v="MANUAL"/>
    <s v="GUSTAVO MAXIMO"/>
    <s v="Maria Eugenia Oliva"/>
    <s v="Maria Eugenia Oliva"/>
    <d v="2026-06-17T21:43:00"/>
    <s v="-"/>
    <s v="-"/>
    <s v="OFF LINE"/>
    <s v="Cartão de crédito"/>
    <s v="Cartão AMEX"/>
    <x v="0"/>
    <s v="N"/>
    <x v="24"/>
    <s v="Basf Sa"/>
    <s v="-"/>
    <s v="Azul Linhas Aereas"/>
    <n v="0"/>
    <x v="18"/>
    <s v="-"/>
    <x v="79"/>
    <n v="0"/>
    <n v="0"/>
    <n v="0"/>
    <n v="0"/>
    <n v="0"/>
    <n v="0"/>
    <s v="-"/>
    <s v="Accouting aérea não possui trechos (Bilhete: 0000000000)"/>
    <x v="2"/>
    <x v="16"/>
    <s v="Atualização de Trechos"/>
    <x v="0"/>
    <s v="Qualidade dos dados"/>
    <s v="KONTIK BUSINESS TRAVEL"/>
    <x v="3"/>
  </r>
  <r>
    <n v="24736517"/>
    <n v="25574117"/>
    <s v="ACC01"/>
    <x v="83"/>
    <d v="2026-06-09T23:25:58"/>
    <x v="3"/>
    <x v="1"/>
    <s v="OWHQTQ"/>
    <s v="TMS"/>
    <s v="VITOR BENTO"/>
    <s v="Tms"/>
    <s v="Tms"/>
    <d v="2026-06-09T15:27:00"/>
    <n v="1544"/>
    <s v="-"/>
    <s v="ON LINE"/>
    <s v="Cartão de crédito"/>
    <s v="Cartão de crédito"/>
    <x v="0"/>
    <s v="N"/>
    <x v="22"/>
    <s v="-"/>
    <s v="-"/>
    <s v="Azul Linhas Aereas"/>
    <n v="3025574117"/>
    <x v="9"/>
    <s v="-"/>
    <x v="80"/>
    <n v="97.29"/>
    <n v="0"/>
    <n v="0"/>
    <n v="0"/>
    <n v="0"/>
    <n v="0"/>
    <s v="Reserva importada do Sistema TMS. OS: 1544"/>
    <s v="Cliente não preenchido! (ACC01)"/>
    <x v="0"/>
    <x v="13"/>
    <s v="Falta de informação Gerencial"/>
    <x v="0"/>
    <s v="Qualidade dos dados"/>
    <s v="KONTIK BUSINESS TRAVEL"/>
    <x v="3"/>
  </r>
  <r>
    <n v="24734275"/>
    <n v="25571911"/>
    <s v="ACC01"/>
    <x v="84"/>
    <d v="2026-07-03T17:10:29"/>
    <x v="1"/>
    <x v="1"/>
    <s v="LNLFFX"/>
    <s v="SABRE"/>
    <s v="RIBEIRO ANDRADE/GEOMAR"/>
    <s v="WY"/>
    <s v="WY"/>
    <d v="2026-06-09T15:24:00"/>
    <s v="LNLFFX"/>
    <s v="-"/>
    <s v="ON LINE"/>
    <s v="?"/>
    <s v="?"/>
    <x v="0"/>
    <s v="N"/>
    <x v="15"/>
    <s v="Bosch Home Comfort do Brasil Ltda"/>
    <s v="-"/>
    <s v="Azul Linhas Aereas"/>
    <s v="-"/>
    <x v="16"/>
    <s v="-"/>
    <x v="8"/>
    <n v="0"/>
    <n v="0"/>
    <n v="0"/>
    <n v="0"/>
    <n v="0"/>
    <n v="0"/>
    <s v="Reserva importada por HubTravel"/>
    <s v="Tarifa mínima não preenchida! (ACC01)"/>
    <x v="1"/>
    <x v="10"/>
    <s v="Falta de informação Gerencial"/>
    <x v="0"/>
    <s v="Qualidade dos dados"/>
    <s v="KONTIK BUSINESS TRAVEL"/>
    <x v="2"/>
  </r>
  <r>
    <n v="24783536"/>
    <n v="25625458"/>
    <s v="ACC01"/>
    <x v="85"/>
    <d v="2026-06-19T12:51:08"/>
    <x v="5"/>
    <x v="2"/>
    <s v="6OHZ83"/>
    <s v="TMS"/>
    <s v="DOS SANTOS/IGOR"/>
    <s v="Cintya Cocco Figueiredo"/>
    <s v="Cintya Cocco Figueiredo"/>
    <d v="2026-06-19T12:30:00"/>
    <n v="50264"/>
    <s v="-"/>
    <s v="OFF LINE"/>
    <s v="Cartão de crédito"/>
    <s v="Cartão AMEX"/>
    <x v="0"/>
    <s v="N"/>
    <x v="28"/>
    <s v="Htb Construcoes"/>
    <s v="-"/>
    <s v="Azul Linhas Aereas"/>
    <n v="3025625458"/>
    <x v="27"/>
    <s v="-"/>
    <x v="8"/>
    <n v="220"/>
    <n v="0"/>
    <n v="0"/>
    <n v="0"/>
    <n v="0"/>
    <n v="0"/>
    <s v="Reserva importada do Sistema TMS. OS: 50264"/>
    <s v="Tarifa mínima não preenchida! (ACC01)"/>
    <x v="0"/>
    <x v="10"/>
    <s v="Falta de informação Gerencial"/>
    <x v="0"/>
    <s v="Qualidade dos dados"/>
    <s v="KONTIK BUSINESS TRAVEL"/>
    <x v="3"/>
  </r>
  <r>
    <n v="24799956"/>
    <n v="25641236"/>
    <s v="ACC01"/>
    <x v="86"/>
    <d v="2026-06-22T20:11:46"/>
    <x v="4"/>
    <x v="3"/>
    <s v="EQV8NH0"/>
    <s v="TMS"/>
    <s v="RODOLFO TONI"/>
    <s v="Adriana Dias de Grano"/>
    <s v="Adriana Dias de Grano"/>
    <d v="2026-06-22T19:13:00"/>
    <n v="3772"/>
    <s v="-"/>
    <s v="OFF LINE"/>
    <s v="Invoice"/>
    <s v="Faturado"/>
    <x v="0"/>
    <s v="N"/>
    <x v="33"/>
    <s v="Genial Consig"/>
    <s v="-"/>
    <s v="Azul Linhas Aereas"/>
    <n v="3025641236"/>
    <x v="2"/>
    <s v="-"/>
    <x v="81"/>
    <n v="0"/>
    <n v="0"/>
    <n v="0"/>
    <n v="0"/>
    <n v="0"/>
    <n v="0"/>
    <s v="Reserva importada do Sistema TMS. OS: 3772"/>
    <s v="Finalidade não preenchida! (ACC01) Convidado não preenchido! (ACC01) Solicitante não preenchido! (ACC01)"/>
    <x v="0"/>
    <x v="6"/>
    <s v="Caractere invalido em campo gerencial"/>
    <x v="1"/>
    <s v="Qualidade dos dados"/>
    <s v="KONTIK BUSINESS TRAVEL"/>
    <x v="3"/>
  </r>
  <r>
    <n v="24766558"/>
    <n v="25608236"/>
    <s v="ACC01"/>
    <x v="87"/>
    <d v="2026-07-03T17:10:32"/>
    <x v="1"/>
    <x v="2"/>
    <s v="GNHYLQ"/>
    <s v="SABRE"/>
    <s v="DOS SANTOS/JOSE CELIO"/>
    <s v="VANESSA ARAUJO ALVES"/>
    <s v="VANESSA ARAUJO ALVES"/>
    <d v="2026-06-16T09:07:00"/>
    <s v="GNHYLQ"/>
    <s v="-"/>
    <s v="ON LINE"/>
    <s v="Cartão de crédito"/>
    <s v="Cartão de crédito"/>
    <x v="0"/>
    <s v="N"/>
    <x v="3"/>
    <s v="Innomotics Motores e Grandes Conversores Ltda"/>
    <s v="-"/>
    <s v="Azul Linhas Aereas"/>
    <n v="7700089713"/>
    <x v="3"/>
    <s v="-"/>
    <x v="82"/>
    <n v="70.33"/>
    <n v="0"/>
    <n v="0"/>
    <n v="0"/>
    <n v="0"/>
    <n v="0"/>
    <s v="Reserva importada por HubTravel"/>
    <s v="Matrícula não preenchida! (ACC01) Departamento não preenchido! (ACC01) Finalidade não preenchida! (ACC01)"/>
    <x v="1"/>
    <x v="5"/>
    <s v="Falta de informação Gerencial"/>
    <x v="0"/>
    <s v="Qualidade dos dados"/>
    <s v="KONTIK BUSINESS TRAVEL"/>
    <x v="2"/>
  </r>
  <r>
    <n v="24778529"/>
    <n v="25620688"/>
    <s v="ACC01"/>
    <x v="88"/>
    <d v="2026-06-18T16:05:40"/>
    <x v="5"/>
    <x v="2"/>
    <n v="23391676"/>
    <s v="GOVER"/>
    <s v="Leonardo Teixeira"/>
    <s v="Priscilla Andrade Sobrinho"/>
    <s v="Priscilla Andrade Sobrinho"/>
    <d v="2026-06-19T00:00:00"/>
    <n v="4712301"/>
    <s v="-"/>
    <s v="OFF LINE"/>
    <s v="Cartão de crédito"/>
    <s v="Faturado"/>
    <x v="1"/>
    <s v="N"/>
    <x v="34"/>
    <s v="Biomerieux"/>
    <s v="-"/>
    <s v="Hilton Barra Rio de Janeiro"/>
    <s v="-"/>
    <x v="31"/>
    <s v="-"/>
    <x v="83"/>
    <n v="150"/>
    <n v="0"/>
    <n v="0"/>
    <n v="0"/>
    <n v="0"/>
    <n v="0"/>
    <s v="Reserva importada do sistema Gover. Id: 4712301"/>
    <s v=" Configurações        -&gt; Configurações do sistema turismo          -&gt; Importação das vendas            -&gt; Impedir vendas com data superior à atual"/>
    <x v="3"/>
    <x v="2"/>
    <s v="Forma PG. e REC."/>
    <x v="0"/>
    <s v="Qualidade dos dados"/>
    <s v="KONTIK BUSINESS TRAVEL"/>
    <x v="3"/>
  </r>
  <r>
    <n v="24803447"/>
    <n v="25644787"/>
    <s v="ACC01"/>
    <x v="89"/>
    <d v="2026-07-03T17:06:51"/>
    <x v="1"/>
    <x v="3"/>
    <s v="GAPYNST"/>
    <s v="SABRE"/>
    <s v="DE ALMEIDA OLIVEIRA/JESSICA"/>
    <s v="MARIA CECILIA PEREIRA SILVA"/>
    <s v="MARIA CECILIA PEREIRA SILVA"/>
    <d v="2026-06-18T14:24:00"/>
    <s v="GAPYNS"/>
    <s v="-"/>
    <s v="ON LINE"/>
    <s v="Cartão de crédito"/>
    <s v="Cartão de crédito"/>
    <x v="1"/>
    <s v="N"/>
    <x v="1"/>
    <s v="Honeywell"/>
    <s v="Cliente FEE no POS"/>
    <s v="Doubletree Santiago Vitacura"/>
    <s v="-"/>
    <x v="1"/>
    <s v="-"/>
    <x v="84"/>
    <n v="0"/>
    <n v="0"/>
    <n v="0"/>
    <n v="0"/>
    <n v="0"/>
    <n v="55"/>
    <s v="Reserva importada por HubTravel"/>
    <s v="Centro de custo não preenchido! (ACC01)"/>
    <x v="1"/>
    <x v="17"/>
    <s v="Falta de informação Gerencial"/>
    <x v="0"/>
    <s v="Qualidade dos dados"/>
    <s v="KONTIK BUSINESS TRAVEL"/>
    <x v="2"/>
  </r>
  <r>
    <n v="24770899"/>
    <n v="25612570"/>
    <s v="ACC01"/>
    <x v="90"/>
    <d v="2026-06-17T14:41:13"/>
    <x v="5"/>
    <x v="2"/>
    <s v="6NKIKI"/>
    <s v="TMS"/>
    <s v="JEAN RODRIGUES"/>
    <s v="Tms"/>
    <s v="Tms"/>
    <d v="2026-06-17T07:41:00"/>
    <n v="114592"/>
    <s v="-"/>
    <s v="ON LINE"/>
    <s v="Cartão de crédito"/>
    <s v="Cartão de crédito"/>
    <x v="1"/>
    <s v="N"/>
    <x v="35"/>
    <s v="Neogas do Brasil Gas Natural Comprimido S.a."/>
    <s v="-"/>
    <s v="Intercity Shopping Gravatai"/>
    <s v="-"/>
    <x v="2"/>
    <s v="-"/>
    <x v="85"/>
    <n v="0"/>
    <n v="0"/>
    <n v="0"/>
    <n v="0"/>
    <n v="46.2"/>
    <n v="0"/>
    <s v="Reserva importada do Sistema TMS. OS: 114592"/>
    <s v="Empenho/departamento não preenchido! (ACC01)"/>
    <x v="0"/>
    <x v="7"/>
    <s v="Falta de informação Gerencial"/>
    <x v="0"/>
    <s v="Qualidade dos dados"/>
    <s v="KONTIK BUSINESS TRAVEL"/>
    <x v="3"/>
  </r>
  <r>
    <n v="24744579"/>
    <n v="25583206"/>
    <s v="ACC01"/>
    <x v="91"/>
    <d v="2026-07-03T17:06:16"/>
    <x v="1"/>
    <x v="1"/>
    <s v="STEDWST"/>
    <s v="SABRE"/>
    <s v="ZAMARA/RODRIGO ALBERTO MR"/>
    <s v="VANESSA ARAUJO ALVES"/>
    <s v="VANESSA ARAUJO ALVES"/>
    <d v="2026-06-11T07:57:00"/>
    <s v="STEDWS"/>
    <s v="-"/>
    <s v="ON LINE"/>
    <s v="Cartão de crédito"/>
    <s v="Cartão de crédito"/>
    <x v="1"/>
    <s v="N"/>
    <x v="17"/>
    <s v="Iron Mountain"/>
    <s v="-"/>
    <s v="Nh Collection Royal Hacienda (travelclick)"/>
    <s v="-"/>
    <x v="17"/>
    <s v="-"/>
    <x v="86"/>
    <n v="84.56"/>
    <n v="0"/>
    <n v="0"/>
    <n v="0"/>
    <n v="0"/>
    <n v="0"/>
    <s v="Reserva importada por HubTravel"/>
    <s v="Matrícula não preenchida! (ACC02)"/>
    <x v="1"/>
    <x v="4"/>
    <s v="Falta de informação Gerencial"/>
    <x v="0"/>
    <s v="Qualidade dos dados"/>
    <s v="KONTIK BUSINESS TRAVEL"/>
    <x v="2"/>
  </r>
  <r>
    <n v="24744579"/>
    <n v="25583207"/>
    <s v="ACC02"/>
    <x v="91"/>
    <d v="2026-07-03T17:06:16"/>
    <x v="1"/>
    <x v="1"/>
    <s v="STEDWST"/>
    <s v="SABRE"/>
    <s v="ZAMARA/RODRIGO ALBERTO MR"/>
    <s v="VANESSA ARAUJO ALVES"/>
    <s v="VANESSA ARAUJO ALVES"/>
    <d v="2026-06-11T07:57:00"/>
    <s v="STEDWS"/>
    <s v="-"/>
    <s v="ON LINE"/>
    <s v="Cartão de crédito"/>
    <s v="Cartão de crédito"/>
    <x v="1"/>
    <s v="N"/>
    <x v="17"/>
    <s v="Iron Mountain"/>
    <s v="-"/>
    <s v="Nh Collection Royal Hacienda (travelclick)"/>
    <s v="-"/>
    <x v="17"/>
    <s v="-"/>
    <x v="86"/>
    <n v="84.56"/>
    <n v="0"/>
    <n v="0"/>
    <n v="0"/>
    <n v="0"/>
    <n v="0"/>
    <s v="Reserva importada por HubTravel"/>
    <s v="Matrícula não preenchida! (ACC02)"/>
    <x v="1"/>
    <x v="4"/>
    <s v="Falta de informação Gerencial"/>
    <x v="0"/>
    <s v="Qualidade dos dados"/>
    <s v="KONTIK BUSINESS TRAVEL"/>
    <x v="2"/>
  </r>
  <r>
    <n v="24782879"/>
    <n v="25624759"/>
    <s v="ACC01"/>
    <x v="92"/>
    <d v="2026-06-20T03:15:11"/>
    <x v="5"/>
    <x v="2"/>
    <n v="23399707"/>
    <s v="GOVER"/>
    <s v="N/I"/>
    <s v="Jose Luiz Lace Rodrigues"/>
    <s v="Jose Luiz Lace Rodrigues"/>
    <d v="2026-06-19T00:00:00"/>
    <n v="4712739"/>
    <s v="-"/>
    <s v="OFF LINE"/>
    <s v="Cartão de crédito"/>
    <s v="Cartão de crédito"/>
    <x v="1"/>
    <s v="N"/>
    <x v="26"/>
    <s v="Bat | Souza Cruz - Matriz"/>
    <s v="-"/>
    <s v="Hilton Rio de Janeiro Copacabana"/>
    <s v="-"/>
    <x v="24"/>
    <s v="-"/>
    <x v="87"/>
    <n v="675"/>
    <n v="0"/>
    <n v="0"/>
    <n v="0"/>
    <n v="0"/>
    <n v="0"/>
    <s v="Reserva importada do sistema Gover. Id: 4712739"/>
    <s v="Centro de custo não preenchido! (ACC01)"/>
    <x v="3"/>
    <x v="17"/>
    <s v="Falta de informação Gerencial"/>
    <x v="0"/>
    <s v="Qualidade dos dados"/>
    <s v="KONTIK BUSINESS TRAVEL"/>
    <x v="2"/>
  </r>
  <r>
    <n v="24782880"/>
    <n v="25624760"/>
    <s v="ACC01"/>
    <x v="92"/>
    <d v="2026-06-20T03:15:11"/>
    <x v="5"/>
    <x v="2"/>
    <n v="23399732"/>
    <s v="GOVER"/>
    <s v="N/I"/>
    <s v="Jose Luiz Lace Rodrigues"/>
    <s v="Jose Luiz Lace Rodrigues"/>
    <d v="2026-06-19T00:00:00"/>
    <n v="4712739"/>
    <s v="-"/>
    <s v="OFF LINE"/>
    <s v="Cartão de crédito"/>
    <s v="Cartão de crédito"/>
    <x v="1"/>
    <s v="N"/>
    <x v="26"/>
    <s v="Bat | Souza Cruz - Matriz"/>
    <s v="-"/>
    <s v="Hilton Rio de Janeiro Copacabana"/>
    <s v="-"/>
    <x v="24"/>
    <s v="-"/>
    <x v="87"/>
    <n v="675"/>
    <n v="0"/>
    <n v="0"/>
    <n v="0"/>
    <n v="0"/>
    <n v="0"/>
    <s v="Reserva importada do sistema Gover. Id: 4712739"/>
    <s v="Centro de custo não preenchido! (ACC01)"/>
    <x v="3"/>
    <x v="17"/>
    <s v="Falta de informação Gerencial"/>
    <x v="0"/>
    <s v="Qualidade dos dados"/>
    <s v="KONTIK BUSINESS TRAVEL"/>
    <x v="2"/>
  </r>
  <r>
    <n v="24782933"/>
    <n v="25624806"/>
    <s v="ACC01"/>
    <x v="93"/>
    <d v="2026-06-20T03:20:47"/>
    <x v="5"/>
    <x v="2"/>
    <s v="h4712605a"/>
    <s v="GOVER"/>
    <s v="N/I"/>
    <s v="Gover"/>
    <s v="Gover"/>
    <d v="2026-06-19T11:01:00"/>
    <n v="4712624"/>
    <s v="-"/>
    <s v="OFF LINE"/>
    <s v="Cartão de crédito"/>
    <s v="Cartão de crédito"/>
    <x v="1"/>
    <s v="N"/>
    <x v="26"/>
    <s v="Bat | Souza Cruz - Matriz"/>
    <s v="-"/>
    <s v="Bartz Hotel - Camaqua"/>
    <s v="-"/>
    <x v="24"/>
    <s v="-"/>
    <x v="88"/>
    <n v="0"/>
    <n v="0"/>
    <n v="0"/>
    <n v="0"/>
    <n v="0"/>
    <n v="0"/>
    <s v="Reserva importada do sistema Gover. Id: 4712624"/>
    <s v="Centro de custo não preenchido! (ACC01)"/>
    <x v="3"/>
    <x v="17"/>
    <s v="Falta de informação Gerencial"/>
    <x v="0"/>
    <s v="Qualidade dos dados"/>
    <s v="KONTIK BUSINESS TRAVEL"/>
    <x v="2"/>
  </r>
  <r>
    <n v="24782933"/>
    <n v="25624807"/>
    <s v="ACC02"/>
    <x v="93"/>
    <d v="2026-06-20T03:20:47"/>
    <x v="5"/>
    <x v="2"/>
    <s v="h4712605a"/>
    <s v="GOVER"/>
    <s v="FLUVIO  JANISCH"/>
    <s v="Gover"/>
    <s v="Gover"/>
    <d v="2026-06-19T11:01:00"/>
    <n v="4712624"/>
    <s v="-"/>
    <s v="OFF LINE"/>
    <s v="Cartão de crédito"/>
    <s v="Cartão de crédito"/>
    <x v="1"/>
    <s v="N"/>
    <x v="26"/>
    <s v="Bat | Souza Cruz - Matriz"/>
    <s v="-"/>
    <s v="Bartz Hotel - Camaqua"/>
    <s v="-"/>
    <x v="24"/>
    <s v="-"/>
    <x v="88"/>
    <n v="0"/>
    <n v="0"/>
    <n v="0"/>
    <n v="0"/>
    <n v="0"/>
    <n v="0"/>
    <s v="Reserva importada do sistema Gover. Id: 4712624"/>
    <s v="Centro de custo não preenchido! (ACC01)"/>
    <x v="3"/>
    <x v="17"/>
    <s v="Falta de informação Gerencial"/>
    <x v="0"/>
    <s v="Qualidade dos dados"/>
    <s v="KONTIK BUSINESS TRAVEL"/>
    <x v="2"/>
  </r>
  <r>
    <n v="24752245"/>
    <n v="25592535"/>
    <s v="ACC01"/>
    <x v="94"/>
    <d v="2026-07-02T12:28:02"/>
    <x v="1"/>
    <x v="1"/>
    <s v="6NRJ3D"/>
    <s v="TMS"/>
    <s v="CARLOS AUGUSTO BRANDAO"/>
    <s v="Renato Ferreira Gomes"/>
    <s v="Renato Ferreira Gomes"/>
    <d v="2026-06-12T19:37:00"/>
    <n v="20892"/>
    <s v="-"/>
    <s v="OFF LINE"/>
    <s v="Cartão de crédito"/>
    <s v="Faturado"/>
    <x v="1"/>
    <s v="N"/>
    <x v="36"/>
    <s v="Braskem - Camacari"/>
    <s v="-"/>
    <s v="Hilton Rotterdam"/>
    <s v="-"/>
    <x v="32"/>
    <s v="-"/>
    <x v="89"/>
    <n v="0"/>
    <n v="0"/>
    <n v="0"/>
    <n v="0"/>
    <n v="0"/>
    <n v="0"/>
    <s v="Reserva importada do Sistema TMS. OS: 20892"/>
    <s v="Erro excluindo PNR: Não é possivel excluir a accounting de código: 26681469. A mesma está ligada a conciliação de cartão &quot;ANTECIPAÇÃO REDE "/>
    <x v="0"/>
    <x v="18"/>
    <s v="Financeiro Conciliado"/>
    <x v="3"/>
    <s v="Processo Operacional"/>
    <s v="KONTIK BUSINESS TRAVEL"/>
    <x v="3"/>
  </r>
  <r>
    <n v="24798196"/>
    <n v="25639257"/>
    <s v="ACC01"/>
    <x v="62"/>
    <d v="2026-06-22T14:48:38"/>
    <x v="4"/>
    <x v="3"/>
    <s v="JLBGFST"/>
    <s v="SABRE"/>
    <s v="SANTOS/MILSON"/>
    <s v="WU"/>
    <s v="WU"/>
    <d v="2026-06-05T10:25:00"/>
    <s v="JLBGFS"/>
    <s v="-"/>
    <s v="ON LINE"/>
    <s v="Pagamento direto"/>
    <s v="Pagamento direto"/>
    <x v="1"/>
    <s v="N"/>
    <x v="27"/>
    <s v="Grupo Casas Bahia S.a."/>
    <s v="-"/>
    <s v="Bogari Hotel Foz do Iguacu"/>
    <s v="-"/>
    <x v="25"/>
    <s v="-"/>
    <x v="90"/>
    <n v="0"/>
    <n v="0"/>
    <n v="0"/>
    <n v="0"/>
    <n v="0"/>
    <n v="0"/>
    <s v="Reserva importada por HubTravel"/>
    <s v="Fornecedor não preenchido! (ACC02)"/>
    <x v="1"/>
    <x v="1"/>
    <s v="Campo Fornecedor"/>
    <x v="0"/>
    <s v="Qualidade dos dados"/>
    <s v="KONTIK BUSINESS TRAVEL"/>
    <x v="3"/>
  </r>
  <r>
    <n v="24782793"/>
    <n v="25624674"/>
    <s v="ACC01"/>
    <x v="95"/>
    <d v="2026-06-20T03:14:45"/>
    <x v="5"/>
    <x v="2"/>
    <s v="h4712632b"/>
    <s v="GOVER"/>
    <s v="N/I"/>
    <s v="Gover"/>
    <s v="Gover"/>
    <d v="2026-06-19T10:42:00"/>
    <n v="4712632"/>
    <s v="-"/>
    <s v="OFF LINE"/>
    <s v="Cartão de crédito"/>
    <s v="Cartão de crédito"/>
    <x v="1"/>
    <s v="N"/>
    <x v="26"/>
    <s v="Bat | Souza Cruz - Matriz"/>
    <s v="-"/>
    <s v="Bei Monti Hotel"/>
    <s v="-"/>
    <x v="24"/>
    <s v="-"/>
    <x v="91"/>
    <n v="920"/>
    <n v="0"/>
    <n v="0"/>
    <n v="0"/>
    <n v="0"/>
    <n v="0"/>
    <s v="Reserva importada do sistema Gover. Id: 4712632"/>
    <s v="Centro de custo não preenchido! (ACC01)"/>
    <x v="3"/>
    <x v="17"/>
    <s v="Falta de informação Gerencial"/>
    <x v="0"/>
    <s v="Qualidade dos dados"/>
    <s v="KONTIK BUSINESS TRAVEL"/>
    <x v="2"/>
  </r>
  <r>
    <n v="24786034"/>
    <n v="25628135"/>
    <s v="ACC01"/>
    <x v="96"/>
    <d v="2026-06-19T19:57:39"/>
    <x v="5"/>
    <x v="2"/>
    <s v="6OSIHV"/>
    <s v="TMS"/>
    <s v="WILLIAM NEVER"/>
    <s v="Tms"/>
    <s v="Tms"/>
    <d v="2026-06-19T17:23:00"/>
    <n v="77"/>
    <s v="-"/>
    <s v="OFF LINE"/>
    <s v="Invoice"/>
    <s v="Faturado"/>
    <x v="1"/>
    <s v="N"/>
    <x v="22"/>
    <s v="Eduardo Augusto Pontes de Vasconcellos"/>
    <s v="-"/>
    <s v="4living Bela Vista"/>
    <s v="-"/>
    <x v="9"/>
    <s v="-"/>
    <x v="92"/>
    <n v="0"/>
    <n v="0"/>
    <n v="0"/>
    <n v="0"/>
    <n v="0"/>
    <n v="0"/>
    <s v="Reserva importada do Sistema TMS. OS: 77"/>
    <s v="Canal de venda não preenchido! (ACC01)"/>
    <x v="0"/>
    <x v="19"/>
    <s v="Falta de informação Gerencial"/>
    <x v="0"/>
    <s v="Qualidade dos dados"/>
    <s v="KONTIK BUSINESS TRAVEL"/>
    <x v="3"/>
  </r>
  <r>
    <n v="24778394"/>
    <n v="25620543"/>
    <s v="ACC01"/>
    <x v="97"/>
    <d v="2026-07-03T17:06:37"/>
    <x v="1"/>
    <x v="2"/>
    <s v="AIPYQKT"/>
    <s v="SABRE"/>
    <s v="HORTA DOS SANTOS/HELENA BARBOSA"/>
    <s v="JULIANE MARTINS FERREIRA"/>
    <s v="JULIANE MARTINS FERREIRA"/>
    <d v="2026-06-16T16:55:00"/>
    <s v="IZUFQT"/>
    <s v="-"/>
    <s v="ON LINE"/>
    <s v="Cartão de crédito"/>
    <s v="Cartão de crédito"/>
    <x v="1"/>
    <s v="N"/>
    <x v="16"/>
    <s v="Livanova Brasil"/>
    <s v="-"/>
    <s v="Slaviero Sao Paulo Ibirapuera"/>
    <s v="-"/>
    <x v="3"/>
    <s v="-"/>
    <x v="93"/>
    <n v="30.9"/>
    <n v="0"/>
    <n v="0"/>
    <n v="0"/>
    <n v="0"/>
    <n v="0"/>
    <s v="Reserva importada por HubTravel"/>
    <s v="Centro de custo não preenchido! (ACC01)"/>
    <x v="1"/>
    <x v="17"/>
    <s v="Falta de informação Gerencial"/>
    <x v="0"/>
    <s v="Qualidade dos dados"/>
    <s v="KONTIK BUSINESS TRAVEL"/>
    <x v="2"/>
  </r>
  <r>
    <n v="24747713"/>
    <n v="25586715"/>
    <s v="ACC01"/>
    <x v="52"/>
    <d v="2026-07-03T17:06:16"/>
    <x v="1"/>
    <x v="1"/>
    <s v="NPLPZXT"/>
    <s v="SABRE"/>
    <s v="VESPERO/JOAO FORTUNATO PEDROTTI MR"/>
    <s v="CT"/>
    <s v="CT"/>
    <d v="2026-06-12T05:19:00"/>
    <s v="NPLPZX"/>
    <s v="-"/>
    <s v="OFF LINE"/>
    <s v="Pagamento direto"/>
    <s v="Pagamento direto"/>
    <x v="1"/>
    <s v="N"/>
    <x v="24"/>
    <s v="Basf Sa"/>
    <s v="-"/>
    <s v="Hotel Palace Puebla"/>
    <s v="-"/>
    <x v="22"/>
    <s v="-"/>
    <x v="94"/>
    <n v="0"/>
    <n v="0"/>
    <n v="0"/>
    <n v="0"/>
    <n v="0"/>
    <n v="0"/>
    <s v="Reserva importada por HubTravel"/>
    <s v="Fornecedor não preenchido! (ACC02)"/>
    <x v="1"/>
    <x v="1"/>
    <s v="Campo Fornecedor"/>
    <x v="0"/>
    <s v="Sistêmico"/>
    <s v="GRUPO KONTIK"/>
    <x v="1"/>
  </r>
  <r>
    <n v="24786331"/>
    <n v="25628442"/>
    <s v="ACC01"/>
    <x v="98"/>
    <d v="2026-07-03T17:06:50"/>
    <x v="1"/>
    <x v="2"/>
    <s v="YILGITT"/>
    <s v="SABRE"/>
    <s v="LIMA DA SILVA/RAIANE KELLY MRS"/>
    <s v="VITOR TEICHMANN"/>
    <s v="VITOR TEICHMANN"/>
    <d v="2026-06-19T14:04:00"/>
    <s v="YILGIT"/>
    <s v="-"/>
    <s v="ON LINE"/>
    <s v="Cartão de crédito"/>
    <s v="Cartão de crédito"/>
    <x v="1"/>
    <s v="N"/>
    <x v="37"/>
    <s v="Amway do Brasil"/>
    <s v="-"/>
    <s v="Nh Collection Bogota Terra 100 Royal"/>
    <s v="-"/>
    <x v="33"/>
    <s v="-"/>
    <x v="95"/>
    <n v="113.54"/>
    <n v="0"/>
    <n v="0"/>
    <n v="0"/>
    <n v="0"/>
    <n v="0"/>
    <s v="Reserva importada por HubTravel"/>
    <s v="Matrícula não preenchida! (ACC01)"/>
    <x v="1"/>
    <x v="4"/>
    <s v="Falta de informação Gerencial"/>
    <x v="0"/>
    <s v="Qualidade dos dados"/>
    <s v="KONTIK BUSINESS TRAVEL"/>
    <x v="2"/>
  </r>
  <r>
    <n v="24794893"/>
    <n v="25636136"/>
    <s v="ACC01"/>
    <x v="99"/>
    <d v="2026-06-21T22:30:58"/>
    <x v="4"/>
    <x v="3"/>
    <s v="6O94J7"/>
    <s v="MANUAL"/>
    <s v="LUCAS CRUZ"/>
    <s v="EVA SILVA FERREIRA"/>
    <s v="EVA SILVA FERREIRA"/>
    <d v="2026-06-21T22:21:00"/>
    <s v="EMAIL"/>
    <s v="-"/>
    <s v="OFF LINE"/>
    <s v="Invoice"/>
    <s v="Pagamento direto"/>
    <x v="3"/>
    <s v="N"/>
    <x v="5"/>
    <s v="Oceanpact Servicos Maritimos"/>
    <s v="-"/>
    <s v="Paxcar Agencia de Viagem e Turismo"/>
    <s v="-"/>
    <x v="18"/>
    <s v="-"/>
    <x v="96"/>
    <n v="0"/>
    <n v="0"/>
    <n v="0"/>
    <n v="0"/>
    <n v="0"/>
    <n v="0"/>
    <s v="Atendimento emergencial"/>
    <s v=" Módulo Operações    -&gt; Configurações      -&gt; Configurações do sistema turismo        -&gt; Importação das vendas          -&gt; Entradas/Saídas  Para o "/>
    <x v="2"/>
    <x v="2"/>
    <s v="Forma PG. e REC."/>
    <x v="0"/>
    <s v="Qualidade dos dados"/>
    <s v="KONTIK BUSINESS TRAVEL"/>
    <x v="3"/>
  </r>
  <r>
    <n v="24776995"/>
    <n v="25619085"/>
    <s v="ACC01"/>
    <x v="100"/>
    <d v="2026-07-03T17:06:37"/>
    <x v="1"/>
    <x v="2"/>
    <s v="NJJRYKT"/>
    <s v="SABRE"/>
    <s v="CAMPOS JUNQUEIRA GRANDINO/LUANA"/>
    <s v="VANESSA ARAUJO ALVES"/>
    <s v="VANESSA ARAUJO ALVES"/>
    <d v="2026-06-16T12:28:00"/>
    <s v="NJJRYK"/>
    <s v="-"/>
    <s v="ON LINE"/>
    <s v="Cartão de crédito"/>
    <s v="Cartão de crédito"/>
    <x v="1"/>
    <s v="N"/>
    <x v="17"/>
    <s v="Iron Mountain"/>
    <s v="-"/>
    <s v="Hyatt House Mexico City Santa Fe"/>
    <s v="-"/>
    <x v="17"/>
    <s v="-"/>
    <x v="97"/>
    <n v="101.78"/>
    <n v="0"/>
    <n v="0"/>
    <n v="0"/>
    <n v="0"/>
    <n v="0"/>
    <s v="Reserva importada por HubTravel"/>
    <s v="Matrícula não preenchida! (ACC01)"/>
    <x v="1"/>
    <x v="4"/>
    <s v="Falta de informação Gerencial"/>
    <x v="0"/>
    <s v="Qualidade dos dados"/>
    <s v="KONTIK BUSINESS TRAVEL"/>
    <x v="2"/>
  </r>
  <r>
    <n v="24803241"/>
    <n v="25644608"/>
    <s v="ACC01"/>
    <x v="101"/>
    <d v="2026-07-03T17:06:51"/>
    <x v="1"/>
    <x v="3"/>
    <s v="WKIGYPT"/>
    <s v="SABRE"/>
    <s v="ZAHER/JAMIL ZEIN"/>
    <s v="BRUNA SEBBEN"/>
    <s v="BRUNA SEBBEN"/>
    <d v="2026-06-22T13:53:00"/>
    <s v="WKIGYP"/>
    <s v="-"/>
    <s v="ON LINE"/>
    <s v="Cartão de crédito"/>
    <s v="Cartão de crédito"/>
    <x v="1"/>
    <s v="N"/>
    <x v="38"/>
    <s v="Ihs Brasil Cessao de Infraestruturas S a"/>
    <s v="-"/>
    <s v="Swissotel Al Murooj Dubai"/>
    <s v="-"/>
    <x v="7"/>
    <s v="-"/>
    <x v="98"/>
    <n v="1612.5"/>
    <n v="0"/>
    <n v="0"/>
    <n v="0"/>
    <n v="0"/>
    <n v="0"/>
    <s v="Reserva importada por HubTravel"/>
    <s v="Empenho/departamento não preenchido! (ACC01)"/>
    <x v="1"/>
    <x v="7"/>
    <s v="Falta de informação Gerencial"/>
    <x v="0"/>
    <s v="Qualidade dos dados"/>
    <s v="KONTIK BUSINESS TRAVEL"/>
    <x v="2"/>
  </r>
  <r>
    <n v="24776261"/>
    <n v="25618247"/>
    <s v="ACC01"/>
    <x v="102"/>
    <d v="2026-06-25T17:20:36"/>
    <x v="4"/>
    <x v="2"/>
    <s v="MV4HN1LK4ERBR"/>
    <s v="GOVER"/>
    <s v="MARCOS ANTONIO FELIPE"/>
    <s v="DANIELLE RIZZETO BEZERRA ALVES"/>
    <s v="DANIELLE RIZZETO BEZERRA ALVES"/>
    <d v="2026-06-18T09:09:00"/>
    <n v="4712096"/>
    <s v="Movida"/>
    <s v="OFF LINE"/>
    <s v="Invoice"/>
    <s v="Cartão de crédito"/>
    <x v="2"/>
    <s v="N"/>
    <x v="39"/>
    <s v="Intercement Nacoes Unidas"/>
    <s v="-"/>
    <s v="Movida - Br - Sp - Sao Paulo - Aeroporto Congonhas"/>
    <s v="-"/>
    <x v="34"/>
    <s v="-"/>
    <x v="99"/>
    <n v="0"/>
    <n v="0"/>
    <n v="0"/>
    <n v="0"/>
    <n v="0"/>
    <n v="0"/>
    <s v="Reserva importada do sistema Gover. Id: 4712096"/>
    <s v=" Módulo Operações    -&gt; Configurações      -&gt; Configurações do sistema turismo        -&gt; Importação das vendas          -&gt; Entradas/Saídas  Para o "/>
    <x v="3"/>
    <x v="2"/>
    <s v="Forma PG. e REC."/>
    <x v="0"/>
    <s v="Qualidade dos dados"/>
    <s v="KONTIK BUSINESS TRAVEL"/>
    <x v="3"/>
  </r>
  <r>
    <n v="24807258"/>
    <n v="25648554"/>
    <s v="ACC01"/>
    <x v="103"/>
    <d v="2026-06-23T22:22:16"/>
    <x v="4"/>
    <x v="3"/>
    <s v="6PFIUX"/>
    <s v="TMS"/>
    <s v="LANA FERNANDES ARAUJO"/>
    <s v="Jessica Soares Teixeira"/>
    <s v="Jessica Soares Teixeira"/>
    <d v="2026-06-23T17:12:00"/>
    <n v="114557"/>
    <s v="-"/>
    <s v="OFF LINE"/>
    <s v="Cartão de crédito"/>
    <s v="Cartão de crédito"/>
    <x v="1"/>
    <s v="N"/>
    <x v="40"/>
    <s v="Bahiana Distribuidora de Gas"/>
    <s v="-"/>
    <s v="-"/>
    <s v="-"/>
    <x v="2"/>
    <s v="-"/>
    <x v="100"/>
    <n v="0"/>
    <n v="0"/>
    <n v="0"/>
    <n v="0"/>
    <n v="0"/>
    <n v="0"/>
    <s v="Reserva importada do Sistema TMS. OS: 114557"/>
    <s v="Fornecedor não preenchido! (ACC01)"/>
    <x v="0"/>
    <x v="1"/>
    <s v="Campo Fornecedor"/>
    <x v="0"/>
    <s v="Qualidade dos dados"/>
    <s v="KONTIK BUSINESS TRAVEL"/>
    <x v="4"/>
  </r>
  <r>
    <n v="24807400"/>
    <n v="25648685"/>
    <s v="ACC01"/>
    <x v="104"/>
    <d v="2026-06-23T22:46:24"/>
    <x v="4"/>
    <x v="3"/>
    <s v="6PEKIW"/>
    <s v="TMS"/>
    <s v="FRANCISCO RUIZ"/>
    <s v="Tms"/>
    <s v="Tms"/>
    <d v="2026-06-23T16:11:00"/>
    <n v="21306"/>
    <s v="São Paulo / CGH"/>
    <s v="ON LINE"/>
    <s v="Invoice"/>
    <s v="Faturado"/>
    <x v="2"/>
    <s v="N"/>
    <x v="36"/>
    <s v="Braskem - Camacari"/>
    <s v="-"/>
    <s v="-"/>
    <s v="-"/>
    <x v="32"/>
    <s v="-"/>
    <x v="101"/>
    <n v="0"/>
    <n v="0"/>
    <n v="0"/>
    <n v="0"/>
    <n v="0"/>
    <n v="0"/>
    <s v="Reserva importada do Sistema TMS. OS: 21306"/>
    <s v="Fornecedor não preenchido! (ACC01)"/>
    <x v="0"/>
    <x v="1"/>
    <s v="Campo Fornecedor"/>
    <x v="0"/>
    <s v="Qualidade dos dados"/>
    <s v="KONTIK BUSINESS TRAVEL"/>
    <x v="4"/>
  </r>
  <r>
    <n v="24804762"/>
    <n v="25646111"/>
    <s v="ACC01"/>
    <x v="105"/>
    <d v="2026-06-23T16:28:30"/>
    <x v="4"/>
    <x v="3"/>
    <s v="6P7WHZ"/>
    <s v="TMS"/>
    <s v="VINICIUS OLIVEIRA"/>
    <s v="Tms"/>
    <s v="Tms"/>
    <d v="2026-06-23T11:33:00"/>
    <n v="21297"/>
    <s v="São Paulo / CGH"/>
    <s v="ON LINE"/>
    <s v="Invoice"/>
    <s v="Faturado"/>
    <x v="2"/>
    <s v="N"/>
    <x v="36"/>
    <s v="Braskem - Camacari"/>
    <s v="-"/>
    <s v="-"/>
    <s v="-"/>
    <x v="32"/>
    <s v="-"/>
    <x v="102"/>
    <n v="0"/>
    <n v="0"/>
    <n v="0"/>
    <n v="0"/>
    <n v="0"/>
    <n v="0"/>
    <s v="Reserva importada do Sistema TMS. OS: 21297"/>
    <s v="Fornecedor não preenchido! (ACC01)"/>
    <x v="0"/>
    <x v="1"/>
    <s v="Campo Fornecedor"/>
    <x v="0"/>
    <s v="Qualidade dos dados"/>
    <s v="KONTIK BUSINESS TRAVEL"/>
    <x v="4"/>
  </r>
  <r>
    <n v="24828575"/>
    <n v="25667115"/>
    <s v="ACC01"/>
    <x v="106"/>
    <d v="2026-06-27T15:27:44"/>
    <x v="4"/>
    <x v="3"/>
    <s v="6QRQ52"/>
    <s v="TMS"/>
    <s v="HELENO NEVES JUNIOR"/>
    <s v="Tms"/>
    <s v="Tms"/>
    <d v="2026-06-27T11:44:00"/>
    <n v="21435"/>
    <s v="Rio de Janeiro / SDU"/>
    <s v="ON LINE"/>
    <s v="Invoice"/>
    <s v="Faturado"/>
    <x v="2"/>
    <s v="N"/>
    <x v="36"/>
    <s v="Braskem - Camacari"/>
    <s v="-"/>
    <s v="-"/>
    <s v="-"/>
    <x v="32"/>
    <s v="-"/>
    <x v="103"/>
    <n v="0"/>
    <n v="0"/>
    <n v="0"/>
    <n v="0"/>
    <n v="0"/>
    <n v="0"/>
    <s v="Reserva importada do Sistema TMS. OS: 21435"/>
    <s v="Fornecedor não preenchido! (ACC01)"/>
    <x v="0"/>
    <x v="1"/>
    <s v="Campo Fornecedor"/>
    <x v="0"/>
    <s v="Qualidade dos dados"/>
    <s v="KONTIK BUSINESS TRAVEL"/>
    <x v="4"/>
  </r>
  <r>
    <n v="24803589"/>
    <n v="25644954"/>
    <s v="ACC01"/>
    <x v="107"/>
    <d v="2026-06-23T12:45:53"/>
    <x v="4"/>
    <x v="3"/>
    <s v="QRUZRTT"/>
    <s v="SABRE"/>
    <s v="ALVES ROIM/RODOLFO MR"/>
    <s v="VANESSA ARAUJO ALVES"/>
    <s v="VANESSA ARAUJO ALVES"/>
    <d v="2026-06-22T13:20:00"/>
    <s v="QRUZRT"/>
    <s v="-"/>
    <s v="ON LINE"/>
    <s v="Cartão de crédito"/>
    <s v="Cartão de crédito"/>
    <x v="1"/>
    <s v="N"/>
    <x v="17"/>
    <s v="Iron Mountain"/>
    <s v="-"/>
    <s v="-"/>
    <s v="-"/>
    <x v="17"/>
    <s v="-"/>
    <x v="104"/>
    <n v="269.22000000000003"/>
    <n v="0"/>
    <n v="0"/>
    <n v="0"/>
    <n v="0"/>
    <n v="0"/>
    <s v="Reserva importada por HubTravel"/>
    <s v="Matrícula não preenchida! (ACC01)"/>
    <x v="1"/>
    <x v="4"/>
    <s v="Falta de informação Gerencial"/>
    <x v="0"/>
    <s v="Qualidade dos dados"/>
    <s v="KONTIK BUSINESS TRAVEL"/>
    <x v="2"/>
  </r>
  <r>
    <n v="24805180"/>
    <n v="25646553"/>
    <s v="ACC01"/>
    <x v="108"/>
    <d v="2026-06-26T03:01:24"/>
    <x v="4"/>
    <x v="3"/>
    <s v="GLKQMET"/>
    <s v="SABRE"/>
    <s v="ARIZA/GUSTAVO KELLER MR"/>
    <s v="Raquel Ribeiro Pinto Villarreal"/>
    <s v="Raquel Ribeiro Pinto Villarreal"/>
    <d v="2026-06-23T08:50:00"/>
    <s v="GLKQME"/>
    <s v="-"/>
    <s v="OFF LINE"/>
    <s v="Cartão de crédito"/>
    <s v="Cartão de crédito"/>
    <x v="1"/>
    <s v="N"/>
    <x v="6"/>
    <s v="Fm Global - Servicos"/>
    <s v="Cliente FEE no POS"/>
    <s v="-"/>
    <s v="-"/>
    <x v="6"/>
    <s v="-"/>
    <x v="105"/>
    <n v="27.3"/>
    <n v="0"/>
    <n v="0"/>
    <n v="0"/>
    <n v="0"/>
    <n v="72"/>
    <s v="Reserva importada por HubTravel"/>
    <s v="Empenho/departamento não preenchido! (ACC01)"/>
    <x v="1"/>
    <x v="7"/>
    <s v="Falta de informação Gerencial"/>
    <x v="0"/>
    <s v="Qualidade dos dados"/>
    <s v="KONTIK BUSINESS TRAVEL"/>
    <x v="2"/>
  </r>
  <r>
    <n v="24807257"/>
    <n v="25648553"/>
    <s v="ACC01"/>
    <x v="109"/>
    <d v="2026-06-24T08:43:05"/>
    <x v="4"/>
    <x v="3"/>
    <s v="JCBFFPT"/>
    <s v="SABRE"/>
    <s v="RIBEIRO/CLAUDEMIR MR"/>
    <s v="Raquel Ribeiro Pinto Villarreal"/>
    <s v="Raquel Ribeiro Pinto Villarreal"/>
    <d v="2026-06-23T13:36:00"/>
    <s v="JCBFFP"/>
    <s v="-"/>
    <s v="OFF LINE"/>
    <s v="Cartão de crédito"/>
    <s v="Cartão de crédito"/>
    <x v="1"/>
    <s v="S"/>
    <x v="6"/>
    <s v="Fm Global - Servicos"/>
    <s v="Cliente FEE no POS"/>
    <s v="-"/>
    <s v="-"/>
    <x v="6"/>
    <s v="-"/>
    <x v="105"/>
    <n v="27.3"/>
    <n v="0"/>
    <n v="0"/>
    <n v="0"/>
    <n v="0"/>
    <n v="0"/>
    <s v="Reserva importada por HubTravel"/>
    <s v="Empenho/departamento não preenchido! (ACC01)"/>
    <x v="1"/>
    <x v="7"/>
    <s v="Falta de informação Gerencial"/>
    <x v="0"/>
    <s v="Qualidade dos dados"/>
    <s v="KONTIK BUSINESS TRAVEL"/>
    <x v="2"/>
  </r>
  <r>
    <n v="24806166"/>
    <n v="25647541"/>
    <s v="ACC01"/>
    <x v="110"/>
    <d v="2026-06-24T08:36:31"/>
    <x v="4"/>
    <x v="3"/>
    <s v="AEKABKT"/>
    <s v="SABRE"/>
    <s v="DA SILVA/MARCO FILIPE BARBOSA"/>
    <s v="Raquel Ribeiro Pinto Villarreal"/>
    <s v="Raquel Ribeiro Pinto Villarreal"/>
    <d v="2026-06-23T10:34:00"/>
    <s v="AEKABK"/>
    <s v="-"/>
    <s v="OFF LINE"/>
    <s v="Cartão de crédito"/>
    <s v="Cartão de crédito"/>
    <x v="1"/>
    <s v="S"/>
    <x v="6"/>
    <s v="Fm Global - Servicos"/>
    <s v="Cliente FEE no POS"/>
    <s v="-"/>
    <s v="-"/>
    <x v="6"/>
    <s v="-"/>
    <x v="105"/>
    <n v="27.3"/>
    <n v="0"/>
    <n v="0"/>
    <n v="0"/>
    <n v="0"/>
    <n v="0"/>
    <s v="Reserva importada por HubTravel"/>
    <s v="Empenho/departamento não preenchido! (ACC01)"/>
    <x v="1"/>
    <x v="7"/>
    <s v="Falta de informação Gerencial"/>
    <x v="0"/>
    <s v="Qualidade dos dados"/>
    <s v="KONTIK BUSINESS TRAVEL"/>
    <x v="2"/>
  </r>
  <r>
    <n v="24812222"/>
    <n v="25652829"/>
    <s v="ACC01"/>
    <x v="111"/>
    <d v="2026-06-26T03:01:25"/>
    <x v="4"/>
    <x v="3"/>
    <s v="NPNOICT"/>
    <s v="SABRE"/>
    <s v="MARQUES CRISOL/ALEXANDRE MR"/>
    <s v="Raquel Ribeiro Pinto Villarreal"/>
    <s v="Raquel Ribeiro Pinto Villarreal"/>
    <d v="2026-06-23T10:09:00"/>
    <s v="NPNOIC"/>
    <s v="-"/>
    <s v="OFF LINE"/>
    <s v="Cartão de crédito"/>
    <s v="Cartão de crédito"/>
    <x v="1"/>
    <s v="N"/>
    <x v="6"/>
    <s v="Fm Global - Servicos"/>
    <s v="Cliente FEE no POS"/>
    <s v="-"/>
    <s v="-"/>
    <x v="6"/>
    <s v="-"/>
    <x v="106"/>
    <n v="116.29"/>
    <n v="0"/>
    <n v="0"/>
    <n v="0"/>
    <n v="0"/>
    <n v="72"/>
    <s v="Reserva importada por HubTravel"/>
    <s v="Empenho/departamento não preenchido! (ACC01)"/>
    <x v="1"/>
    <x v="7"/>
    <s v="Falta de informação Gerencial"/>
    <x v="0"/>
    <s v="Qualidade dos dados"/>
    <s v="KONTIK BUSINESS TRAVEL"/>
    <x v="2"/>
  </r>
  <r>
    <n v="24809524"/>
    <n v="25650074"/>
    <s v="ACC01"/>
    <x v="112"/>
    <d v="2026-06-24T11:28:27"/>
    <x v="4"/>
    <x v="3"/>
    <n v="2119736092"/>
    <s v="WOOBA"/>
    <s v="Marques Rocha/ Leonardo "/>
    <s v="Toou"/>
    <s v="Toou"/>
    <d v="2026-06-24T11:07:00"/>
    <s v="-"/>
    <s v="-"/>
    <s v="OFF LINE"/>
    <s v="?"/>
    <s v="?"/>
    <x v="1"/>
    <s v="N"/>
    <x v="41"/>
    <s v="Instituto Atlantico"/>
    <s v="-"/>
    <s v="-"/>
    <s v="-"/>
    <x v="35"/>
    <s v="-"/>
    <x v="107"/>
    <n v="0"/>
    <n v="0"/>
    <n v="0"/>
    <n v="0"/>
    <n v="0"/>
    <n v="0"/>
    <s v="Reserva importada do Sistema WOOBA. Id: 13399"/>
    <s v="Fornecedor não preenchido! (ACC01)"/>
    <x v="4"/>
    <x v="1"/>
    <s v="Campo Fornecedor"/>
    <x v="0"/>
    <s v="Qualidade dos dados"/>
    <s v="KONTRIP VIAGENS"/>
    <x v="5"/>
  </r>
  <r>
    <n v="24818498"/>
    <n v="25658370"/>
    <s v="ACC01"/>
    <x v="113"/>
    <d v="2026-06-25T20:47:19"/>
    <x v="4"/>
    <x v="3"/>
    <s v="6P5NNJ"/>
    <s v="TMS"/>
    <s v="FERNANDA ALLEGRETTO"/>
    <s v="Elivani Souza de Araujo Angi"/>
    <s v="Elivani Souza de Araujo Angi"/>
    <d v="2026-06-25T18:39:00"/>
    <n v="330179"/>
    <s v="Los Angeles / CA, Estados Unidos - Aeroporto Internacional de Los Angeles (LAX)"/>
    <s v="OFF LINE"/>
    <s v="Invoice"/>
    <s v="Faturado"/>
    <x v="2"/>
    <s v="N"/>
    <x v="12"/>
    <s v="Kpmg"/>
    <s v="-"/>
    <s v="-"/>
    <s v="-"/>
    <x v="13"/>
    <s v="-"/>
    <x v="108"/>
    <n v="0"/>
    <n v="0"/>
    <n v="0"/>
    <n v="0"/>
    <n v="0"/>
    <n v="0"/>
    <s v="Reserva importada do Sistema TMS. OS: 330179"/>
    <s v="Fornecedor não preenchido! (ACC01)"/>
    <x v="0"/>
    <x v="1"/>
    <s v="Campo Fornecedor"/>
    <x v="0"/>
    <s v="Qualidade dos dados"/>
    <s v="KONTIK BUSINESS TRAVEL"/>
    <x v="3"/>
  </r>
  <r>
    <n v="24816248"/>
    <n v="25656053"/>
    <s v="ACC01"/>
    <x v="114"/>
    <d v="2026-06-25T14:48:29"/>
    <x v="4"/>
    <x v="3"/>
    <s v="6P8J07"/>
    <s v="TMS"/>
    <s v="MARCOS OLIVEIRA"/>
    <s v="BRUNO ALVARENGA MELONI"/>
    <s v="BRUNO ALVARENGA MELONI"/>
    <d v="2026-06-25T09:43:00"/>
    <n v="330085"/>
    <s v="-"/>
    <s v="OFF LINE"/>
    <s v="Cartão de crédito"/>
    <s v="Cartão de crédito"/>
    <x v="1"/>
    <s v="N"/>
    <x v="12"/>
    <s v="Kpmg Consultoria"/>
    <s v="-"/>
    <s v="-"/>
    <s v="-"/>
    <x v="13"/>
    <s v="-"/>
    <x v="109"/>
    <n v="0"/>
    <n v="0"/>
    <n v="0"/>
    <n v="0"/>
    <n v="0"/>
    <n v="0"/>
    <s v="Reserva importada do Sistema TMS. OS: 330085"/>
    <s v="Fornecedor não preenchido! (ACC01)"/>
    <x v="0"/>
    <x v="1"/>
    <s v="Campo Fornecedor"/>
    <x v="0"/>
    <s v="Qualidade dos dados"/>
    <s v="KONTIK BUSINESS TRAVEL"/>
    <x v="4"/>
  </r>
  <r>
    <n v="24810101"/>
    <n v="25650655"/>
    <s v="ACC01"/>
    <x v="115"/>
    <d v="2026-06-24T14:21:59"/>
    <x v="4"/>
    <x v="3"/>
    <s v="6PJ5WF"/>
    <s v="TMS"/>
    <s v="CECILIO SCHIGUEMATU"/>
    <s v="Diogo Dantas Gomes"/>
    <s v="Diogo Dantas Gomes"/>
    <d v="2026-06-24T12:52:00"/>
    <n v="330208"/>
    <s v="-"/>
    <s v="OFF LINE"/>
    <s v="Cartão de crédito"/>
    <s v="Cartão de crédito"/>
    <x v="1"/>
    <s v="N"/>
    <x v="12"/>
    <s v="Kpmg Consultoria"/>
    <s v="-"/>
    <s v="-"/>
    <s v="-"/>
    <x v="13"/>
    <s v="-"/>
    <x v="110"/>
    <n v="0"/>
    <n v="0"/>
    <n v="0"/>
    <n v="0"/>
    <n v="163.32"/>
    <n v="0"/>
    <s v="Reserva importada do Sistema TMS. OS: 330208"/>
    <s v="Fornecedor não preenchido! (ACC01)"/>
    <x v="0"/>
    <x v="1"/>
    <s v="Campo Fornecedor"/>
    <x v="0"/>
    <s v="Qualidade dos dados"/>
    <s v="KONTIK BUSINESS TRAVEL"/>
    <x v="4"/>
  </r>
  <r>
    <n v="24821645"/>
    <n v="25660801"/>
    <s v="ACC01"/>
    <x v="116"/>
    <d v="2026-06-26T14:55:00"/>
    <x v="4"/>
    <x v="3"/>
    <s v="LZQDZVC"/>
    <s v="SABRE"/>
    <s v="MOURA/JONNI"/>
    <s v="WS"/>
    <s v="WS"/>
    <d v="2026-06-25T20:01:00"/>
    <s v="LZQDZV"/>
    <s v="BEL"/>
    <s v="ON LINE"/>
    <s v="Invoice"/>
    <s v="Faturado"/>
    <x v="2"/>
    <s v="N"/>
    <x v="1"/>
    <s v="Honeywell"/>
    <s v="Cliente FEE no POS"/>
    <s v="-"/>
    <s v="-"/>
    <x v="1"/>
    <s v="-"/>
    <x v="111"/>
    <n v="160.79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819609"/>
    <n v="25659449"/>
    <s v="ACC01"/>
    <x v="117"/>
    <d v="2026-06-26T05:05:27"/>
    <x v="4"/>
    <x v="3"/>
    <s v="HHBXEJT"/>
    <s v="SABRE"/>
    <s v="DA CRUZ/ALLAN"/>
    <s v="MARIA CECILIA PEREIRA SILVA"/>
    <s v="MARIA CECILIA PEREIRA SILVA"/>
    <d v="2026-06-24T11:31:00"/>
    <s v="HHBXEJ"/>
    <s v="-"/>
    <s v="ON LINE"/>
    <s v="Cartão de crédito"/>
    <s v="Cartão de crédito"/>
    <x v="1"/>
    <s v="N"/>
    <x v="1"/>
    <s v="Honeywell"/>
    <s v="Cliente FEE no POS"/>
    <s v="-"/>
    <s v="-"/>
    <x v="1"/>
    <s v="-"/>
    <x v="112"/>
    <n v="434.39"/>
    <n v="0"/>
    <n v="0"/>
    <n v="0"/>
    <n v="0"/>
    <n v="13"/>
    <s v="Reserva importada por HubTravel"/>
    <s v="Centro de custo não preenchido! (ACC01)"/>
    <x v="1"/>
    <x v="17"/>
    <s v="Falta de informação Gerencial"/>
    <x v="0"/>
    <s v="Qualidade dos dados"/>
    <s v="KONTIK BUSINESS TRAVEL"/>
    <x v="2"/>
  </r>
  <r>
    <n v="24834828"/>
    <n v="25671598"/>
    <s v="ACC01"/>
    <x v="118"/>
    <d v="2026-06-29T09:46:19"/>
    <x v="6"/>
    <x v="4"/>
    <s v="ECATFTC"/>
    <s v="SABRE"/>
    <s v="SCHEURICH/JOAO PEDRO"/>
    <s v="WS"/>
    <s v="WS"/>
    <d v="2026-06-27T16:15:00"/>
    <s v="ECATFT"/>
    <s v="POA"/>
    <s v="ON LINE"/>
    <s v="Invoice"/>
    <s v="Faturado"/>
    <x v="2"/>
    <s v="N"/>
    <x v="1"/>
    <s v="Honeywell"/>
    <s v="Cliente FEE no POS"/>
    <s v="-"/>
    <s v="-"/>
    <x v="1"/>
    <s v="-"/>
    <x v="113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830895"/>
    <n v="25668629"/>
    <s v="ACC02"/>
    <x v="119"/>
    <d v="2026-07-03T09:58:07"/>
    <x v="1"/>
    <x v="4"/>
    <s v="H4713824"/>
    <s v="GOVER"/>
    <s v="Marcos de Assis Santos"/>
    <s v="Gover"/>
    <s v="Gover"/>
    <d v="2026-06-28T00:00:00"/>
    <n v="4713824"/>
    <s v="-"/>
    <s v="OFF LINE"/>
    <s v="Cartão de crédito"/>
    <s v="Cartão de crédito"/>
    <x v="1"/>
    <s v="N"/>
    <x v="19"/>
    <s v="Energisa Sul-sudeste - Distribuidora de Energia S.a."/>
    <s v="-"/>
    <s v="-"/>
    <s v="-"/>
    <x v="20"/>
    <s v="-"/>
    <x v="114"/>
    <n v="0"/>
    <n v="0"/>
    <n v="0"/>
    <n v="0"/>
    <n v="0"/>
    <n v="0"/>
    <s v="Reserva importada do sistema Gover. Id: 4713824"/>
    <s v="Fornecedor não preenchido! (ACC02)"/>
    <x v="3"/>
    <x v="1"/>
    <s v="Campo Fornecedor"/>
    <x v="0"/>
    <s v="Sistêmico"/>
    <s v="GRUPO KONTIK"/>
    <x v="1"/>
  </r>
  <r>
    <n v="24804682"/>
    <n v="25646034"/>
    <s v="ACC01"/>
    <x v="120"/>
    <d v="2026-06-23T16:06:21"/>
    <x v="4"/>
    <x v="3"/>
    <s v="6P865A"/>
    <s v="TMS"/>
    <s v="GISELE SANTOS SILVA"/>
    <s v="Maria Gabriela Stella Azevedo Neves"/>
    <s v="Maria Gabriela Stella Azevedo Neves"/>
    <d v="2026-06-23T13:23:00"/>
    <n v="114903"/>
    <s v="-"/>
    <s v="OFF LINE"/>
    <s v="Invoice"/>
    <s v="Faturado"/>
    <x v="1"/>
    <s v="N"/>
    <x v="35"/>
    <s v="Ultragaz-matriz"/>
    <s v="-"/>
    <s v="-"/>
    <s v="-"/>
    <x v="2"/>
    <s v="-"/>
    <x v="115"/>
    <n v="0"/>
    <n v="0"/>
    <n v="0"/>
    <n v="0"/>
    <n v="0"/>
    <n v="0"/>
    <s v="Reserva importada do Sistema TMS. OS: 114903"/>
    <s v="Fornecedor não preenchido! (ACC01)"/>
    <x v="0"/>
    <x v="1"/>
    <s v="Campo Fornecedor"/>
    <x v="0"/>
    <s v="Qualidade dos dados"/>
    <s v="KONTIK BUSINESS TRAVEL"/>
    <x v="4"/>
  </r>
  <r>
    <n v="24807243"/>
    <n v="25648539"/>
    <s v="ACC01"/>
    <x v="121"/>
    <d v="2026-06-23T22:20:32"/>
    <x v="4"/>
    <x v="3"/>
    <s v="6P3J7S"/>
    <s v="TMS"/>
    <s v="JOAO NUNES ROBAINA"/>
    <s v="Jessica Soares Teixeira"/>
    <s v="Jessica Soares Teixeira"/>
    <d v="2026-06-23T17:02:00"/>
    <n v="115026"/>
    <s v="-"/>
    <s v="OFF LINE"/>
    <s v="Cartão de crédito"/>
    <s v="Cartão de crédito"/>
    <x v="1"/>
    <s v="N"/>
    <x v="35"/>
    <s v="Ultragaz-matriz"/>
    <s v="-"/>
    <s v="-"/>
    <s v="-"/>
    <x v="2"/>
    <s v="-"/>
    <x v="116"/>
    <n v="0"/>
    <n v="0"/>
    <n v="0"/>
    <n v="0"/>
    <n v="0"/>
    <n v="0"/>
    <s v="Reserva importada do Sistema TMS. OS: 115026"/>
    <s v="Fornecedor não preenchido! (ACC01)"/>
    <x v="0"/>
    <x v="1"/>
    <s v="Campo Fornecedor"/>
    <x v="0"/>
    <s v="Qualidade dos dados"/>
    <s v="KONTIK BUSINESS TRAVEL"/>
    <x v="4"/>
  </r>
  <r>
    <n v="24807249"/>
    <n v="25648545"/>
    <s v="ACC01"/>
    <x v="122"/>
    <d v="2026-06-23T22:21:26"/>
    <x v="4"/>
    <x v="3"/>
    <s v="6PO7US"/>
    <s v="TMS"/>
    <s v="JONAS JONAS BORDIGNON"/>
    <s v="Jessica Soares Teixeira"/>
    <s v="Jessica Soares Teixeira"/>
    <d v="2026-06-23T14:54:00"/>
    <n v="114757"/>
    <s v="-"/>
    <s v="OFF LINE"/>
    <s v="Cartão de crédito"/>
    <s v="Cartão de crédito"/>
    <x v="1"/>
    <s v="N"/>
    <x v="35"/>
    <s v="Ultragaz-matriz"/>
    <s v="-"/>
    <s v="-"/>
    <s v="-"/>
    <x v="2"/>
    <s v="-"/>
    <x v="117"/>
    <n v="0"/>
    <n v="0"/>
    <n v="0"/>
    <n v="0"/>
    <n v="0"/>
    <n v="0"/>
    <s v="Reserva importada do Sistema TMS. OS: 114757"/>
    <s v="Fornecedor não preenchido! (ACC01)"/>
    <x v="0"/>
    <x v="1"/>
    <s v="Campo Fornecedor"/>
    <x v="0"/>
    <s v="Qualidade dos dados"/>
    <s v="KONTIK BUSINESS TRAVEL"/>
    <x v="4"/>
  </r>
  <r>
    <n v="24819606"/>
    <n v="25659446"/>
    <s v="ACC01"/>
    <x v="123"/>
    <d v="2026-06-26T11:18:16"/>
    <x v="4"/>
    <x v="3"/>
    <s v="OZHACWT"/>
    <s v="SABRE"/>
    <s v="DELGADO FARIA/MARCO AURELIO"/>
    <s v="BRUNA SEBBEN"/>
    <s v="BRUNA SEBBEN"/>
    <d v="2026-06-25T10:40:00"/>
    <s v="OZHACW"/>
    <s v="-"/>
    <s v="ON LINE"/>
    <s v="Cartão de crédito"/>
    <s v="Cartão de crédito"/>
    <x v="1"/>
    <s v="N"/>
    <x v="38"/>
    <s v="Ihs Brasil Cessao de Infraestruturas S a"/>
    <s v="-"/>
    <s v="-"/>
    <s v="-"/>
    <x v="7"/>
    <s v="-"/>
    <x v="118"/>
    <n v="256.5"/>
    <n v="0"/>
    <n v="0"/>
    <n v="0"/>
    <n v="0"/>
    <n v="0"/>
    <s v="Reserva importada por HubTravel"/>
    <s v="Empenho/departamento não preenchido! (ACC01) Matrícula não preenchida! (ACC01)"/>
    <x v="1"/>
    <x v="5"/>
    <s v="Falta de informação Gerencial"/>
    <x v="0"/>
    <s v="Qualidade dos dados"/>
    <s v="KONTIK BUSINESS TRAVEL"/>
    <x v="2"/>
  </r>
  <r>
    <n v="24821070"/>
    <n v="25660281"/>
    <s v="ACC01"/>
    <x v="124"/>
    <d v="2026-07-03T17:12:36"/>
    <x v="1"/>
    <x v="3"/>
    <s v="NOXBGGC"/>
    <s v="SABRE"/>
    <s v="CORSINI/HILQUIAS MR"/>
    <s v="CT"/>
    <s v="CT"/>
    <d v="2026-06-26T05:57:00"/>
    <s v="NOXBGG"/>
    <s v="QDV"/>
    <s v="ON LINE"/>
    <s v="Invoice"/>
    <s v="Faturado"/>
    <x v="2"/>
    <s v="N"/>
    <x v="24"/>
    <s v="Chemetall do Brasil"/>
    <s v="-"/>
    <s v="-"/>
    <s v="-"/>
    <x v="22"/>
    <s v="-"/>
    <x v="119"/>
    <n v="107.49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816751"/>
    <n v="25656556"/>
    <s v="ACC01"/>
    <x v="125"/>
    <d v="2026-06-25T16:30:38"/>
    <x v="4"/>
    <x v="3"/>
    <s v="6PC8DU"/>
    <s v="TMS"/>
    <s v="EDEVALDO MACHADO"/>
    <s v="Tms"/>
    <s v="Tms"/>
    <d v="2026-06-25T08:59:00"/>
    <n v="17984"/>
    <s v="São Paulo / GRU"/>
    <s v="ON LINE"/>
    <s v="Invoice"/>
    <s v="Faturado"/>
    <x v="2"/>
    <s v="N"/>
    <x v="42"/>
    <s v="Mediservice Operadora de Planos de Saude S.a."/>
    <s v="-"/>
    <s v="-"/>
    <s v="-"/>
    <x v="9"/>
    <s v="-"/>
    <x v="120"/>
    <n v="0"/>
    <n v="0"/>
    <n v="0"/>
    <n v="0"/>
    <n v="0"/>
    <n v="0"/>
    <s v="Reserva importada do Sistema TMS. OS: 17984"/>
    <s v="Fornecedor não preenchido! (ACC01)"/>
    <x v="0"/>
    <x v="1"/>
    <s v="Campo Fornecedor"/>
    <x v="0"/>
    <s v="Qualidade dos dados"/>
    <s v="KONTIK BUSINESS TRAVEL"/>
    <x v="4"/>
  </r>
  <r>
    <n v="24809434"/>
    <n v="25649975"/>
    <s v="ACC02"/>
    <x v="126"/>
    <d v="2026-06-26T06:11:19"/>
    <x v="4"/>
    <x v="3"/>
    <s v="NUOZOET"/>
    <s v="SABRE"/>
    <s v="ESPANHA/ANDERSON PEREGO MR"/>
    <s v="JULIANE MARTINS FERREIRA"/>
    <s v="JULIANE MARTINS FERREIRA"/>
    <d v="2026-06-23T16:21:00"/>
    <s v="NUOZOE"/>
    <s v="-"/>
    <s v="OFF LINE"/>
    <s v="Invoice"/>
    <s v="Faturado"/>
    <x v="1"/>
    <s v="N"/>
    <x v="7"/>
    <s v="Weir do Brasil Ltda"/>
    <s v="-"/>
    <s v="-"/>
    <s v="-"/>
    <x v="7"/>
    <s v="-"/>
    <x v="121"/>
    <n v="0"/>
    <n v="0"/>
    <n v="0"/>
    <n v="0"/>
    <n v="0"/>
    <n v="0"/>
    <s v="Reserva importada por HubTravel"/>
    <s v="Fornecedor não preenchido! (ACC02)"/>
    <x v="1"/>
    <x v="1"/>
    <s v="Campo Fornecedor"/>
    <x v="0"/>
    <s v="Qualidade dos dados"/>
    <s v="KONTIK BUSINESS TRAVEL"/>
    <x v="4"/>
  </r>
  <r>
    <n v="24808218"/>
    <n v="25649278"/>
    <s v="ACC01"/>
    <x v="127"/>
    <d v="2026-07-06T01:15:36"/>
    <x v="2"/>
    <x v="3"/>
    <s v="6P87XE"/>
    <s v="TMS"/>
    <s v="HUGO ANTONIO SOUZA JUNIOR"/>
    <s v="Tms"/>
    <s v="Tms"/>
    <d v="2026-06-23T11:59:00"/>
    <n v="117119"/>
    <s v="-"/>
    <s v="OFF LINE"/>
    <s v="Invoice"/>
    <s v="Faturado"/>
    <x v="3"/>
    <s v="N"/>
    <x v="5"/>
    <s v="Oceanpact Servicos Maritimos"/>
    <s v="-"/>
    <s v="-"/>
    <s v="-"/>
    <x v="5"/>
    <s v="-"/>
    <x v="122"/>
    <n v="70.56"/>
    <n v="0"/>
    <n v="0"/>
    <n v="0"/>
    <n v="0"/>
    <n v="0"/>
    <s v="Reserva importada do Sistema TMS. OS: 117119"/>
    <s v="Fornecedor não preenchido! (ACC01)"/>
    <x v="0"/>
    <x v="1"/>
    <s v="Campo Fornecedor"/>
    <x v="0"/>
    <s v="Qualidade dos dados"/>
    <s v="KONTIK BUSINESS TRAVEL"/>
    <x v="4"/>
  </r>
  <r>
    <n v="24808220"/>
    <n v="25649280"/>
    <s v="ACC01"/>
    <x v="128"/>
    <d v="2026-07-06T01:15:37"/>
    <x v="2"/>
    <x v="3"/>
    <s v="6PM8WC"/>
    <s v="TMS"/>
    <s v="RENATO RANGEL"/>
    <s v="Tms"/>
    <s v="Tms"/>
    <d v="2026-06-23T11:59:00"/>
    <n v="117117"/>
    <s v="-"/>
    <s v="OFF LINE"/>
    <s v="Invoice"/>
    <s v="Faturado"/>
    <x v="3"/>
    <s v="N"/>
    <x v="5"/>
    <s v="Oceanpact Servicos Maritimos"/>
    <s v="-"/>
    <s v="-"/>
    <s v="-"/>
    <x v="5"/>
    <s v="-"/>
    <x v="123"/>
    <n v="19.559999999999999"/>
    <n v="0"/>
    <n v="0"/>
    <n v="0"/>
    <n v="0"/>
    <n v="0"/>
    <s v="Reserva importada do Sistema TMS. OS: 117117"/>
    <s v="Fornecedor não preenchido! (ACC01)"/>
    <x v="0"/>
    <x v="1"/>
    <s v="Campo Fornecedor"/>
    <x v="0"/>
    <s v="Qualidade dos dados"/>
    <s v="KONTIK BUSINESS TRAVEL"/>
    <x v="4"/>
  </r>
  <r>
    <n v="24804526"/>
    <n v="25645873"/>
    <s v="ACC01"/>
    <x v="129"/>
    <d v="2026-06-23T15:17:53"/>
    <x v="4"/>
    <x v="3"/>
    <s v="6PZEVA"/>
    <s v="TMS"/>
    <s v="ROGERIO LIMA"/>
    <s v="Nataly Franca Regal de Castro"/>
    <s v="Nataly Franca Regal de Castro"/>
    <d v="2026-06-23T10:59:00"/>
    <n v="117022"/>
    <s v="-"/>
    <s v="OFF LINE"/>
    <s v="Invoice"/>
    <s v="Faturado"/>
    <x v="3"/>
    <s v="N"/>
    <x v="5"/>
    <s v="Oceanpact Servicos Maritimos"/>
    <s v="-"/>
    <s v="-"/>
    <s v="-"/>
    <x v="5"/>
    <s v="-"/>
    <x v="124"/>
    <n v="0"/>
    <n v="0"/>
    <n v="0"/>
    <n v="0"/>
    <n v="0"/>
    <n v="0"/>
    <s v="Reserva importada do Sistema TMS. OS: 117022"/>
    <s v="Fornecedor não preenchido! (ACC01)"/>
    <x v="0"/>
    <x v="1"/>
    <s v="Campo Fornecedor"/>
    <x v="0"/>
    <s v="Qualidade dos dados"/>
    <s v="KONTIK BUSINESS TRAVEL"/>
    <x v="4"/>
  </r>
  <r>
    <n v="24816651"/>
    <n v="25656476"/>
    <s v="ACC01"/>
    <x v="130"/>
    <d v="2026-06-25T16:04:32"/>
    <x v="4"/>
    <x v="3"/>
    <s v="6PK0DJ"/>
    <s v="TMS"/>
    <s v="GABRIELLA SILVA"/>
    <s v="Nataly Franca Regal de Castro"/>
    <s v="Nataly Franca Regal de Castro"/>
    <d v="2026-06-25T14:06:00"/>
    <n v="117463"/>
    <s v="-"/>
    <s v="OFF LINE"/>
    <s v="Invoice"/>
    <s v="Faturado"/>
    <x v="3"/>
    <s v="N"/>
    <x v="5"/>
    <s v="Oceanpact Servicos Maritimos"/>
    <s v="-"/>
    <s v="-"/>
    <s v="-"/>
    <x v="5"/>
    <s v="-"/>
    <x v="125"/>
    <n v="0"/>
    <n v="0"/>
    <n v="0"/>
    <n v="0"/>
    <n v="0"/>
    <n v="0"/>
    <s v="Reserva importada do Sistema TMS. OS: 117463"/>
    <s v="Fornecedor não preenchido! (ACC01)"/>
    <x v="0"/>
    <x v="1"/>
    <s v="Campo Fornecedor"/>
    <x v="0"/>
    <s v="Qualidade dos dados"/>
    <s v="KONTIK BUSINESS TRAVEL"/>
    <x v="4"/>
  </r>
  <r>
    <n v="24816653"/>
    <n v="25656478"/>
    <s v="ACC01"/>
    <x v="131"/>
    <d v="2026-06-25T16:04:47"/>
    <x v="4"/>
    <x v="3"/>
    <s v="6PP13U"/>
    <s v="TMS"/>
    <s v="CHRISTIAN EDUARDO SAIS"/>
    <s v="Nataly Franca Regal de Castro"/>
    <s v="Nataly Franca Regal de Castro"/>
    <d v="2026-06-25T14:05:00"/>
    <n v="117459"/>
    <s v="-"/>
    <s v="OFF LINE"/>
    <s v="Invoice"/>
    <s v="Faturado"/>
    <x v="3"/>
    <s v="N"/>
    <x v="5"/>
    <s v="Oceanpact Servicos Maritimos"/>
    <s v="-"/>
    <s v="-"/>
    <s v="-"/>
    <x v="5"/>
    <s v="-"/>
    <x v="126"/>
    <n v="0"/>
    <n v="0"/>
    <n v="0"/>
    <n v="0"/>
    <n v="0"/>
    <n v="0"/>
    <s v="Reserva importada do Sistema TMS. OS: 117459"/>
    <s v="Fornecedor não preenchido! (ACC01)"/>
    <x v="0"/>
    <x v="1"/>
    <s v="Campo Fornecedor"/>
    <x v="0"/>
    <s v="Qualidade dos dados"/>
    <s v="KONTIK BUSINESS TRAVEL"/>
    <x v="4"/>
  </r>
  <r>
    <n v="24822979"/>
    <n v="25662122"/>
    <s v="ACC01"/>
    <x v="132"/>
    <d v="2026-06-26T16:24:26"/>
    <x v="4"/>
    <x v="3"/>
    <s v="6Q230P"/>
    <s v="TMS"/>
    <s v="IGOR OLIVEIRA"/>
    <s v="Nataly Franca Regal de Castro"/>
    <s v="Nataly Franca Regal de Castro"/>
    <d v="2026-06-26T09:58:00"/>
    <n v="117587"/>
    <s v="-"/>
    <s v="OFF LINE"/>
    <s v="Invoice"/>
    <s v="Faturado"/>
    <x v="3"/>
    <s v="N"/>
    <x v="5"/>
    <s v="Oceanpact Servicos Maritimos"/>
    <s v="-"/>
    <s v="-"/>
    <s v="-"/>
    <x v="5"/>
    <s v="-"/>
    <x v="127"/>
    <n v="0"/>
    <n v="0"/>
    <n v="0"/>
    <n v="0"/>
    <n v="0"/>
    <n v="0"/>
    <s v="Reserva importada do Sistema TMS. OS: 117587"/>
    <s v="Fornecedor não preenchido! (ACC01)"/>
    <x v="0"/>
    <x v="1"/>
    <s v="Campo Fornecedor"/>
    <x v="0"/>
    <s v="Qualidade dos dados"/>
    <s v="KONTIK BUSINESS TRAVEL"/>
    <x v="4"/>
  </r>
  <r>
    <n v="24825459"/>
    <n v="25664718"/>
    <s v="ACC01"/>
    <x v="133"/>
    <d v="2026-06-26T22:01:58"/>
    <x v="4"/>
    <x v="3"/>
    <s v="6QT9OB"/>
    <s v="TMS"/>
    <s v="ANA ROSA FERNANDES"/>
    <s v="Nataly Franca Regal de Castro"/>
    <s v="Nataly Franca Regal de Castro"/>
    <d v="2026-06-26T17:37:00"/>
    <n v="117734"/>
    <s v="-"/>
    <s v="OFF LINE"/>
    <s v="Múltiplos"/>
    <s v="Múltiplos"/>
    <x v="3"/>
    <s v="N"/>
    <x v="5"/>
    <s v="Oceanpact Servicos Maritimos"/>
    <s v="-"/>
    <s v="-"/>
    <s v="-"/>
    <x v="5"/>
    <s v="-"/>
    <x v="128"/>
    <n v="0"/>
    <n v="0"/>
    <n v="0"/>
    <n v="0"/>
    <n v="0"/>
    <n v="0"/>
    <s v="Reserva importada do Sistema TMS. OS: 117734"/>
    <s v="Fornecedor não preenchido! (ACC01)"/>
    <x v="0"/>
    <x v="1"/>
    <s v="Campo Fornecedor"/>
    <x v="0"/>
    <s v="Qualidade dos dados"/>
    <s v="KONTIK BUSINESS TRAVEL"/>
    <x v="4"/>
  </r>
  <r>
    <n v="24825569"/>
    <n v="25664817"/>
    <s v="ACC01"/>
    <x v="134"/>
    <d v="2026-06-26T22:15:46"/>
    <x v="4"/>
    <x v="3"/>
    <s v="6QWUPQ"/>
    <s v="TMS"/>
    <s v="EBER TRUGILHO MOURA"/>
    <s v="Nataly Franca Regal de Castro"/>
    <s v="Nataly Franca Regal de Castro"/>
    <d v="2026-06-26T15:44:00"/>
    <n v="117633"/>
    <s v="-"/>
    <s v="OFF LINE"/>
    <s v="Invoice"/>
    <s v="Faturado"/>
    <x v="3"/>
    <s v="N"/>
    <x v="5"/>
    <s v="Oceanpact Servicos Maritimos"/>
    <s v="-"/>
    <s v="-"/>
    <s v="-"/>
    <x v="5"/>
    <s v="-"/>
    <x v="129"/>
    <n v="0"/>
    <n v="0"/>
    <n v="0"/>
    <n v="0"/>
    <n v="0"/>
    <n v="0"/>
    <s v="Reserva importada do Sistema TMS. OS: 117633"/>
    <s v="Fornecedor não preenchido! (ACC01)"/>
    <x v="0"/>
    <x v="1"/>
    <s v="Campo Fornecedor"/>
    <x v="0"/>
    <s v="Qualidade dos dados"/>
    <s v="KONTIK BUSINESS TRAVEL"/>
    <x v="4"/>
  </r>
  <r>
    <n v="24826776"/>
    <n v="25665837"/>
    <s v="ACC01"/>
    <x v="135"/>
    <d v="2026-07-06T01:15:39"/>
    <x v="2"/>
    <x v="3"/>
    <s v="6QIJYQ"/>
    <s v="TMS"/>
    <s v="RENATO RANGEL"/>
    <s v="Tms"/>
    <s v="Tms"/>
    <d v="2026-06-26T13:46:00"/>
    <n v="117687"/>
    <s v="-"/>
    <s v="OFF LINE"/>
    <s v="Invoice"/>
    <s v="Faturado"/>
    <x v="3"/>
    <s v="N"/>
    <x v="5"/>
    <s v="Oceanpact Servicos Maritimos"/>
    <s v="-"/>
    <s v="-"/>
    <s v="-"/>
    <x v="5"/>
    <s v="-"/>
    <x v="123"/>
    <n v="19.559999999999999"/>
    <n v="0"/>
    <n v="0"/>
    <n v="0"/>
    <n v="0"/>
    <n v="0"/>
    <s v="Reserva importada do Sistema TMS. OS: 117687"/>
    <s v="Fornecedor não preenchido! (ACC01)"/>
    <x v="0"/>
    <x v="1"/>
    <s v="Campo Fornecedor"/>
    <x v="0"/>
    <s v="Qualidade dos dados"/>
    <s v="KONTIK BUSINESS TRAVEL"/>
    <x v="4"/>
  </r>
  <r>
    <n v="24826780"/>
    <n v="25665841"/>
    <s v="ACC01"/>
    <x v="136"/>
    <d v="2026-07-06T01:15:40"/>
    <x v="2"/>
    <x v="3"/>
    <s v="6Q286A"/>
    <s v="TMS"/>
    <s v="RAUL CARVALHO LOPES"/>
    <s v="Tms"/>
    <s v="Tms"/>
    <d v="2026-06-26T16:01:00"/>
    <n v="117484"/>
    <s v="-"/>
    <s v="OFF LINE"/>
    <s v="Invoice"/>
    <s v="Faturado"/>
    <x v="3"/>
    <s v="N"/>
    <x v="5"/>
    <s v="Oceanpact Servicos Maritimos"/>
    <s v="-"/>
    <s v="-"/>
    <s v="-"/>
    <x v="5"/>
    <s v="-"/>
    <x v="130"/>
    <n v="12.64"/>
    <n v="0"/>
    <n v="0"/>
    <n v="0"/>
    <n v="0"/>
    <n v="0"/>
    <s v="Reserva importada do Sistema TMS. OS: 117484"/>
    <s v="Fornecedor não preenchido! (ACC01)"/>
    <x v="0"/>
    <x v="1"/>
    <s v="Campo Fornecedor"/>
    <x v="0"/>
    <s v="Qualidade dos dados"/>
    <s v="KONTIK BUSINESS TRAVEL"/>
    <x v="4"/>
  </r>
  <r>
    <n v="24819093"/>
    <n v="25658965"/>
    <s v="ACC01"/>
    <x v="137"/>
    <d v="2026-06-25T21:46:54"/>
    <x v="4"/>
    <x v="3"/>
    <s v="6P2P38"/>
    <s v="TMS"/>
    <s v="MAXWELL SILVA ALVES"/>
    <s v="Nataly Franca Regal de Castro"/>
    <s v="Nataly Franca Regal de Castro"/>
    <d v="2026-06-25T15:47:00"/>
    <n v="117460"/>
    <s v="-"/>
    <s v="OFF LINE"/>
    <s v="Invoice"/>
    <s v="Faturado"/>
    <x v="3"/>
    <s v="N"/>
    <x v="5"/>
    <s v="Oceanpact Servicos Maritimos"/>
    <s v="-"/>
    <s v="-"/>
    <s v="-"/>
    <x v="5"/>
    <s v="-"/>
    <x v="131"/>
    <n v="0"/>
    <n v="0"/>
    <n v="0"/>
    <n v="0"/>
    <n v="0"/>
    <n v="0"/>
    <s v="Reserva importada do Sistema TMS. OS: 117460"/>
    <s v="Fornecedor não preenchido! (ACC01)"/>
    <x v="0"/>
    <x v="1"/>
    <s v="Campo Fornecedor"/>
    <x v="0"/>
    <s v="Qualidade dos dados"/>
    <s v="KONTIK BUSINESS TRAVEL"/>
    <x v="4"/>
  </r>
  <r>
    <n v="24821012"/>
    <n v="25660223"/>
    <s v="ACC01"/>
    <x v="138"/>
    <d v="2026-06-26T09:00:32"/>
    <x v="4"/>
    <x v="3"/>
    <s v="6PBLXL"/>
    <s v="TMS"/>
    <s v="BEATRIZ PINHEIRO"/>
    <s v="Nataly Franca Regal de Castro"/>
    <s v="Nataly Franca Regal de Castro"/>
    <d v="2026-06-26T08:02:00"/>
    <n v="117458"/>
    <s v="-"/>
    <s v="OFF LINE"/>
    <s v="Invoice"/>
    <s v="Faturado"/>
    <x v="3"/>
    <s v="N"/>
    <x v="5"/>
    <s v="Oceanpact Servicos Maritimos"/>
    <s v="-"/>
    <s v="-"/>
    <s v="-"/>
    <x v="5"/>
    <s v="-"/>
    <x v="132"/>
    <n v="0"/>
    <n v="0"/>
    <n v="0"/>
    <n v="0"/>
    <n v="0"/>
    <n v="0"/>
    <s v="Reserva importada do Sistema TMS. OS: 117458"/>
    <s v="Fornecedor não preenchido! (ACC01)"/>
    <x v="0"/>
    <x v="1"/>
    <s v="Campo Fornecedor"/>
    <x v="0"/>
    <s v="Qualidade dos dados"/>
    <s v="KONTIK BUSINESS TRAVEL"/>
    <x v="4"/>
  </r>
  <r>
    <n v="24821013"/>
    <n v="25660224"/>
    <s v="ACC01"/>
    <x v="139"/>
    <d v="2026-06-26T09:00:32"/>
    <x v="4"/>
    <x v="3"/>
    <s v="6PAOS9"/>
    <s v="TMS"/>
    <s v="EVELLIN CASSIA SILVA"/>
    <s v="Nataly Franca Regal de Castro"/>
    <s v="Nataly Franca Regal de Castro"/>
    <d v="2026-06-26T08:02:00"/>
    <n v="117456"/>
    <s v="-"/>
    <s v="OFF LINE"/>
    <s v="Invoice"/>
    <s v="Faturado"/>
    <x v="3"/>
    <s v="N"/>
    <x v="5"/>
    <s v="Oceanpact Servicos Maritimos"/>
    <s v="-"/>
    <s v="-"/>
    <s v="-"/>
    <x v="5"/>
    <s v="-"/>
    <x v="131"/>
    <n v="0"/>
    <n v="0"/>
    <n v="0"/>
    <n v="0"/>
    <n v="0"/>
    <n v="0"/>
    <s v="Reserva importada do Sistema TMS. OS: 117456"/>
    <s v="Fornecedor não preenchido! (ACC01)"/>
    <x v="0"/>
    <x v="1"/>
    <s v="Campo Fornecedor"/>
    <x v="0"/>
    <s v="Qualidade dos dados"/>
    <s v="KONTIK BUSINESS TRAVEL"/>
    <x v="4"/>
  </r>
  <r>
    <n v="24821014"/>
    <n v="25660225"/>
    <s v="ACC01"/>
    <x v="140"/>
    <d v="2026-06-26T09:00:33"/>
    <x v="4"/>
    <x v="3"/>
    <s v="6PXNSL"/>
    <s v="TMS"/>
    <s v="ARTUR DA SILVA"/>
    <s v="Nataly Franca Regal de Castro"/>
    <s v="Nataly Franca Regal de Castro"/>
    <d v="2026-06-26T08:02:00"/>
    <n v="117455"/>
    <s v="-"/>
    <s v="OFF LINE"/>
    <s v="Invoice"/>
    <s v="Faturado"/>
    <x v="3"/>
    <s v="N"/>
    <x v="5"/>
    <s v="Oceanpact Servicos Maritimos"/>
    <s v="-"/>
    <s v="-"/>
    <s v="-"/>
    <x v="5"/>
    <s v="-"/>
    <x v="133"/>
    <n v="0"/>
    <n v="0"/>
    <n v="0"/>
    <n v="0"/>
    <n v="0"/>
    <n v="0"/>
    <s v="Reserva importada do Sistema TMS. OS: 117455"/>
    <s v="Fornecedor não preenchido! (ACC01)"/>
    <x v="0"/>
    <x v="1"/>
    <s v="Campo Fornecedor"/>
    <x v="0"/>
    <s v="Qualidade dos dados"/>
    <s v="KONTIK BUSINESS TRAVEL"/>
    <x v="4"/>
  </r>
  <r>
    <n v="24821015"/>
    <n v="25660226"/>
    <s v="ACC01"/>
    <x v="141"/>
    <d v="2026-06-26T09:00:33"/>
    <x v="4"/>
    <x v="3"/>
    <s v="6PENSO"/>
    <s v="TMS"/>
    <s v="ANA ROSA FERNANDES"/>
    <s v="Nataly Franca Regal de Castro"/>
    <s v="Nataly Franca Regal de Castro"/>
    <d v="2026-06-26T08:01:00"/>
    <n v="117454"/>
    <s v="-"/>
    <s v="OFF LINE"/>
    <s v="Invoice"/>
    <s v="Faturado"/>
    <x v="3"/>
    <s v="N"/>
    <x v="5"/>
    <s v="Oceanpact Servicos Maritimos"/>
    <s v="-"/>
    <s v="-"/>
    <s v="-"/>
    <x v="5"/>
    <s v="-"/>
    <x v="134"/>
    <n v="0"/>
    <n v="0"/>
    <n v="0"/>
    <n v="0"/>
    <n v="0"/>
    <n v="0"/>
    <s v="Reserva importada do Sistema TMS. OS: 117454"/>
    <s v="Fornecedor não preenchido! (ACC01)"/>
    <x v="0"/>
    <x v="1"/>
    <s v="Campo Fornecedor"/>
    <x v="0"/>
    <s v="Qualidade dos dados"/>
    <s v="KONTIK BUSINESS TRAVEL"/>
    <x v="4"/>
  </r>
  <r>
    <n v="24821016"/>
    <n v="25660227"/>
    <s v="ACC01"/>
    <x v="142"/>
    <d v="2026-06-26T09:00:33"/>
    <x v="4"/>
    <x v="3"/>
    <s v="6PFO2L"/>
    <s v="TMS"/>
    <s v="PAULO SIQUEIRA LORENCINI"/>
    <s v="Nataly Franca Regal de Castro"/>
    <s v="Nataly Franca Regal de Castro"/>
    <d v="2026-06-26T08:00:00"/>
    <n v="117452"/>
    <s v="-"/>
    <s v="OFF LINE"/>
    <s v="Invoice"/>
    <s v="Faturado"/>
    <x v="3"/>
    <s v="N"/>
    <x v="5"/>
    <s v="Oceanpact Servicos Maritimos"/>
    <s v="-"/>
    <s v="-"/>
    <s v="-"/>
    <x v="5"/>
    <s v="-"/>
    <x v="135"/>
    <n v="0"/>
    <n v="0"/>
    <n v="0"/>
    <n v="0"/>
    <n v="0"/>
    <n v="0"/>
    <s v="Reserva importada do Sistema TMS. OS: 117452"/>
    <s v="Fornecedor não preenchido! (ACC01)"/>
    <x v="0"/>
    <x v="1"/>
    <s v="Campo Fornecedor"/>
    <x v="0"/>
    <s v="Qualidade dos dados"/>
    <s v="KONTIK BUSINESS TRAVEL"/>
    <x v="4"/>
  </r>
  <r>
    <n v="24816003"/>
    <n v="25655807"/>
    <s v="ACC01"/>
    <x v="143"/>
    <d v="2026-06-25T14:08:01"/>
    <x v="4"/>
    <x v="3"/>
    <s v="6P6HNH"/>
    <s v="LEMONTECH"/>
    <s v="GIMENEZ/ANDERSON"/>
    <s v="Vitoria Silva Lopes"/>
    <s v="Vitoria Silva Lopes"/>
    <d v="2026-06-19T17:45:00"/>
    <n v="19507492"/>
    <s v="-"/>
    <s v="OFF LINE"/>
    <s v="Invoice"/>
    <s v="Faturado"/>
    <x v="3"/>
    <s v="N"/>
    <x v="43"/>
    <s v="Lojas Renner"/>
    <s v="-"/>
    <s v="-"/>
    <s v="-"/>
    <x v="36"/>
    <s v="-"/>
    <x v="136"/>
    <n v="0"/>
    <n v="0"/>
    <n v="0"/>
    <n v="0"/>
    <n v="0"/>
    <n v="0"/>
    <s v="Reserva importada do Sistema Lemontech. Solicitação: 19507492"/>
    <s v="Fornecedor não preenchido! (ACC01)"/>
    <x v="5"/>
    <x v="1"/>
    <s v="Campo Fornecedor"/>
    <x v="0"/>
    <s v="Qualidade dos dados"/>
    <s v="KONTIK BUSINESS TRAVEL"/>
    <x v="4"/>
  </r>
  <r>
    <n v="24816004"/>
    <n v="25655808"/>
    <s v="ACC01"/>
    <x v="144"/>
    <d v="2026-06-25T14:08:01"/>
    <x v="4"/>
    <x v="3"/>
    <s v="6PU6NY"/>
    <s v="LEMONTECH"/>
    <s v="AYDOS DE ASSIS/GRETA"/>
    <s v="Vitoria Silva Lopes"/>
    <s v="Vitoria Silva Lopes"/>
    <d v="2026-06-19T17:45:00"/>
    <n v="19507493"/>
    <s v="-"/>
    <s v="OFF LINE"/>
    <s v="Invoice"/>
    <s v="Faturado"/>
    <x v="3"/>
    <s v="N"/>
    <x v="43"/>
    <s v="Lojas Renner"/>
    <s v="-"/>
    <s v="-"/>
    <s v="-"/>
    <x v="36"/>
    <s v="-"/>
    <x v="136"/>
    <n v="0"/>
    <n v="0"/>
    <n v="0"/>
    <n v="0"/>
    <n v="0"/>
    <n v="0"/>
    <s v="Reserva importada do Sistema Lemontech. Solicitação: 19507493"/>
    <s v="Fornecedor não preenchido! (ACC01)"/>
    <x v="5"/>
    <x v="1"/>
    <s v="Campo Fornecedor"/>
    <x v="0"/>
    <s v="Qualidade dos dados"/>
    <s v="KONTIK BUSINESS TRAVEL"/>
    <x v="4"/>
  </r>
  <r>
    <n v="24823440"/>
    <n v="25662601"/>
    <s v="ACC01"/>
    <x v="145"/>
    <d v="2026-06-26T16:06:40"/>
    <x v="4"/>
    <x v="3"/>
    <s v="6QXKSB"/>
    <s v="LEMONTECH"/>
    <s v="MULLER/MARINA"/>
    <s v="Vitoria Silva Lopes"/>
    <s v="Vitoria Silva Lopes"/>
    <d v="2026-06-19T17:13:00"/>
    <n v="19509128"/>
    <s v="-"/>
    <s v="OFF LINE"/>
    <s v="Invoice"/>
    <s v="Faturado"/>
    <x v="3"/>
    <s v="N"/>
    <x v="43"/>
    <s v="Lojas Renner"/>
    <s v="-"/>
    <s v="-"/>
    <s v="-"/>
    <x v="36"/>
    <s v="-"/>
    <x v="137"/>
    <n v="0"/>
    <n v="0"/>
    <n v="0"/>
    <n v="0"/>
    <n v="0"/>
    <n v="0"/>
    <s v="Reserva importada do Sistema Lemontech. Solicitação: 19509128"/>
    <s v="Fornecedor não preenchido! (ACC01)"/>
    <x v="5"/>
    <x v="1"/>
    <s v="Campo Fornecedor"/>
    <x v="0"/>
    <s v="Qualidade dos dados"/>
    <s v="KONTIK BUSINESS TRAVEL"/>
    <x v="4"/>
  </r>
  <r>
    <n v="24823441"/>
    <n v="25662602"/>
    <s v="ACC01"/>
    <x v="146"/>
    <d v="2026-06-26T16:06:40"/>
    <x v="4"/>
    <x v="3"/>
    <s v="6QE8WB"/>
    <s v="LEMONTECH"/>
    <s v="DIAS MONTEIRO CHAVES/JULIANA"/>
    <s v="Vitoria Silva Lopes"/>
    <s v="Vitoria Silva Lopes"/>
    <d v="2026-06-19T17:14:00"/>
    <n v="19509191"/>
    <s v="-"/>
    <s v="OFF LINE"/>
    <s v="Invoice"/>
    <s v="Faturado"/>
    <x v="3"/>
    <s v="N"/>
    <x v="43"/>
    <s v="Lojas Renner"/>
    <s v="-"/>
    <s v="-"/>
    <s v="-"/>
    <x v="36"/>
    <s v="-"/>
    <x v="137"/>
    <n v="0"/>
    <n v="0"/>
    <n v="0"/>
    <n v="0"/>
    <n v="0"/>
    <n v="0"/>
    <s v="Reserva importada do Sistema Lemontech. Solicitação: 19509191"/>
    <s v="Fornecedor não preenchido! (ACC01)"/>
    <x v="5"/>
    <x v="1"/>
    <s v="Campo Fornecedor"/>
    <x v="0"/>
    <s v="Qualidade dos dados"/>
    <s v="KONTIK BUSINESS TRAVEL"/>
    <x v="4"/>
  </r>
  <r>
    <n v="24807276"/>
    <n v="25648573"/>
    <s v="ACC01"/>
    <x v="147"/>
    <d v="2026-06-23T22:25:38"/>
    <x v="4"/>
    <x v="3"/>
    <s v="6PDL7S"/>
    <s v="TMS"/>
    <s v="RENATO DE PAULA"/>
    <s v="Tms"/>
    <s v="Tms"/>
    <d v="2026-06-23T18:12:00"/>
    <n v="44583"/>
    <s v="Araraquara / AQA"/>
    <s v="ON LINE"/>
    <s v="Invoice"/>
    <s v="Faturado"/>
    <x v="2"/>
    <s v="N"/>
    <x v="44"/>
    <s v="Compass Uol Araraquara"/>
    <s v="-"/>
    <s v="-"/>
    <s v="-"/>
    <x v="37"/>
    <s v="-"/>
    <x v="138"/>
    <n v="0"/>
    <n v="0"/>
    <n v="0"/>
    <n v="0"/>
    <n v="0"/>
    <n v="0"/>
    <s v="Reserva importada do Sistema TMS. OS: 44583"/>
    <s v="Fornecedor não preenchido! (ACC01)"/>
    <x v="0"/>
    <x v="1"/>
    <s v="Campo Fornecedor"/>
    <x v="0"/>
    <s v="Qualidade dos dados"/>
    <s v="KONTIK BUSINESS TRAVEL"/>
    <x v="4"/>
  </r>
  <r>
    <n v="24816955"/>
    <n v="25656777"/>
    <s v="ACC01"/>
    <x v="148"/>
    <d v="2026-06-25T17:06:47"/>
    <x v="4"/>
    <x v="3"/>
    <s v="6POLRU"/>
    <s v="TMS"/>
    <s v="RENATO DE PAULA"/>
    <s v="Tms"/>
    <s v="Tms"/>
    <d v="2026-06-25T13:42:00"/>
    <n v="44739"/>
    <s v="Araraquara / AQA"/>
    <s v="ON LINE"/>
    <s v="Invoice"/>
    <s v="Faturado"/>
    <x v="2"/>
    <s v="N"/>
    <x v="44"/>
    <s v="Compass Uol Araraquara"/>
    <s v="-"/>
    <s v="-"/>
    <s v="-"/>
    <x v="37"/>
    <s v="-"/>
    <x v="139"/>
    <n v="0"/>
    <n v="0"/>
    <n v="0"/>
    <n v="0"/>
    <n v="0"/>
    <n v="0"/>
    <s v="Reserva importada do Sistema TMS. OS: 44739"/>
    <s v="Fornecedor não preenchido! (ACC01)"/>
    <x v="0"/>
    <x v="1"/>
    <s v="Campo Fornecedor"/>
    <x v="0"/>
    <s v="Qualidade dos dados"/>
    <s v="KONTIK BUSINESS TRAVEL"/>
    <x v="4"/>
  </r>
  <r>
    <n v="24823028"/>
    <n v="25662160"/>
    <s v="ACC01"/>
    <x v="149"/>
    <d v="2026-06-27T03:43:59"/>
    <x v="4"/>
    <x v="3"/>
    <s v="H4703520"/>
    <s v="GOVER"/>
    <s v="Saulo Pimentel dos Santos"/>
    <s v="Francisca Maria Mangueira"/>
    <s v="Francisca Maria Mangueira"/>
    <d v="2026-06-26T15:12:00"/>
    <n v="4703520"/>
    <s v="-"/>
    <s v="OFF LINE"/>
    <s v="Cartão de crédito"/>
    <s v="Cartão de crédito"/>
    <x v="1"/>
    <s v="N"/>
    <x v="26"/>
    <s v="Bat | Souza Cruz - Matriz"/>
    <s v="-"/>
    <s v="-"/>
    <s v="-"/>
    <x v="24"/>
    <s v="-"/>
    <x v="131"/>
    <n v="0"/>
    <n v="0"/>
    <n v="0"/>
    <n v="0"/>
    <n v="0"/>
    <n v="0"/>
    <s v="Reserva importada do sistema Gover. Id: 4703520"/>
    <s v="Fornecedor não preenchido! (ACC01)"/>
    <x v="3"/>
    <x v="1"/>
    <s v="Campo Fornecedor"/>
    <x v="0"/>
    <s v="Sistêmico"/>
    <s v="GRUPO KONTIK"/>
    <x v="1"/>
  </r>
  <r>
    <n v="24823029"/>
    <n v="25662161"/>
    <s v="ACC01"/>
    <x v="150"/>
    <d v="2026-06-27T03:44:00"/>
    <x v="4"/>
    <x v="3"/>
    <s v="H4709754"/>
    <s v="GOVER"/>
    <s v="Saulo Pimentel dos Santos"/>
    <s v="Francisca Maria Mangueira"/>
    <s v="Francisca Maria Mangueira"/>
    <d v="2026-06-26T15:11:00"/>
    <n v="4709754"/>
    <s v="-"/>
    <s v="OFF LINE"/>
    <s v="Cartão de crédito"/>
    <s v="Cartão de crédito"/>
    <x v="1"/>
    <s v="N"/>
    <x v="26"/>
    <s v="Bat | Souza Cruz - Matriz"/>
    <s v="-"/>
    <s v="-"/>
    <s v="-"/>
    <x v="24"/>
    <s v="-"/>
    <x v="131"/>
    <n v="0"/>
    <n v="0"/>
    <n v="0"/>
    <n v="0"/>
    <n v="0"/>
    <n v="0"/>
    <s v="Reserva importada do sistema Gover. Id: 4709754"/>
    <s v="Fornecedor não preenchido! (ACC01)"/>
    <x v="3"/>
    <x v="1"/>
    <s v="Campo Fornecedor"/>
    <x v="0"/>
    <s v="Sistêmico"/>
    <s v="GRUPO KONTIK"/>
    <x v="1"/>
  </r>
  <r>
    <n v="24823899"/>
    <n v="25663134"/>
    <s v="ACC01"/>
    <x v="151"/>
    <d v="2026-06-27T04:05:47"/>
    <x v="4"/>
    <x v="3"/>
    <s v="h4706456"/>
    <s v="GOVER"/>
    <s v="Saulo Pimentel dos Santos"/>
    <s v="Francisca Maria Mangueira"/>
    <s v="Francisca Maria Mangueira"/>
    <d v="2026-06-26T17:09:00"/>
    <n v="4706456"/>
    <s v="-"/>
    <s v="OFF LINE"/>
    <s v="Cartão de crédito"/>
    <s v="Cartão de crédito"/>
    <x v="1"/>
    <s v="N"/>
    <x v="26"/>
    <s v="Bat | Souza Cruz - Matriz"/>
    <s v="-"/>
    <s v="-"/>
    <s v="-"/>
    <x v="24"/>
    <s v="-"/>
    <x v="140"/>
    <n v="50"/>
    <n v="0"/>
    <n v="0"/>
    <n v="0"/>
    <n v="0"/>
    <n v="0"/>
    <s v="Reserva importada do sistema Gover. Id: 4706456"/>
    <s v="Fornecedor não preenchido! (ACC01)"/>
    <x v="3"/>
    <x v="1"/>
    <s v="Campo Fornecedor"/>
    <x v="0"/>
    <s v="Sistêmico"/>
    <s v="GRUPO KONTIK"/>
    <x v="1"/>
  </r>
  <r>
    <n v="24834642"/>
    <n v="25671419"/>
    <s v="ACC01"/>
    <x v="152"/>
    <d v="2026-06-29T09:10:50"/>
    <x v="6"/>
    <x v="4"/>
    <n v="23471246"/>
    <s v="WOOBA"/>
    <s v="MELO/MICHAEL BEZERRA LOPES"/>
    <s v="RAYANE ROCHA MONIZ"/>
    <s v="RAYANE ROCHA MONIZ"/>
    <d v="2026-06-25T11:38:00"/>
    <n v="2841076"/>
    <s v="-"/>
    <s v="OFF LINE"/>
    <s v="Cartão de crédito"/>
    <s v="Cartão de crédito"/>
    <x v="1"/>
    <s v="N"/>
    <x v="45"/>
    <s v="Constellation"/>
    <s v="-"/>
    <s v="-"/>
    <s v="-"/>
    <x v="38"/>
    <s v="-"/>
    <x v="141"/>
    <n v="0"/>
    <n v="0"/>
    <n v="0"/>
    <n v="0"/>
    <n v="63.51"/>
    <n v="0"/>
    <s v="Reserva importada do Sistema WOOBA. Id: 13415"/>
    <s v="Fornecedor não preenchido! (ACC01)"/>
    <x v="6"/>
    <x v="1"/>
    <s v="Campo Fornecedor"/>
    <x v="0"/>
    <s v="Qualidade dos dados"/>
    <s v="KONTIK BUSINESS TRAVEL"/>
    <x v="4"/>
  </r>
  <r>
    <n v="24834643"/>
    <n v="25671420"/>
    <s v="ACC01"/>
    <x v="153"/>
    <d v="2026-06-29T09:10:50"/>
    <x v="6"/>
    <x v="4"/>
    <n v="23471482"/>
    <s v="WOOBA"/>
    <s v="SANTOS/JOELINGTON FREITAS"/>
    <s v="RAYANE ROCHA MONIZ"/>
    <s v="RAYANE ROCHA MONIZ"/>
    <d v="2026-06-25T11:44:00"/>
    <n v="2841078"/>
    <s v="-"/>
    <s v="OFF LINE"/>
    <s v="Cartão de crédito"/>
    <s v="Cartão de crédito"/>
    <x v="1"/>
    <s v="N"/>
    <x v="45"/>
    <s v="Constellation"/>
    <s v="-"/>
    <s v="-"/>
    <s v="-"/>
    <x v="38"/>
    <s v="-"/>
    <x v="142"/>
    <n v="0"/>
    <n v="0"/>
    <n v="0"/>
    <n v="0"/>
    <n v="23.9"/>
    <n v="0"/>
    <s v="Reserva importada do Sistema WOOBA. Id: 13416"/>
    <s v="Fornecedor não preenchido! (ACC01)"/>
    <x v="6"/>
    <x v="1"/>
    <s v="Campo Fornecedor"/>
    <x v="0"/>
    <s v="Qualidade dos dados"/>
    <s v="KONTIK BUSINESS TRAVEL"/>
    <x v="4"/>
  </r>
  <r>
    <n v="24834644"/>
    <n v="25671421"/>
    <s v="ACC01"/>
    <x v="154"/>
    <d v="2026-06-29T09:10:50"/>
    <x v="6"/>
    <x v="4"/>
    <n v="23471529"/>
    <s v="WOOBA"/>
    <s v="SANTOS/FELIPE VELOSO BARBOSA"/>
    <s v="RAYANE ROCHA MONIZ"/>
    <s v="RAYANE ROCHA MONIZ"/>
    <d v="2026-06-25T11:47:00"/>
    <n v="2840953"/>
    <s v="-"/>
    <s v="OFF LINE"/>
    <s v="Cartão de crédito"/>
    <s v="Cartão de crédito"/>
    <x v="1"/>
    <s v="N"/>
    <x v="45"/>
    <s v="Constellation"/>
    <s v="-"/>
    <s v="-"/>
    <s v="-"/>
    <x v="38"/>
    <s v="-"/>
    <x v="143"/>
    <n v="0"/>
    <n v="0"/>
    <n v="0"/>
    <n v="0"/>
    <n v="21.95"/>
    <n v="0"/>
    <s v="Reserva importada do Sistema WOOBA. Id: 13417"/>
    <s v="Fornecedor não preenchido! (ACC01)"/>
    <x v="6"/>
    <x v="1"/>
    <s v="Campo Fornecedor"/>
    <x v="0"/>
    <s v="Qualidade dos dados"/>
    <s v="KONTIK BUSINESS TRAVEL"/>
    <x v="4"/>
  </r>
  <r>
    <n v="24834645"/>
    <n v="25671422"/>
    <s v="ACC01"/>
    <x v="155"/>
    <d v="2026-06-29T09:10:50"/>
    <x v="6"/>
    <x v="4"/>
    <n v="23488341"/>
    <s v="WOOBA"/>
    <s v="SILVA/AUGUSTO SILVA"/>
    <s v="RAYANE ROCHA MONIZ"/>
    <s v="RAYANE ROCHA MONIZ"/>
    <d v="2026-06-26T11:59:00"/>
    <n v="2842472"/>
    <s v="-"/>
    <s v="OFF LINE"/>
    <s v="Cartão de crédito"/>
    <s v="Cartão de crédito"/>
    <x v="1"/>
    <s v="N"/>
    <x v="45"/>
    <s v="Constellation"/>
    <s v="-"/>
    <s v="-"/>
    <s v="-"/>
    <x v="38"/>
    <s v="-"/>
    <x v="143"/>
    <n v="0"/>
    <n v="0"/>
    <n v="0"/>
    <n v="0"/>
    <n v="21.95"/>
    <n v="0"/>
    <s v="Reserva importada do Sistema WOOBA. Id: 13483"/>
    <s v="Fornecedor não preenchido! (ACC01)"/>
    <x v="6"/>
    <x v="1"/>
    <s v="Campo Fornecedor"/>
    <x v="0"/>
    <s v="Qualidade dos dados"/>
    <s v="KONTIK BUSINESS TRAVEL"/>
    <x v="4"/>
  </r>
  <r>
    <n v="24834646"/>
    <n v="25671423"/>
    <s v="ACC01"/>
    <x v="156"/>
    <d v="2026-06-29T09:10:50"/>
    <x v="6"/>
    <x v="4"/>
    <n v="23488467"/>
    <s v="WOOBA"/>
    <s v="GIBIN/FERNANDO GONCALVES"/>
    <s v="RAYANE ROCHA MONIZ"/>
    <s v="RAYANE ROCHA MONIZ"/>
    <d v="2026-06-26T12:02:00"/>
    <n v="2842471"/>
    <s v="-"/>
    <s v="OFF LINE"/>
    <s v="Cartão de crédito"/>
    <s v="Cartão de crédito"/>
    <x v="1"/>
    <s v="N"/>
    <x v="45"/>
    <s v="Constellation"/>
    <s v="-"/>
    <s v="-"/>
    <s v="-"/>
    <x v="38"/>
    <s v="-"/>
    <x v="143"/>
    <n v="0"/>
    <n v="0"/>
    <n v="0"/>
    <n v="0"/>
    <n v="21.95"/>
    <n v="0"/>
    <s v="Reserva importada do Sistema WOOBA. Id: 13484"/>
    <s v="Fornecedor não preenchido! (ACC01)"/>
    <x v="6"/>
    <x v="1"/>
    <s v="Campo Fornecedor"/>
    <x v="0"/>
    <s v="Qualidade dos dados"/>
    <s v="KONTIK BUSINESS TRAVEL"/>
    <x v="4"/>
  </r>
  <r>
    <n v="24822264"/>
    <n v="25661419"/>
    <s v="ACC01"/>
    <x v="157"/>
    <d v="2026-06-26T14:08:18"/>
    <x v="4"/>
    <x v="3"/>
    <s v="6PSPJO"/>
    <s v="LEMONTECH"/>
    <s v="LEITE/AISLAN"/>
    <s v="LUCIANA DOS SANTOS ARAUJO"/>
    <s v="LUCIANA DOS SANTOS ARAUJO"/>
    <d v="2026-06-26T12:26:00"/>
    <n v="19553289"/>
    <s v="AGENCIA CENTRO SANTO ANDRE -DOM PEDRO II, 1182, JARDIM"/>
    <s v="OFF LINE"/>
    <s v="Invoice"/>
    <s v="Faturado"/>
    <x v="2"/>
    <s v="N"/>
    <x v="46"/>
    <s v="Biolab Centro Administrativo - Escritorio"/>
    <s v="-"/>
    <s v="-"/>
    <s v="-"/>
    <x v="39"/>
    <s v="-"/>
    <x v="144"/>
    <n v="0"/>
    <n v="0"/>
    <n v="0"/>
    <n v="0"/>
    <n v="0"/>
    <n v="0"/>
    <s v="Reserva importada do Sistema Lemontech. Solicitação: 19553289"/>
    <s v="Fornecedor não preenchido! (ACC01)"/>
    <x v="5"/>
    <x v="1"/>
    <s v="Campo Fornecedor"/>
    <x v="0"/>
    <s v="Qualidade dos dados"/>
    <s v="KONTIK BUSINESS TRAVEL"/>
    <x v="4"/>
  </r>
  <r>
    <n v="24824208"/>
    <n v="25663494"/>
    <s v="ACC01"/>
    <x v="158"/>
    <d v="2026-06-26T18:12:42"/>
    <x v="4"/>
    <x v="3"/>
    <s v="6Q8ETP"/>
    <s v="LEMONTECH"/>
    <s v="DE SOUSA/MARCELA"/>
    <s v="Isabela de Melo da Silva"/>
    <s v="Isabela de Melo da Silva"/>
    <d v="2026-06-26T13:51:00"/>
    <n v="19554292"/>
    <s v="HALL AEROPORTO DE BELEM, S/N, VAL DE CANS "/>
    <s v="ON LINE"/>
    <s v="Invoice"/>
    <s v="Faturado"/>
    <x v="2"/>
    <s v="N"/>
    <x v="46"/>
    <s v="Biolab Centro Administrativo - Escritorio"/>
    <s v="-"/>
    <s v="-"/>
    <s v="-"/>
    <x v="39"/>
    <s v="-"/>
    <x v="145"/>
    <n v="97.96"/>
    <n v="314.5"/>
    <n v="0"/>
    <n v="0"/>
    <n v="0"/>
    <n v="0"/>
    <s v="Reserva importada do Sistema Lemontech. Solicitação: 19554292"/>
    <s v="Fornecedor não preenchido! (ACC01)"/>
    <x v="5"/>
    <x v="1"/>
    <s v="Campo Fornecedor"/>
    <x v="0"/>
    <s v="Qualidade dos dados"/>
    <s v="KONTIK BUSINESS TRAVEL"/>
    <x v="4"/>
  </r>
  <r>
    <n v="24815551"/>
    <n v="25655402"/>
    <s v="ACC01"/>
    <x v="159"/>
    <d v="2026-06-25T12:10:10"/>
    <x v="4"/>
    <x v="3"/>
    <s v="AWYNSJT"/>
    <s v="SABRE"/>
    <s v="SULAIMAN/DAVID"/>
    <s v="PAULO JOSE SODRE ANDRADE"/>
    <s v="PAULO JOSE SODRE ANDRADE"/>
    <d v="2026-06-25T08:30:00"/>
    <s v="AWYNSJ"/>
    <s v="-"/>
    <s v="OFF LINE"/>
    <s v="Cartão de crédito"/>
    <s v="Cartão de crédito"/>
    <x v="1"/>
    <s v="N"/>
    <x v="27"/>
    <s v="Grupo Casas Bahia S.a."/>
    <s v="-"/>
    <s v="-"/>
    <s v="-"/>
    <x v="25"/>
    <s v="-"/>
    <x v="146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815561"/>
    <n v="25655413"/>
    <s v="ACC02"/>
    <x v="160"/>
    <d v="2026-06-25T12:10:17"/>
    <x v="4"/>
    <x v="3"/>
    <s v="OWSAGDT"/>
    <s v="SABRE"/>
    <s v="OLIVEIRA/FABRICIO"/>
    <s v="Rafaela Leitao Oliveira"/>
    <s v="Rafaela Leitao Oliveira"/>
    <d v="2026-06-25T09:18:00"/>
    <s v="OWSAGD"/>
    <s v="-"/>
    <s v="OFF LINE"/>
    <s v="Invoice"/>
    <s v="Faturado"/>
    <x v="1"/>
    <s v="N"/>
    <x v="27"/>
    <s v="Grupo Casas Bahia S.a."/>
    <s v="-"/>
    <s v="-"/>
    <s v="-"/>
    <x v="25"/>
    <s v="-"/>
    <x v="147"/>
    <n v="0"/>
    <n v="0"/>
    <n v="0"/>
    <n v="0"/>
    <n v="0"/>
    <n v="0"/>
    <s v="Reserva importada por HubTravel"/>
    <s v="Fornecedor não preenchido! (ACC02)"/>
    <x v="1"/>
    <x v="1"/>
    <s v="Campo Fornecedor"/>
    <x v="0"/>
    <s v="Qualidade dos dados"/>
    <s v="KONTIK BUSINESS TRAVEL"/>
    <x v="4"/>
  </r>
  <r>
    <n v="24815561"/>
    <n v="25655414"/>
    <s v="ACC03"/>
    <x v="160"/>
    <d v="2026-06-25T12:10:17"/>
    <x v="4"/>
    <x v="3"/>
    <s v="OWSAGDT"/>
    <s v="SABRE"/>
    <s v="OLIVEIRA/FABRICIO"/>
    <s v="Rafaela Leitao Oliveira"/>
    <s v="Rafaela Leitao Oliveira"/>
    <d v="2026-06-25T09:18:00"/>
    <s v="OWSAGD"/>
    <s v="-"/>
    <s v="OFF LINE"/>
    <s v="Invoice"/>
    <s v="Faturado"/>
    <x v="1"/>
    <s v="N"/>
    <x v="27"/>
    <s v="Grupo Casas Bahia S.a."/>
    <s v="-"/>
    <s v="-"/>
    <s v="-"/>
    <x v="25"/>
    <s v="-"/>
    <x v="148"/>
    <n v="0"/>
    <n v="0"/>
    <n v="0"/>
    <n v="0"/>
    <n v="0"/>
    <n v="0"/>
    <s v="Reserva importada por HubTravel"/>
    <s v="Fornecedor não preenchido! (ACC02)"/>
    <x v="1"/>
    <x v="1"/>
    <s v="Campo Fornecedor"/>
    <x v="0"/>
    <s v="Qualidade dos dados"/>
    <s v="KONTIK BUSINESS TRAVEL"/>
    <x v="4"/>
  </r>
  <r>
    <n v="24818044"/>
    <n v="25657974"/>
    <s v="ACC02"/>
    <x v="161"/>
    <d v="2026-07-01T06:19:27"/>
    <x v="1"/>
    <x v="3"/>
    <s v="OSZHZYT"/>
    <s v="SABRE"/>
    <s v="JESUS/NILMARA"/>
    <s v="PAULO JOSE SODRE ANDRADE"/>
    <s v="PAULO JOSE SODRE ANDRADE"/>
    <d v="2026-06-25T15:41:00"/>
    <s v="OSZHZY"/>
    <s v="-"/>
    <s v="OFF LINE"/>
    <s v="Cartão de crédito"/>
    <s v="Cartão de crédito"/>
    <x v="1"/>
    <s v="N"/>
    <x v="27"/>
    <s v="Grupo Casas Bahia S.a."/>
    <s v="-"/>
    <s v="-"/>
    <s v="-"/>
    <x v="25"/>
    <s v="-"/>
    <x v="63"/>
    <n v="0"/>
    <n v="0"/>
    <n v="0"/>
    <n v="0"/>
    <n v="0"/>
    <n v="0"/>
    <s v="Reserva importada por HubTravel"/>
    <s v="Fornecedor não preenchido! (ACC02)"/>
    <x v="1"/>
    <x v="1"/>
    <s v="Campo Fornecedor"/>
    <x v="0"/>
    <s v="Qualidade dos dados"/>
    <s v="KONTIK BUSINESS TRAVEL"/>
    <x v="4"/>
  </r>
  <r>
    <n v="24811827"/>
    <n v="25652466"/>
    <s v="ACC01"/>
    <x v="162"/>
    <d v="2026-06-24T17:51:22"/>
    <x v="4"/>
    <x v="3"/>
    <s v="WFNIDQT"/>
    <s v="SABRE"/>
    <s v="PENA/IRMA"/>
    <s v="PAULO JOSE SODRE ANDRADE"/>
    <s v="PAULO JOSE SODRE ANDRADE"/>
    <d v="2026-06-24T14:14:00"/>
    <s v="WFNIDQ"/>
    <s v="-"/>
    <s v="OFF LINE"/>
    <s v="Cartão de crédito"/>
    <s v="Cartão de crédito"/>
    <x v="1"/>
    <s v="N"/>
    <x v="27"/>
    <s v="Grupo Casas Bahia S.a."/>
    <s v="-"/>
    <s v="-"/>
    <s v="-"/>
    <x v="25"/>
    <s v="-"/>
    <x v="146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811828"/>
    <n v="25652467"/>
    <s v="ACC01"/>
    <x v="163"/>
    <d v="2026-06-24T17:51:22"/>
    <x v="4"/>
    <x v="3"/>
    <s v="IJWSATT"/>
    <s v="SABRE"/>
    <s v="SOUZA/JOSE"/>
    <s v="PAULO JOSE SODRE ANDRADE"/>
    <s v="PAULO JOSE SODRE ANDRADE"/>
    <d v="2026-06-24T14:17:00"/>
    <s v="IJWSAT"/>
    <s v="-"/>
    <s v="OFF LINE"/>
    <s v="Cartão de crédito"/>
    <s v="Cartão de crédito"/>
    <x v="1"/>
    <s v="N"/>
    <x v="27"/>
    <s v="Grupo Casas Bahia S.a."/>
    <s v="-"/>
    <s v="-"/>
    <s v="-"/>
    <x v="25"/>
    <s v="-"/>
    <x v="146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811183"/>
    <n v="25651779"/>
    <s v="ACC01"/>
    <x v="164"/>
    <d v="2026-06-24T16:22:06"/>
    <x v="4"/>
    <x v="3"/>
    <s v="QWKSFTT"/>
    <s v="SABRE"/>
    <s v="RONDON/LIDIANE"/>
    <s v="PAULO JOSE SODRE ANDRADE"/>
    <s v="PAULO JOSE SODRE ANDRADE"/>
    <d v="2026-06-24T13:58:00"/>
    <s v="QWKSFT"/>
    <s v="-"/>
    <s v="OFF LINE"/>
    <s v="Cartão de crédito"/>
    <s v="Cartão de crédito"/>
    <x v="1"/>
    <s v="N"/>
    <x v="27"/>
    <s v="Grupo Casas Bahia S.a."/>
    <s v="-"/>
    <s v="-"/>
    <s v="-"/>
    <x v="25"/>
    <s v="-"/>
    <x v="149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811186"/>
    <n v="25651782"/>
    <s v="ACC01"/>
    <x v="165"/>
    <d v="2026-06-24T16:22:08"/>
    <x v="4"/>
    <x v="3"/>
    <s v="IIUHIAT"/>
    <s v="SABRE"/>
    <s v="GOMES/CARLOS"/>
    <s v="PAULO JOSE SODRE ANDRADE"/>
    <s v="PAULO JOSE SODRE ANDRADE"/>
    <d v="2026-06-24T14:04:00"/>
    <s v="IIUHIA"/>
    <s v="-"/>
    <s v="OFF LINE"/>
    <s v="Cartão de crédito"/>
    <s v="Cartão de crédito"/>
    <x v="1"/>
    <s v="N"/>
    <x v="27"/>
    <s v="Grupo Casas Bahia S.a."/>
    <s v="-"/>
    <s v="-"/>
    <s v="-"/>
    <x v="25"/>
    <s v="-"/>
    <x v="146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817135"/>
    <n v="25656966"/>
    <s v="ACC02"/>
    <x v="166"/>
    <d v="2026-06-25T15:36:14"/>
    <x v="4"/>
    <x v="3"/>
    <s v="FOAARGT"/>
    <s v="SABRE"/>
    <s v="SANTANA/EDSON"/>
    <s v="PAULO JOSE SODRE ANDRADE"/>
    <s v="PAULO JOSE SODRE ANDRADE"/>
    <d v="2026-06-24T11:54:00"/>
    <s v="FOAARG"/>
    <s v="-"/>
    <s v="OFF LINE"/>
    <s v="Cartão de crédito"/>
    <s v="Cartão de crédito"/>
    <x v="1"/>
    <s v="N"/>
    <x v="27"/>
    <s v="Grupo Casas Bahia S.a."/>
    <s v="-"/>
    <s v="-"/>
    <s v="-"/>
    <x v="25"/>
    <s v="-"/>
    <x v="146"/>
    <n v="0"/>
    <n v="0"/>
    <n v="0"/>
    <n v="0"/>
    <n v="0"/>
    <n v="0"/>
    <s v="Reserva importada por HubTravel"/>
    <s v="Fornecedor não preenchido! (ACC02)"/>
    <x v="1"/>
    <x v="1"/>
    <s v="Campo Fornecedor"/>
    <x v="0"/>
    <s v="Qualidade dos dados"/>
    <s v="KONTIK BUSINESS TRAVEL"/>
    <x v="4"/>
  </r>
  <r>
    <n v="24806850"/>
    <n v="25648167"/>
    <s v="ACC01"/>
    <x v="167"/>
    <d v="2026-06-23T21:19:33"/>
    <x v="4"/>
    <x v="3"/>
    <s v="6PMZ5W"/>
    <s v="TMS"/>
    <s v="LUIS CARLOS BUSTOS"/>
    <s v="Jeane Alencar Pereira"/>
    <s v="Jeane Alencar Pereira"/>
    <d v="2026-06-23T14:52:00"/>
    <n v="67980"/>
    <s v="Taubate / SP, Brasil (QHP)"/>
    <s v="OFF LINE"/>
    <s v="Invoice"/>
    <s v="Faturado"/>
    <x v="2"/>
    <s v="N"/>
    <x v="47"/>
    <s v="Motiva Filial"/>
    <s v="-"/>
    <s v="-"/>
    <s v="-"/>
    <x v="40"/>
    <s v="-"/>
    <x v="150"/>
    <n v="0"/>
    <n v="206.91"/>
    <n v="0"/>
    <n v="0"/>
    <n v="0"/>
    <n v="0"/>
    <s v="Reserva importada do Sistema TMS. OS: 67980"/>
    <s v="Fornecedor não preenchido! (ACC01)"/>
    <x v="0"/>
    <x v="1"/>
    <s v="Campo Fornecedor"/>
    <x v="0"/>
    <s v="Qualidade dos dados"/>
    <s v="KONTIK BUSINESS TRAVEL"/>
    <x v="4"/>
  </r>
  <r>
    <n v="24825296"/>
    <n v="25664552"/>
    <s v="ACC01"/>
    <x v="168"/>
    <d v="2026-06-26T21:46:46"/>
    <x v="4"/>
    <x v="3"/>
    <s v="6QRXNM"/>
    <s v="TMS"/>
    <s v="ROGERIO ALVES"/>
    <s v="Tms"/>
    <s v="Tms"/>
    <d v="2026-06-26T18:06:00"/>
    <n v="68404"/>
    <s v="Rio de Janeiro / SDU"/>
    <s v="ON LINE"/>
    <s v="Invoice"/>
    <s v="Faturado"/>
    <x v="2"/>
    <s v="N"/>
    <x v="47"/>
    <s v="Motiva Filial"/>
    <s v="-"/>
    <s v="-"/>
    <s v="-"/>
    <x v="40"/>
    <s v="-"/>
    <x v="151"/>
    <n v="0"/>
    <n v="0"/>
    <n v="0"/>
    <n v="0"/>
    <n v="0"/>
    <n v="0"/>
    <s v="Reserva importada do Sistema TMS. OS: 68404"/>
    <s v="Fornecedor não preenchido! (ACC01)"/>
    <x v="0"/>
    <x v="1"/>
    <s v="Campo Fornecedor"/>
    <x v="0"/>
    <s v="Qualidade dos dados"/>
    <s v="KONTIK BUSINESS TRAVEL"/>
    <x v="4"/>
  </r>
  <r>
    <n v="24832097"/>
    <n v="25669613"/>
    <s v="ACC01"/>
    <x v="169"/>
    <d v="2026-06-28T15:42:38"/>
    <x v="6"/>
    <x v="4"/>
    <s v="6Q6U9E"/>
    <s v="TMS"/>
    <s v="LUCIANO ZAPLANA"/>
    <s v="Tms"/>
    <s v="Tms"/>
    <d v="2026-06-28T11:39:00"/>
    <n v="4702"/>
    <s v="São Paulo / GRU"/>
    <s v="ON LINE"/>
    <s v="Invoice"/>
    <s v="Faturado"/>
    <x v="2"/>
    <s v="N"/>
    <x v="48"/>
    <s v="Yamaha Motor do Brasil Ltda"/>
    <s v="-"/>
    <s v="-"/>
    <s v="-"/>
    <x v="41"/>
    <s v="-"/>
    <x v="152"/>
    <n v="0"/>
    <n v="0"/>
    <n v="0"/>
    <n v="0"/>
    <n v="0"/>
    <n v="0"/>
    <s v="Reserva importada do Sistema TMS. OS: 4702"/>
    <s v="Fornecedor não preenchido! (ACC01)"/>
    <x v="0"/>
    <x v="1"/>
    <s v="Campo Fornecedor"/>
    <x v="0"/>
    <s v="Qualidade dos dados"/>
    <s v="KONTIK BUSINESS TRAVEL"/>
    <x v="4"/>
  </r>
  <r>
    <n v="24817910"/>
    <n v="25657834"/>
    <s v="ACC01"/>
    <x v="170"/>
    <d v="2026-06-25T18:40:42"/>
    <x v="4"/>
    <x v="3"/>
    <s v="6PAF87"/>
    <s v="MANUAL"/>
    <s v="Andre Carvalho Faissal"/>
    <s v="Gover"/>
    <s v="Gover"/>
    <d v="2026-06-24T17:22:00"/>
    <n v="4714384"/>
    <s v="-"/>
    <s v="OFF LINE"/>
    <s v="Cartão de crédito"/>
    <s v="Cartão AMEX"/>
    <x v="0"/>
    <s v="N"/>
    <x v="26"/>
    <s v="Bat | Souza Cruz - Matriz"/>
    <s v="-"/>
    <s v="Gol Linhas Aereas"/>
    <n v="2306513350"/>
    <x v="24"/>
    <s v="-"/>
    <x v="153"/>
    <n v="342.86"/>
    <n v="0"/>
    <n v="0"/>
    <n v="0"/>
    <n v="0"/>
    <n v="0"/>
    <s v="Reserva importada do sistema Gover. Id: 4714384"/>
    <s v="Accouting aérea não possui trechos (Bilhete: 2306513350)"/>
    <x v="2"/>
    <x v="16"/>
    <s v="Atualização de Trechos"/>
    <x v="0"/>
    <s v="Qualidade dos dados"/>
    <s v="KONTIK BUSINESS TRAVEL"/>
    <x v="2"/>
  </r>
  <r>
    <n v="24817910"/>
    <n v="25657835"/>
    <s v="ACC"/>
    <x v="170"/>
    <d v="2026-06-25T18:40:42"/>
    <x v="4"/>
    <x v="3"/>
    <s v="6PAF87"/>
    <s v="MANUAL"/>
    <s v="ANDRE CARVALHO FAISSAL"/>
    <s v="Gover"/>
    <s v="Gover"/>
    <d v="2026-06-24T17:22:00"/>
    <s v="-"/>
    <s v="-"/>
    <s v="OFF LINE"/>
    <s v="Cartão de crédito"/>
    <s v="Cartão AMEX"/>
    <x v="0"/>
    <s v="N"/>
    <x v="26"/>
    <s v="Bat | Souza Cruz - Matriz"/>
    <s v="-"/>
    <s v="Gol Linhas Aereas"/>
    <n v="2306513350"/>
    <x v="24"/>
    <s v="-"/>
    <x v="154"/>
    <n v="100.47"/>
    <n v="0"/>
    <n v="0"/>
    <n v="0"/>
    <n v="0"/>
    <n v="0"/>
    <s v="Reserva importada do sistema Gover. Id: 4714384"/>
    <s v="Accouting aérea não possui trechos (Bilhete: 2306513350)"/>
    <x v="2"/>
    <x v="16"/>
    <s v="Atualização de Trechos"/>
    <x v="0"/>
    <s v="Qualidade dos dados"/>
    <s v="KONTIK BUSINESS TRAVEL"/>
    <x v="2"/>
  </r>
  <r>
    <n v="24817910"/>
    <n v="25657836"/>
    <s v="ACC"/>
    <x v="170"/>
    <d v="2026-06-25T18:40:42"/>
    <x v="4"/>
    <x v="3"/>
    <s v="6PAF87"/>
    <s v="MANUAL"/>
    <s v="ANDRE CARVALHO FAISSAL"/>
    <s v="Gover"/>
    <s v="Gover"/>
    <d v="2026-06-24T17:22:00"/>
    <s v="-"/>
    <s v="-"/>
    <s v="OFF LINE"/>
    <s v="Cartão de crédito"/>
    <s v="Cartão AMEX"/>
    <x v="0"/>
    <s v="N"/>
    <x v="26"/>
    <s v="Bat | Souza Cruz - Matriz"/>
    <s v="-"/>
    <s v="Gol Linhas Aereas"/>
    <n v="2306513350"/>
    <x v="24"/>
    <s v="-"/>
    <x v="154"/>
    <n v="100.47"/>
    <n v="0"/>
    <n v="0"/>
    <n v="0"/>
    <n v="0"/>
    <n v="0"/>
    <s v="Reserva importada do sistema Gover. Id: 4714384"/>
    <s v="Accouting aérea não possui trechos (Bilhete: 2306513350)"/>
    <x v="2"/>
    <x v="16"/>
    <s v="Atualização de Trechos"/>
    <x v="0"/>
    <s v="Qualidade dos dados"/>
    <s v="KONTIK BUSINESS TRAVEL"/>
    <x v="2"/>
  </r>
  <r>
    <n v="24815013"/>
    <n v="25654846"/>
    <s v="ACC01"/>
    <x v="171"/>
    <d v="2026-06-26T03:08:39"/>
    <x v="4"/>
    <x v="3"/>
    <s v="YDIJHK"/>
    <s v="GOVER"/>
    <s v="Andre Carvalho Faissal"/>
    <s v="Gover"/>
    <s v="Gover"/>
    <d v="2026-06-24T17:22:00"/>
    <n v="4714384"/>
    <s v="-"/>
    <s v="OFF LINE"/>
    <s v="Cartão de crédito"/>
    <s v="Cartão AMEX"/>
    <x v="0"/>
    <s v="S"/>
    <x v="26"/>
    <s v="Bat | Souza Cruz - Matriz"/>
    <s v="-"/>
    <s v="Gol Linhas Aereas"/>
    <n v="2306513350"/>
    <x v="24"/>
    <s v="-"/>
    <x v="153"/>
    <n v="342.86"/>
    <n v="0"/>
    <n v="0"/>
    <n v="0"/>
    <n v="0"/>
    <n v="0"/>
    <s v="Reserva importada do sistema Gover. Id: 4714384"/>
    <s v="Accouting aérea não possui trechos (Bilhete: 2306513350)"/>
    <x v="3"/>
    <x v="16"/>
    <s v="Atualização de Trechos"/>
    <x v="0"/>
    <s v="Qualidade dos dados"/>
    <s v="KONTIK BUSINESS TRAVEL"/>
    <x v="2"/>
  </r>
  <r>
    <n v="24815013"/>
    <n v="25657798"/>
    <s v="ACC"/>
    <x v="171"/>
    <d v="2026-06-26T03:08:39"/>
    <x v="4"/>
    <x v="3"/>
    <s v="YDIJHK"/>
    <s v="GOVER"/>
    <s v="ANDRE CARVALHO FAISSAL"/>
    <s v="Gover"/>
    <s v="Gover"/>
    <d v="2026-06-24T17:22:00"/>
    <s v="-"/>
    <s v="-"/>
    <s v="OFF LINE"/>
    <s v="Cartão de crédito"/>
    <s v="Cartão AMEX"/>
    <x v="0"/>
    <s v="S"/>
    <x v="26"/>
    <s v="Bat | Souza Cruz - Matriz"/>
    <s v="-"/>
    <s v="Gol Linhas Aereas"/>
    <n v="2306513350"/>
    <x v="24"/>
    <s v="-"/>
    <x v="154"/>
    <n v="100.47"/>
    <n v="0"/>
    <n v="0"/>
    <n v="0"/>
    <n v="0"/>
    <n v="0"/>
    <s v="Reserva importada do sistema Gover. Id: 4714384"/>
    <s v="Accouting aérea não possui trechos (Bilhete: 2306513350)"/>
    <x v="3"/>
    <x v="16"/>
    <s v="Atualização de Trechos"/>
    <x v="0"/>
    <s v="Qualidade dos dados"/>
    <s v="KONTIK BUSINESS TRAVEL"/>
    <x v="2"/>
  </r>
  <r>
    <n v="24815013"/>
    <n v="25657814"/>
    <s v="ACC"/>
    <x v="171"/>
    <d v="2026-06-26T03:08:39"/>
    <x v="4"/>
    <x v="3"/>
    <s v="YDIJHK"/>
    <s v="GOVER"/>
    <s v="ANDRE CARVALHO FAISSAL"/>
    <s v="Gover"/>
    <s v="Gover"/>
    <d v="2026-06-24T17:22:00"/>
    <s v="-"/>
    <s v="-"/>
    <s v="OFF LINE"/>
    <s v="Cartão de crédito"/>
    <s v="Cartão AMEX"/>
    <x v="0"/>
    <s v="S"/>
    <x v="26"/>
    <s v="Bat | Souza Cruz - Matriz"/>
    <s v="-"/>
    <s v="Gol Linhas Aereas"/>
    <n v="2306513350"/>
    <x v="24"/>
    <s v="-"/>
    <x v="154"/>
    <n v="100.47"/>
    <n v="0"/>
    <n v="0"/>
    <n v="0"/>
    <n v="0"/>
    <n v="0"/>
    <s v="Reserva importada do sistema Gover. Id: 4714384"/>
    <s v="Accouting aérea não possui trechos (Bilhete: 2306513350)"/>
    <x v="3"/>
    <x v="16"/>
    <s v="Atualização de Trechos"/>
    <x v="0"/>
    <s v="Qualidade dos dados"/>
    <s v="KONTIK BUSINESS TRAVEL"/>
    <x v="2"/>
  </r>
  <r>
    <n v="24823058"/>
    <n v="25662191"/>
    <s v="ACC01"/>
    <x v="172"/>
    <d v="2026-06-26T15:33:02"/>
    <x v="4"/>
    <x v="3"/>
    <s v="6QEIPB"/>
    <s v="TMS"/>
    <s v="da Silva/Marcus Felipe"/>
    <s v="Cintya Cocco Figueiredo"/>
    <s v="Cintya Cocco Figueiredo"/>
    <d v="2026-06-26T12:50:00"/>
    <n v="17932"/>
    <s v="-"/>
    <s v="OFF LINE"/>
    <s v="Invoice"/>
    <s v="Faturado"/>
    <x v="0"/>
    <s v="N"/>
    <x v="42"/>
    <s v="Clidec - Clinica Dentaria Especializada Cura D Ars Ltda"/>
    <s v="-"/>
    <s v="Gol Linhas Aereas"/>
    <n v="4441848466"/>
    <x v="42"/>
    <s v="-"/>
    <x v="8"/>
    <n v="175"/>
    <n v="0"/>
    <n v="0"/>
    <n v="0"/>
    <n v="0"/>
    <n v="0"/>
    <s v="Reserva importada do Sistema TMS. OS: 17932"/>
    <s v="Empenho/departamento não preenchido! (ACC01)"/>
    <x v="0"/>
    <x v="7"/>
    <s v="Falta de informação Gerencial"/>
    <x v="0"/>
    <s v="Qualidade dos dados"/>
    <s v="KONTIK BUSINESS TRAVEL"/>
    <x v="3"/>
  </r>
  <r>
    <n v="24814818"/>
    <n v="25654699"/>
    <s v="ACC"/>
    <x v="173"/>
    <d v="2026-06-25T09:30:54"/>
    <x v="4"/>
    <x v="3"/>
    <s v="OCOLMC"/>
    <s v="MANUAL"/>
    <s v="RENATO JOSE FERNANDES"/>
    <s v="Juliana Cardoso"/>
    <s v="Juliana Cardoso"/>
    <d v="2026-06-19T09:15:00"/>
    <s v="-"/>
    <s v="-"/>
    <s v="OFF LINE"/>
    <s v="Cartão de crédito"/>
    <s v="Cartão de crédito"/>
    <x v="0"/>
    <s v="N"/>
    <x v="41"/>
    <s v="Beluca Comercio de Vestuario"/>
    <s v="-"/>
    <s v="Gol Linhas Aereas"/>
    <n v="2306214277"/>
    <x v="35"/>
    <s v="-"/>
    <x v="155"/>
    <n v="84.54"/>
    <n v="0"/>
    <n v="0"/>
    <n v="0"/>
    <n v="0"/>
    <n v="123.16"/>
    <s v="-"/>
    <s v="Necessário cadastrar um contrato para o cliente &quot;&quot;"/>
    <x v="4"/>
    <x v="9"/>
    <s v="Análise Cadastro"/>
    <x v="0"/>
    <s v="Qualidade dos dados"/>
    <s v="KONTRIP VIAGENS"/>
    <x v="5"/>
  </r>
  <r>
    <n v="24817299"/>
    <n v="25657147"/>
    <s v="ACC01"/>
    <x v="174"/>
    <d v="2026-07-03T10:40:36"/>
    <x v="1"/>
    <x v="3"/>
    <s v="QVIFQP"/>
    <s v="GOVER"/>
    <s v="ANA MARIA VILELA"/>
    <s v="Luciene Carvalho Santos"/>
    <s v="Luciene Carvalho Santos"/>
    <d v="2026-06-25T15:52:00"/>
    <n v="4714955"/>
    <s v="-"/>
    <s v="ON LINE"/>
    <s v="Cartão de crédito"/>
    <s v="Cartão de crédito"/>
    <x v="0"/>
    <s v="N"/>
    <x v="49"/>
    <s v="Diageo Brasil"/>
    <s v="Cliente FEE no POS"/>
    <s v="Gol Linhas Aereas"/>
    <n v="2306576079"/>
    <x v="43"/>
    <s v="-"/>
    <x v="156"/>
    <n v="467.77"/>
    <n v="0"/>
    <n v="0"/>
    <n v="0"/>
    <n v="0"/>
    <n v="27.34"/>
    <s v="Reserva importada do sistema Gover. Id: 4714955"/>
    <s v="1919319/6977477&quot; possui uma transação de cartão efetivada"/>
    <x v="3"/>
    <x v="18"/>
    <s v="Financeiro Conciliado"/>
    <x v="3"/>
    <s v="Processo Operacional"/>
    <s v="KONTIK BUSINESS TRAVEL"/>
    <x v="4"/>
  </r>
  <r>
    <n v="24809713"/>
    <n v="25650271"/>
    <s v="ACC01"/>
    <x v="175"/>
    <d v="2026-06-24T12:28:03"/>
    <x v="4"/>
    <x v="3"/>
    <s v="MTDVWL"/>
    <s v="EBOOKING"/>
    <s v="Simões Ribeiro/Washington"/>
    <s v="Kontrip"/>
    <s v="Kontrip"/>
    <d v="2026-06-24T12:13:00"/>
    <s v="-"/>
    <s v="-"/>
    <s v="OFF LINE"/>
    <s v="Invoice"/>
    <s v="Faturado"/>
    <x v="0"/>
    <s v="N"/>
    <x v="50"/>
    <s v="Tap Air Portugal"/>
    <s v="-"/>
    <s v="Gol Linhas Aereas"/>
    <n v="2306503025"/>
    <x v="35"/>
    <s v="-"/>
    <x v="157"/>
    <n v="68.790000000000006"/>
    <n v="0"/>
    <n v="0"/>
    <n v="0"/>
    <n v="0"/>
    <n v="252.97"/>
    <s v="obs"/>
    <s v="Centro de custo não preenchido! (ACC01)"/>
    <x v="4"/>
    <x v="17"/>
    <s v="Falta de informação Gerencial"/>
    <x v="0"/>
    <s v="Qualidade dos dados"/>
    <s v="KONTRIP VIAGENS"/>
    <x v="5"/>
  </r>
  <r>
    <n v="24812213"/>
    <n v="25652820"/>
    <s v="ACC01"/>
    <x v="176"/>
    <d v="2026-07-03T17:05:31"/>
    <x v="1"/>
    <x v="3"/>
    <s v="GDEPME"/>
    <s v="SABRE"/>
    <s v="SANTOS/FELIPE DE MEDEIROS DOS"/>
    <s v="5I"/>
    <s v="CT"/>
    <d v="2026-06-23T00:00:00"/>
    <s v="GDEPME"/>
    <s v="-"/>
    <s v="OFF LINE"/>
    <s v="Cartão de crédito"/>
    <s v="Cartão AMEX"/>
    <x v="0"/>
    <s v="N"/>
    <x v="15"/>
    <s v="Ctp - Planta Curitiba"/>
    <s v="Cliente FEE no POS"/>
    <s v="Gol Linhas Aereas"/>
    <n v="2306471240"/>
    <x v="16"/>
    <s v="-"/>
    <x v="158"/>
    <n v="568.6"/>
    <n v="0"/>
    <n v="0"/>
    <n v="0"/>
    <n v="0"/>
    <n v="21.9"/>
    <s v="Reserva importada por HubTravel"/>
    <s v="1908492/6974361&quot; possui uma transação de cartão efetivada"/>
    <x v="1"/>
    <x v="18"/>
    <s v="Financeiro Conciliado"/>
    <x v="3"/>
    <s v="Processo Operacional"/>
    <s v="KONTIK BUSINESS TRAVEL"/>
    <x v="2"/>
  </r>
  <r>
    <n v="24812212"/>
    <n v="25652819"/>
    <s v="ACC01"/>
    <x v="177"/>
    <d v="2026-07-03T17:05:29"/>
    <x v="1"/>
    <x v="3"/>
    <s v="GAUHCC"/>
    <s v="SABRE"/>
    <s v="LEAL/EDUARDO CARDOSO"/>
    <s v="Wellington Ribeiro da Silva"/>
    <s v="CT"/>
    <d v="2026-06-23T00:00:00"/>
    <s v="GAUHCC"/>
    <s v="-"/>
    <s v="OFF LINE"/>
    <s v="Cartão de crédito"/>
    <s v="Cartão AMEX"/>
    <x v="0"/>
    <s v="N"/>
    <x v="15"/>
    <s v="Ctp - Planta Curitiba"/>
    <s v="Cliente FEE no POS"/>
    <s v="Latam Airlines Brasil"/>
    <n v="2306468800"/>
    <x v="16"/>
    <s v="-"/>
    <x v="159"/>
    <n v="113.19"/>
    <n v="0"/>
    <n v="0"/>
    <n v="113.19"/>
    <n v="0"/>
    <n v="21.9"/>
    <s v="Reserva importada por HubTravel"/>
    <s v="1908490/6974360&quot; possui uma transação de cartão efetivada"/>
    <x v="1"/>
    <x v="18"/>
    <s v="Financeiro Conciliado"/>
    <x v="3"/>
    <s v="Qualidade dos dados"/>
    <s v="GRUPO KONTIK"/>
    <x v="0"/>
  </r>
  <r>
    <n v="24822731"/>
    <n v="25661875"/>
    <s v="ACC01"/>
    <x v="178"/>
    <d v="2026-06-26T15:16:26"/>
    <x v="4"/>
    <x v="3"/>
    <s v="KLOEWR"/>
    <s v="TMS"/>
    <s v="EDUARDO ALMEIDA"/>
    <s v="Tms"/>
    <s v="Tms"/>
    <d v="2026-06-26T09:14:00"/>
    <n v="133538"/>
    <s v="-"/>
    <s v="ON LINE"/>
    <s v="Cartão de crédito"/>
    <s v="Cartão AMEX"/>
    <x v="0"/>
    <s v="N"/>
    <x v="32"/>
    <s v="Deloitte Consultores - Sao Paulo"/>
    <s v="-"/>
    <s v="Latam Airlines Brasil"/>
    <n v="2293396412"/>
    <x v="30"/>
    <s v="-"/>
    <x v="160"/>
    <n v="95.01"/>
    <n v="0"/>
    <n v="0"/>
    <n v="0"/>
    <n v="0"/>
    <n v="0"/>
    <s v="Reserva importada do Sistema TMS. OS: 133538"/>
    <s v="Autorização do cartão da forma de pagamento não preenchida! (ACC01) Autorização do cartão da forma de recebimento não preenchida! (ACC01)"/>
    <x v="0"/>
    <x v="5"/>
    <s v="Falta de informação Gerencial"/>
    <x v="0"/>
    <s v="Qualidade dos dados"/>
    <s v="KONTIK BUSINESS TRAVEL"/>
    <x v="3"/>
  </r>
  <r>
    <n v="24822735"/>
    <n v="25661879"/>
    <s v="ACC01"/>
    <x v="179"/>
    <d v="2026-06-26T15:16:41"/>
    <x v="4"/>
    <x v="3"/>
    <s v="HDZYPK"/>
    <s v="TMS"/>
    <s v="EDUARDO ALMEIDA"/>
    <s v="Tms"/>
    <s v="Tms"/>
    <d v="2026-06-26T09:14:00"/>
    <n v="133538"/>
    <s v="-"/>
    <s v="ON LINE"/>
    <s v="Cartão de crédito"/>
    <s v="Cartão AMEX"/>
    <x v="0"/>
    <s v="N"/>
    <x v="32"/>
    <s v="Deloitte Consultores - Sao Paulo"/>
    <s v="-"/>
    <s v="Latam Airlines Brasil"/>
    <n v="2293396246"/>
    <x v="30"/>
    <s v="-"/>
    <x v="160"/>
    <n v="95.01"/>
    <n v="0"/>
    <n v="0"/>
    <n v="0"/>
    <n v="0"/>
    <n v="0"/>
    <s v="Reserva importada do Sistema TMS. OS: 133538"/>
    <s v="Autorização do cartão da forma de pagamento não preenchida! (ACC01) Autorização do cartão da forma de recebimento não preenchida! (ACC01)"/>
    <x v="0"/>
    <x v="5"/>
    <s v="Falta de informação Gerencial"/>
    <x v="0"/>
    <s v="Qualidade dos dados"/>
    <s v="KONTIK BUSINESS TRAVEL"/>
    <x v="3"/>
  </r>
  <r>
    <n v="24803461"/>
    <n v="25644803"/>
    <s v="ACC01"/>
    <x v="180"/>
    <d v="2026-07-03T17:10:33"/>
    <x v="1"/>
    <x v="3"/>
    <s v="ASZVEI"/>
    <s v="SABRE"/>
    <s v="SILVA FERREIRA/YANE"/>
    <s v="V7"/>
    <s v="MARIA CECILIA PEREIRA SILVA"/>
    <d v="2026-06-19T00:00:00"/>
    <s v="ASZVEI"/>
    <s v="-"/>
    <s v="ON LINE"/>
    <s v="Cartão de crédito"/>
    <s v="Cartão de crédito"/>
    <x v="0"/>
    <s v="N"/>
    <x v="1"/>
    <s v="Honeywell"/>
    <s v="Cliente FEE no POS"/>
    <s v="Latam Airlines Brasil"/>
    <n v="2615548730"/>
    <x v="1"/>
    <s v="-"/>
    <x v="161"/>
    <n v="0"/>
    <n v="129.03"/>
    <n v="0"/>
    <n v="0"/>
    <n v="0"/>
    <n v="0"/>
    <s v="Reserva importada por HubTravel"/>
    <s v="Centro de custo não preenchido! (ACC02)"/>
    <x v="1"/>
    <x v="17"/>
    <s v="Falta de informação Gerencial"/>
    <x v="0"/>
    <s v="Qualidade dos dados"/>
    <s v="KONTIK BUSINESS TRAVEL"/>
    <x v="2"/>
  </r>
  <r>
    <n v="24803498"/>
    <n v="25644853"/>
    <s v="ACC01"/>
    <x v="181"/>
    <d v="2026-07-03T17:10:34"/>
    <x v="1"/>
    <x v="3"/>
    <s v="MLAMHH"/>
    <s v="SABRE"/>
    <s v="PEREIRA SALERNO/JULIA  MICHEL"/>
    <s v="DS"/>
    <s v="BRUNA SEBBEN"/>
    <d v="2026-06-19T13:15:00"/>
    <s v="MLAMHH"/>
    <s v="-"/>
    <s v="ON LINE"/>
    <s v="Invoice"/>
    <s v="Faturado"/>
    <x v="0"/>
    <s v="N"/>
    <x v="51"/>
    <s v="Baker Mckenzie - Sao Paulo"/>
    <s v="-"/>
    <s v="Latam Airlines Brasil"/>
    <n v="9552456958"/>
    <x v="3"/>
    <s v="-"/>
    <x v="162"/>
    <n v="124.76"/>
    <n v="0"/>
    <n v="0"/>
    <n v="124.76"/>
    <n v="0"/>
    <n v="0"/>
    <s v="Reserva importada por HubTravel"/>
    <s v="Projeto não preenchido! (ACC01)"/>
    <x v="1"/>
    <x v="20"/>
    <s v="Falta de informação Gerencial"/>
    <x v="0"/>
    <s v="Qualidade dos dados"/>
    <s v="KONTIK BUSINESS TRAVEL"/>
    <x v="2"/>
  </r>
  <r>
    <n v="24813043"/>
    <n v="25653615"/>
    <s v="ACC01"/>
    <x v="182"/>
    <d v="2026-06-25T08:50:58"/>
    <x v="4"/>
    <x v="3"/>
    <s v="DMALYS1"/>
    <s v="TMS"/>
    <s v="FLAVIO CANTO"/>
    <s v="Cintya Cocco Figueiredo"/>
    <s v="Cintya Cocco Figueiredo"/>
    <d v="2026-06-24T16:25:00"/>
    <n v="7038"/>
    <s v="-"/>
    <s v="OFF LINE"/>
    <s v="Cartão de crédito"/>
    <s v="Faturado"/>
    <x v="0"/>
    <s v="N"/>
    <x v="2"/>
    <s v="Track e Field Co Sa Matriz"/>
    <s v="-"/>
    <s v="Latam Airlines Brasil"/>
    <n v="2293162056"/>
    <x v="2"/>
    <s v="-"/>
    <x v="163"/>
    <n v="0"/>
    <n v="0"/>
    <n v="0"/>
    <n v="0"/>
    <n v="0"/>
    <n v="0"/>
    <s v="Reserva importada do Sistema TMS. OS: 7038"/>
    <s v="Problema ocorrido ao bloquear o documento: Existem remessas associadas ao documento!"/>
    <x v="0"/>
    <x v="8"/>
    <s v="Análise Benner"/>
    <x v="2"/>
    <s v="Qualidade dos dados"/>
    <s v="KONTIK BUSINESS TRAVEL"/>
    <x v="3"/>
  </r>
  <r>
    <n v="24834821"/>
    <n v="25671591"/>
    <s v="ACC01"/>
    <x v="183"/>
    <d v="2026-07-03T17:10:37"/>
    <x v="1"/>
    <x v="4"/>
    <s v="UFLMNB"/>
    <s v="SABRE"/>
    <s v="BARBOSA/DANIEL LUIS"/>
    <s v="WS"/>
    <s v="WS"/>
    <d v="2026-06-26T17:04:00"/>
    <s v="UFLMNB"/>
    <s v="-"/>
    <s v="ON LINE"/>
    <s v="Cartão de crédito"/>
    <s v="Cartão de crédito"/>
    <x v="0"/>
    <s v="N"/>
    <x v="1"/>
    <s v="Honeywell Industria de Tecnologia - Itajuba - Mg"/>
    <s v="Cliente FEE no POS"/>
    <s v="Latam Airlines Brasil"/>
    <s v="-"/>
    <x v="1"/>
    <s v="-"/>
    <x v="164"/>
    <n v="121.6"/>
    <n v="0"/>
    <n v="0"/>
    <n v="0"/>
    <n v="0"/>
    <n v="0"/>
    <s v="Reserva importada por HubTravel"/>
    <s v="Necessário informar o bilhete"/>
    <x v="1"/>
    <x v="15"/>
    <s v="Validação de Dados"/>
    <x v="0"/>
    <s v="Qualidade dos dados"/>
    <s v="KONTIK BUSINESS TRAVEL"/>
    <x v="4"/>
  </r>
  <r>
    <n v="24816602"/>
    <n v="25656428"/>
    <s v="ACC01"/>
    <x v="184"/>
    <d v="2026-06-25T15:01:34"/>
    <x v="4"/>
    <x v="3"/>
    <s v="LSOLDD1"/>
    <s v="TMS"/>
    <s v="KIDNER ANGELINO PROSPERO"/>
    <s v="Jeane Alencar Pereira"/>
    <s v="Jeane Alencar Pereira"/>
    <d v="2026-06-25T10:36:00"/>
    <n v="68200"/>
    <s v="-"/>
    <s v="OFF LINE"/>
    <s v="Invoice"/>
    <s v="Faturado"/>
    <x v="0"/>
    <s v="N"/>
    <x v="47"/>
    <s v="Aeroporto de Teresina"/>
    <s v="-"/>
    <s v="Latam Airlines Brasil"/>
    <n v="2293254844"/>
    <x v="40"/>
    <s v="-"/>
    <x v="8"/>
    <n v="0"/>
    <n v="0"/>
    <n v="0"/>
    <n v="0"/>
    <n v="0"/>
    <n v="0"/>
    <s v="Reserva importada do Sistema TMS. OS: 68200"/>
    <s v="Tarifa mínima não preenchida! (ACC01)"/>
    <x v="0"/>
    <x v="10"/>
    <s v="Falta de informação Gerencial"/>
    <x v="0"/>
    <s v="Qualidade dos dados"/>
    <s v="KONTIK BUSINESS TRAVEL"/>
    <x v="3"/>
  </r>
  <r>
    <n v="24815070"/>
    <n v="25654905"/>
    <s v="ACC01"/>
    <x v="185"/>
    <d v="2026-07-03T17:05:33"/>
    <x v="1"/>
    <x v="3"/>
    <s v="OEQWSJ"/>
    <s v="SABRE"/>
    <s v="SOBRAL FILHO/JOAO"/>
    <s v="Wellington Ribeiro da Silva"/>
    <s v="Wellington Ribeiro da Silva"/>
    <d v="2026-06-22T15:49:00"/>
    <s v="OEQWSJ"/>
    <s v="-"/>
    <s v="ON LINE"/>
    <s v="?"/>
    <s v="?"/>
    <x v="0"/>
    <s v="N"/>
    <x v="52"/>
    <s v="Meguro Imobiliaria e Participacoes Eirelli"/>
    <s v="-"/>
    <s v="Iberia"/>
    <s v="-"/>
    <x v="44"/>
    <s v="-"/>
    <x v="165"/>
    <n v="64.56"/>
    <n v="149.94"/>
    <n v="0"/>
    <n v="0"/>
    <n v="0"/>
    <n v="0"/>
    <s v="Reserva importada por HubTravel"/>
    <s v="Necessário informar o bilhete"/>
    <x v="1"/>
    <x v="15"/>
    <s v="Validação de Dados"/>
    <x v="0"/>
    <s v="Qualidade dos dados"/>
    <s v="GRUPO KONTIK"/>
    <x v="0"/>
  </r>
  <r>
    <n v="24817124"/>
    <n v="25656951"/>
    <s v="ACC01"/>
    <x v="186"/>
    <d v="2026-07-03T17:10:35"/>
    <x v="1"/>
    <x v="3"/>
    <s v="NFAFCM"/>
    <s v="SABRE"/>
    <s v="FERREIRA PAGANO/RENATA MS"/>
    <s v="V7"/>
    <s v="SHARON STONE RODRIGUES MARQUES"/>
    <d v="2026-05-21T00:00:00"/>
    <s v="NFAFCM"/>
    <s v="-"/>
    <s v="ON LINE"/>
    <s v="Cartão de crédito"/>
    <s v="Cartão AMEX"/>
    <x v="0"/>
    <s v="N"/>
    <x v="53"/>
    <s v="Chanel"/>
    <s v="-"/>
    <s v="Air France"/>
    <n v="9552287836"/>
    <x v="45"/>
    <s v="-"/>
    <x v="166"/>
    <n v="0"/>
    <n v="268.26"/>
    <n v="0"/>
    <n v="0"/>
    <n v="0"/>
    <n v="0"/>
    <s v="Reserva importada por HubTravel"/>
    <s v="Centro de custo não preenchido! (ACC01) Matrícula não preenchida! (ACC01)"/>
    <x v="1"/>
    <x v="5"/>
    <s v="Falta de informação Gerencial"/>
    <x v="0"/>
    <s v="Qualidade dos dados"/>
    <s v="KONTIK BUSINESS TRAVEL"/>
    <x v="2"/>
  </r>
  <r>
    <n v="24818422"/>
    <n v="25658297"/>
    <s v="ACC01"/>
    <x v="187"/>
    <d v="2026-07-03T17:12:36"/>
    <x v="1"/>
    <x v="3"/>
    <s v="JNFJVKT"/>
    <s v="SABRE"/>
    <s v="URQUIZA/LUIZ ANTONIO COSTEIRA"/>
    <s v="SHARON STONE RODRIGUES MARQUES"/>
    <s v="SHARON STONE RODRIGUES MARQUES"/>
    <d v="2026-06-24T14:09:00"/>
    <s v="JNFJVK"/>
    <s v="-"/>
    <s v="ON LINE"/>
    <s v="Cartão de crédito"/>
    <s v="Cartão de crédito"/>
    <x v="1"/>
    <s v="S"/>
    <x v="54"/>
    <s v="Atento Brasil S/a"/>
    <s v="-"/>
    <s v="Mercure Salvador Rio Vermelho"/>
    <s v="-"/>
    <x v="46"/>
    <s v="-"/>
    <x v="167"/>
    <n v="116.15"/>
    <n v="0"/>
    <n v="0"/>
    <n v="0"/>
    <n v="0"/>
    <n v="0"/>
    <s v="Reserva importada por HubTravel"/>
    <s v="Centro de custo não preenchido! (ACC01)"/>
    <x v="1"/>
    <x v="17"/>
    <s v="Falta de informação Gerencial"/>
    <x v="0"/>
    <s v="Qualidade dos dados"/>
    <s v="KONTIK BUSINESS TRAVEL"/>
    <x v="2"/>
  </r>
  <r>
    <n v="24821481"/>
    <n v="25660647"/>
    <s v="ACC01"/>
    <x v="188"/>
    <d v="2026-06-27T03:38:25"/>
    <x v="4"/>
    <x v="3"/>
    <n v="23485224"/>
    <s v="GOVER"/>
    <s v="Carlos Martins"/>
    <s v="Gover"/>
    <s v="Gover"/>
    <d v="2026-06-26T10:04:00"/>
    <n v="4715437"/>
    <s v="-"/>
    <s v="ON LINE"/>
    <s v="Cartão de crédito"/>
    <s v="Cartão de crédito"/>
    <x v="1"/>
    <s v="N"/>
    <x v="26"/>
    <s v="Instituto Souza Cruz"/>
    <s v="-"/>
    <s v="Mercure Sao Paulo Pamplona"/>
    <s v="-"/>
    <x v="24"/>
    <s v="-"/>
    <x v="168"/>
    <n v="20.45"/>
    <n v="0"/>
    <n v="0"/>
    <n v="0"/>
    <n v="0"/>
    <n v="0"/>
    <s v="Reserva importada do sistema Gover. Id: 4715437"/>
    <s v="Autorização do cartão da forma de pagamento não preenchida! (ACC01) Autorização do cartão da forma de recebimento não preenchida! (ACC01)"/>
    <x v="3"/>
    <x v="5"/>
    <s v="Falta de informação Gerencial"/>
    <x v="0"/>
    <s v="Qualidade dos dados"/>
    <s v="KONTIK BUSINESS TRAVEL"/>
    <x v="4"/>
  </r>
  <r>
    <n v="24803599"/>
    <n v="25644964"/>
    <s v="ACC01"/>
    <x v="189"/>
    <d v="2026-07-03T17:06:51"/>
    <x v="1"/>
    <x v="3"/>
    <s v="OHBGMFT"/>
    <s v="SABRE"/>
    <s v="MARQUEZ ACOSTA/JOSE HUMBERTO"/>
    <s v="SHARON STONE RODRIGUES MARQUES"/>
    <s v="SHARON STONE RODRIGUES MARQUES"/>
    <d v="2026-06-22T15:55:00"/>
    <s v="OHBGMF"/>
    <s v="-"/>
    <s v="ON LINE"/>
    <s v="Cartão de crédito"/>
    <s v="Cartão de crédito"/>
    <x v="1"/>
    <s v="N"/>
    <x v="54"/>
    <s v="Atento Brasil S/a"/>
    <s v="-"/>
    <s v="Mercure Sao Paulo Nacoes Unidas"/>
    <s v="-"/>
    <x v="46"/>
    <s v="-"/>
    <x v="169"/>
    <n v="296.75"/>
    <n v="0"/>
    <n v="0"/>
    <n v="0"/>
    <n v="0"/>
    <n v="0"/>
    <s v="Reserva importada por HubTravel"/>
    <s v="Centro de custo não preenchido! (ACC01)"/>
    <x v="1"/>
    <x v="17"/>
    <s v="Falta de informação Gerencial"/>
    <x v="0"/>
    <s v="Qualidade dos dados"/>
    <s v="KONTIK BUSINESS TRAVEL"/>
    <x v="2"/>
  </r>
  <r>
    <n v="24816551"/>
    <n v="25656375"/>
    <s v="ACC01"/>
    <x v="190"/>
    <d v="2026-06-29T09:50:18"/>
    <x v="6"/>
    <x v="3"/>
    <s v="6P5TXJ"/>
    <s v="TMS"/>
    <s v="CLAUDIO PAIVA"/>
    <s v="Mariane Goncalves dos Santos"/>
    <s v="Mariane Goncalves dos Santos"/>
    <d v="2026-06-25T12:17:00"/>
    <n v="7948"/>
    <s v="-"/>
    <s v="OFF LINE"/>
    <s v="Invoice"/>
    <s v="Cartão de crédito"/>
    <x v="1"/>
    <s v="N"/>
    <x v="55"/>
    <s v="Helibras"/>
    <s v="-"/>
    <s v="Plaza Inn Small Town"/>
    <s v="-"/>
    <x v="2"/>
    <s v="-"/>
    <x v="170"/>
    <n v="0"/>
    <n v="0"/>
    <n v="0"/>
    <n v="0"/>
    <n v="0"/>
    <n v="0"/>
    <s v="Reserva importada do Sistema TMS. OS: 7948"/>
    <s v=" Módulo Operações    -&gt; Configurações      -&gt; Configurações do sistema turismo        -&gt; Importação das vendas          -&gt; Entradas/Saídas  Para o "/>
    <x v="0"/>
    <x v="2"/>
    <s v="Forma PG. e REC."/>
    <x v="0"/>
    <s v="Qualidade dos dados"/>
    <s v="KONTIK BUSINESS TRAVEL"/>
    <x v="3"/>
  </r>
  <r>
    <n v="24804504"/>
    <n v="25645847"/>
    <s v="ACC01"/>
    <x v="191"/>
    <d v="2026-06-23T14:24:36"/>
    <x v="4"/>
    <x v="3"/>
    <n v="23443978"/>
    <s v="WOOBA"/>
    <s v="ROCHA/VANIA"/>
    <s v="Michelly Andrade Leandro da Silva"/>
    <s v="Michelly Andrade Leandro da Silva"/>
    <d v="2026-06-23T14:03:00"/>
    <s v="-"/>
    <s v="-"/>
    <s v="OFF LINE"/>
    <s v="Invoice"/>
    <s v="Faturado"/>
    <x v="1"/>
    <s v="N"/>
    <x v="56"/>
    <s v="Kontik Business Travel - Viagens Internas"/>
    <s v="-"/>
    <s v="Swan Molinos"/>
    <s v="-"/>
    <x v="47"/>
    <s v="-"/>
    <x v="171"/>
    <n v="0"/>
    <n v="0"/>
    <n v="0"/>
    <n v="0"/>
    <n v="0"/>
    <n v="0"/>
    <s v="Reserva importada do Sistema WOOBA. Id: 13383"/>
    <s v="Centro de custo não preenchido! (ACC01) Requisição não preenchida! (ACC01)"/>
    <x v="6"/>
    <x v="5"/>
    <s v="Falta de informação Gerencial"/>
    <x v="0"/>
    <s v="Qualidade dos dados"/>
    <s v="KONTIK BUSINESS TRAVEL"/>
    <x v="3"/>
  </r>
  <r>
    <n v="24823747"/>
    <n v="25662954"/>
    <s v="ACC01"/>
    <x v="192"/>
    <d v="2026-06-30T08:45:43"/>
    <x v="6"/>
    <x v="3"/>
    <s v="KX4QQ5MKE"/>
    <s v="GOVER"/>
    <s v="Maria Eduarda Sales"/>
    <s v="Luciene Carvalho Santos"/>
    <s v="Luciene Carvalho Santos"/>
    <d v="2026-06-26T16:45:00"/>
    <n v="4715200"/>
    <s v="-"/>
    <s v="OFF LINE"/>
    <s v="Cartão de crédito"/>
    <s v="Cartão de crédito"/>
    <x v="1"/>
    <s v="N"/>
    <x v="49"/>
    <s v="Diageo Brasil"/>
    <s v="Cliente FEE no POS"/>
    <s v="Garanhuns Palace Hotel"/>
    <s v="-"/>
    <x v="43"/>
    <s v="-"/>
    <x v="172"/>
    <n v="0"/>
    <n v="0"/>
    <n v="0"/>
    <n v="0"/>
    <n v="0"/>
    <n v="34.79"/>
    <s v="Reserva importada do sistema Gover. Id: 4715200"/>
    <s v="1931468/6981994&quot; possui uma transação de cartão efetivada"/>
    <x v="3"/>
    <x v="18"/>
    <s v="Financeiro Conciliado"/>
    <x v="3"/>
    <s v="Processo Operacional"/>
    <s v="KONTIK BUSINESS TRAVEL"/>
    <x v="2"/>
  </r>
  <r>
    <n v="24813097"/>
    <n v="25653676"/>
    <s v="ACC01"/>
    <x v="193"/>
    <d v="2026-07-03T17:12:36"/>
    <x v="1"/>
    <x v="3"/>
    <s v="QPUMLXT"/>
    <s v="SABRE"/>
    <s v="TEIXEIRA/OMAR MR"/>
    <s v="VITOR TEICHMANN"/>
    <s v="VITOR TEICHMANN"/>
    <d v="2026-06-23T16:35:00"/>
    <s v="QPUMLX"/>
    <s v="-"/>
    <s v="ON LINE"/>
    <s v="Invoice"/>
    <s v="Faturado"/>
    <x v="1"/>
    <s v="N"/>
    <x v="11"/>
    <s v="Jti Distribuidora - Sao Paulo - Vila Nova Conceicao"/>
    <s v="-"/>
    <s v="Grand Mercure Brasilia Eixo Monumental"/>
    <s v="-"/>
    <x v="12"/>
    <s v="-"/>
    <x v="173"/>
    <n v="0"/>
    <n v="0"/>
    <n v="0"/>
    <n v="0"/>
    <n v="0"/>
    <n v="0"/>
    <s v="Reserva importada por HubTravel"/>
    <s v="Centro de custo não preenchido! (ACC01) Empenho/departamento não preenchido! (ACC01)"/>
    <x v="1"/>
    <x v="5"/>
    <s v="Falta de informação Gerencial"/>
    <x v="0"/>
    <s v="Qualidade dos dados"/>
    <s v="KONTIK BUSINESS TRAVEL"/>
    <x v="2"/>
  </r>
  <r>
    <n v="24815561"/>
    <n v="25655412"/>
    <s v="ACC01"/>
    <x v="160"/>
    <d v="2026-06-25T12:10:17"/>
    <x v="4"/>
    <x v="3"/>
    <s v="OWSAGDT"/>
    <s v="SABRE"/>
    <s v="OLIVEIRA/FABRICIO"/>
    <s v="Rafaela Leitao Oliveira"/>
    <s v="Rafaela Leitao Oliveira"/>
    <d v="2026-06-25T09:18:00"/>
    <s v="OWSAGD"/>
    <s v="-"/>
    <s v="OFF LINE"/>
    <s v="Invoice"/>
    <s v="Faturado"/>
    <x v="1"/>
    <s v="N"/>
    <x v="27"/>
    <s v="Grupo Casas Bahia S.a."/>
    <s v="-"/>
    <s v="Hotel Solar das Mangueiras"/>
    <s v="-"/>
    <x v="25"/>
    <s v="-"/>
    <x v="174"/>
    <n v="0"/>
    <n v="0"/>
    <n v="0"/>
    <n v="0"/>
    <n v="0"/>
    <n v="0"/>
    <s v="Reserva importada por HubTravel"/>
    <s v="Fornecedor não preenchido! (ACC02)"/>
    <x v="1"/>
    <x v="1"/>
    <s v="Campo Fornecedor"/>
    <x v="0"/>
    <s v="Qualidade dos dados"/>
    <s v="KONTIK BUSINESS TRAVEL"/>
    <x v="4"/>
  </r>
  <r>
    <n v="24818044"/>
    <n v="25657973"/>
    <s v="ACC01"/>
    <x v="161"/>
    <d v="2026-07-01T06:19:27"/>
    <x v="1"/>
    <x v="3"/>
    <s v="OSZHZYT"/>
    <s v="SABRE"/>
    <s v="JESUS/NILMARA"/>
    <s v="PAULO JOSE SODRE ANDRADE"/>
    <s v="PAULO JOSE SODRE ANDRADE"/>
    <d v="2026-06-25T15:41:00"/>
    <s v="OSZHZY"/>
    <s v="-"/>
    <s v="OFF LINE"/>
    <s v="Cartão de crédito"/>
    <s v="Cartão de crédito"/>
    <x v="1"/>
    <s v="N"/>
    <x v="27"/>
    <s v="Grupo Casas Bahia S.a."/>
    <s v="-"/>
    <s v="Reis Palace Hotel"/>
    <s v="-"/>
    <x v="25"/>
    <s v="-"/>
    <x v="175"/>
    <n v="0"/>
    <n v="0"/>
    <n v="0"/>
    <n v="0"/>
    <n v="0"/>
    <n v="0"/>
    <s v="Reserva importada por HubTravel"/>
    <s v="Fornecedor não preenchido! (ACC02)"/>
    <x v="1"/>
    <x v="1"/>
    <s v="Campo Fornecedor"/>
    <x v="0"/>
    <s v="Qualidade dos dados"/>
    <s v="KONTIK BUSINESS TRAVEL"/>
    <x v="4"/>
  </r>
  <r>
    <n v="24828871"/>
    <n v="25667418"/>
    <s v="ACC01"/>
    <x v="194"/>
    <d v="2026-06-27T17:25:19"/>
    <x v="4"/>
    <x v="3"/>
    <s v="6QRNGS"/>
    <s v="MANUAL"/>
    <s v="JAISON PEREIRA DE OLIVEIRA"/>
    <s v="EVA SILVA FERREIRA"/>
    <s v="EVA SILVA FERREIRA"/>
    <d v="2026-06-20T16:50:00"/>
    <s v="EMAIL"/>
    <s v="RIBEIRAO PRETO"/>
    <s v="OFF LINE"/>
    <s v="Invoice"/>
    <s v="Pagamento direto"/>
    <x v="2"/>
    <s v="N"/>
    <x v="39"/>
    <s v="Intercement"/>
    <s v="-"/>
    <s v="Localiza - Br - Sp - Ribeirao Preto - Aeroporto"/>
    <s v="-"/>
    <x v="18"/>
    <s v="-"/>
    <x v="176"/>
    <n v="1245.3800000000001"/>
    <n v="0"/>
    <n v="0"/>
    <n v="0"/>
    <n v="0"/>
    <n v="0"/>
    <s v="Atendimento emergencial"/>
    <s v=" Módulo Operações    -&gt; Configurações      -&gt; Configurações do sistema turismo        -&gt; Importação das vendas          -&gt; Entradas/Saídas  Para o "/>
    <x v="2"/>
    <x v="2"/>
    <s v="Forma PG. e REC."/>
    <x v="0"/>
    <s v="Qualidade dos dados"/>
    <s v="KONTIK BUSINESS TRAVEL"/>
    <x v="3"/>
  </r>
  <r>
    <n v="24810378"/>
    <n v="25650925"/>
    <s v="ACC01"/>
    <x v="195"/>
    <d v="2026-07-03T17:05:27"/>
    <x v="1"/>
    <x v="3"/>
    <s v="FGGQCC"/>
    <s v="SABRE"/>
    <s v="PINHEIRO DE MENDONCA/MARCELO"/>
    <s v="WY"/>
    <s v="WY"/>
    <d v="2026-06-24T09:01:00"/>
    <s v="FGGQCC"/>
    <s v="-"/>
    <s v="OFF LINE"/>
    <s v="Invoice"/>
    <s v="Faturado"/>
    <x v="0"/>
    <s v="N"/>
    <x v="15"/>
    <s v="Bosch Home Comfort do Brasil Ltda"/>
    <s v="-"/>
    <s v="Azul Linhas Aereas"/>
    <n v="7700090008"/>
    <x v="16"/>
    <s v="-"/>
    <x v="8"/>
    <n v="0"/>
    <n v="0"/>
    <n v="0"/>
    <n v="0"/>
    <n v="0"/>
    <n v="0"/>
    <s v="Reserva importada por HubTravel"/>
    <s v="Tarifa mínima não preenchida! (ACC01)"/>
    <x v="1"/>
    <x v="10"/>
    <s v="Falta de informação Gerencial"/>
    <x v="0"/>
    <s v="Qualidade dos dados"/>
    <s v="KONTIK BUSINESS TRAVEL"/>
    <x v="2"/>
  </r>
  <r>
    <n v="24809720"/>
    <n v="25650282"/>
    <s v="ACC01"/>
    <x v="196"/>
    <d v="2026-06-24T12:33:36"/>
    <x v="4"/>
    <x v="3"/>
    <s v="VHPN8V"/>
    <s v="EBOOKING"/>
    <s v="rui pinhal/mario"/>
    <s v="Kontrip"/>
    <s v="Kontrip"/>
    <d v="2026-06-24T12:26:00"/>
    <s v="-"/>
    <s v="-"/>
    <s v="OFF LINE"/>
    <s v="Invoice"/>
    <s v="Faturado"/>
    <x v="0"/>
    <s v="N"/>
    <x v="50"/>
    <s v="Tap Air Portugal"/>
    <s v="-"/>
    <s v="Azul Linhas Aereas"/>
    <n v="434361168"/>
    <x v="35"/>
    <s v="-"/>
    <x v="177"/>
    <n v="82.27"/>
    <n v="0"/>
    <n v="0"/>
    <n v="0"/>
    <n v="0"/>
    <n v="154.87"/>
    <s v="obs"/>
    <s v="Centro de custo não preenchido! (ACC01)"/>
    <x v="4"/>
    <x v="17"/>
    <s v="Falta de informação Gerencial"/>
    <x v="0"/>
    <s v="Qualidade dos dados"/>
    <s v="KONTRIP VIAGENS"/>
    <x v="5"/>
  </r>
  <r>
    <n v="24824107"/>
    <n v="25663373"/>
    <s v="ACC01"/>
    <x v="197"/>
    <d v="2026-06-26T17:55:26"/>
    <x v="4"/>
    <x v="3"/>
    <s v="QKUSHM"/>
    <s v="EBOOKING"/>
    <s v="Caporal/Rosana"/>
    <s v="Kontrip"/>
    <s v="Kontrip"/>
    <d v="2026-06-26T05:30:00"/>
    <s v="-"/>
    <s v="-"/>
    <s v="OFF LINE"/>
    <s v="Invoice"/>
    <s v="Faturado"/>
    <x v="0"/>
    <s v="N"/>
    <x v="50"/>
    <s v="Tap Air Portugal"/>
    <s v="-"/>
    <s v="Azul Linhas Aereas"/>
    <n v="615678340"/>
    <x v="35"/>
    <s v="-"/>
    <x v="178"/>
    <n v="59.46"/>
    <n v="0"/>
    <n v="0"/>
    <n v="0"/>
    <n v="0"/>
    <n v="52.52"/>
    <s v="obs"/>
    <s v="Centro de custo não preenchido! (ACC01)"/>
    <x v="4"/>
    <x v="17"/>
    <s v="Falta de informação Gerencial"/>
    <x v="0"/>
    <s v="Qualidade dos dados"/>
    <s v="KONTRIP VIAGENS"/>
    <x v="5"/>
  </r>
  <r>
    <n v="24811545"/>
    <n v="25652180"/>
    <s v="ACC01"/>
    <x v="198"/>
    <d v="2026-06-24T17:04:26"/>
    <x v="4"/>
    <x v="3"/>
    <s v="ZFEBXR"/>
    <s v="GOVER"/>
    <s v="Rodrigo Teixeira dos Anjos"/>
    <s v="Juliana dos Santos Pinto"/>
    <s v="Juliana dos Santos Pinto"/>
    <d v="2026-06-24T16:55:00"/>
    <n v="4714681"/>
    <s v="-"/>
    <s v="ON LINE"/>
    <s v="Cartão de crédito"/>
    <s v="Cartão de crédito"/>
    <x v="0"/>
    <s v="N"/>
    <x v="57"/>
    <s v="Santista Textil Americana"/>
    <s v="-"/>
    <s v="Azul Linhas Aereas"/>
    <n v="3025652179"/>
    <x v="48"/>
    <s v="-"/>
    <x v="179"/>
    <n v="78.14"/>
    <n v="0"/>
    <n v="0"/>
    <n v="0"/>
    <n v="0"/>
    <n v="0"/>
    <s v="Reserva importada do sistema Gover. Id: 4714681"/>
    <s v="Necessário cadastrar um contrato para o cliente &quot;&quot;"/>
    <x v="3"/>
    <x v="9"/>
    <s v="Análise Cadastro"/>
    <x v="0"/>
    <s v="Qualidade dos dados"/>
    <s v="GRUPO KONTIK"/>
    <x v="0"/>
  </r>
  <r>
    <n v="24823059"/>
    <n v="25662192"/>
    <s v="ACC01"/>
    <x v="199"/>
    <d v="2026-06-26T15:36:04"/>
    <x v="4"/>
    <x v="3"/>
    <s v="6QT8MM"/>
    <s v="TMS"/>
    <s v="Castro/Ronaldi"/>
    <s v="Cintya Cocco Figueiredo"/>
    <s v="Cintya Cocco Figueiredo"/>
    <d v="2026-06-26T12:40:00"/>
    <n v="17930"/>
    <s v="-"/>
    <s v="OFF LINE"/>
    <s v="Invoice"/>
    <s v="Faturado"/>
    <x v="0"/>
    <s v="N"/>
    <x v="42"/>
    <s v="Clidec - Clinica Dentaria Especializada Cura D Ars Ltda"/>
    <s v="-"/>
    <s v="Azul Linhas Aereas"/>
    <n v="3025662192"/>
    <x v="42"/>
    <s v="-"/>
    <x v="8"/>
    <n v="200"/>
    <n v="0"/>
    <n v="0"/>
    <n v="0"/>
    <n v="0"/>
    <n v="0"/>
    <s v="Reserva importada do Sistema TMS. OS: 17930"/>
    <s v="Empenho/departamento não preenchido! (ACC01)"/>
    <x v="0"/>
    <x v="7"/>
    <s v="Falta de informação Gerencial"/>
    <x v="0"/>
    <s v="Qualidade dos dados"/>
    <s v="KONTIK BUSINESS TRAVEL"/>
    <x v="3"/>
  </r>
  <r>
    <n v="24823060"/>
    <n v="25662193"/>
    <s v="ACC01"/>
    <x v="199"/>
    <d v="2026-06-26T15:36:05"/>
    <x v="4"/>
    <x v="3"/>
    <s v="6QHI0B"/>
    <s v="TMS"/>
    <s v="Castro/Ronaldi"/>
    <s v="Cintya Cocco Figueiredo"/>
    <s v="Cintya Cocco Figueiredo"/>
    <d v="2026-06-26T12:40:00"/>
    <n v="17930"/>
    <s v="-"/>
    <s v="OFF LINE"/>
    <s v="Invoice"/>
    <s v="Faturado"/>
    <x v="0"/>
    <s v="N"/>
    <x v="42"/>
    <s v="Clidec - Clinica Dentaria Especializada Cura D Ars Ltda"/>
    <s v="-"/>
    <s v="Azul Linhas Aereas"/>
    <n v="3025662193"/>
    <x v="42"/>
    <s v="-"/>
    <x v="8"/>
    <n v="200"/>
    <n v="0"/>
    <n v="0"/>
    <n v="0"/>
    <n v="0"/>
    <n v="0"/>
    <s v="Reserva importada do Sistema TMS. OS: 17930"/>
    <s v="Empenho/departamento não preenchido! (ACC01)"/>
    <x v="0"/>
    <x v="7"/>
    <s v="Falta de informação Gerencial"/>
    <x v="0"/>
    <s v="Qualidade dos dados"/>
    <s v="KONTIK BUSINESS TRAVEL"/>
    <x v="3"/>
  </r>
  <r>
    <n v="24823061"/>
    <n v="25662194"/>
    <s v="ACC01"/>
    <x v="200"/>
    <d v="2026-06-26T15:36:06"/>
    <x v="4"/>
    <x v="3"/>
    <s v="6QUIMP"/>
    <s v="TMS"/>
    <s v="Castro/Ronaldi"/>
    <s v="Cintya Cocco Figueiredo"/>
    <s v="Cintya Cocco Figueiredo"/>
    <d v="2026-06-26T12:40:00"/>
    <n v="17930"/>
    <s v="-"/>
    <s v="OFF LINE"/>
    <s v="Invoice"/>
    <s v="Faturado"/>
    <x v="0"/>
    <s v="N"/>
    <x v="42"/>
    <s v="Clidec - Clinica Dentaria Especializada Cura D Ars Ltda"/>
    <s v="-"/>
    <s v="Azul Linhas Aereas"/>
    <n v="3025662194"/>
    <x v="42"/>
    <s v="-"/>
    <x v="8"/>
    <n v="200"/>
    <n v="0"/>
    <n v="0"/>
    <n v="0"/>
    <n v="0"/>
    <n v="0"/>
    <s v="Reserva importada do Sistema TMS. OS: 17930"/>
    <s v="Empenho/departamento não preenchido! (ACC01)"/>
    <x v="0"/>
    <x v="7"/>
    <s v="Falta de informação Gerencial"/>
    <x v="0"/>
    <s v="Qualidade dos dados"/>
    <s v="KONTIK BUSINESS TRAVEL"/>
    <x v="3"/>
  </r>
  <r>
    <n v="24823062"/>
    <n v="25662195"/>
    <s v="ACC01"/>
    <x v="200"/>
    <d v="2026-06-26T15:36:07"/>
    <x v="4"/>
    <x v="3"/>
    <s v="6QIKM0"/>
    <s v="TMS"/>
    <s v="Castro/Ronaldi"/>
    <s v="Cintya Cocco Figueiredo"/>
    <s v="Cintya Cocco Figueiredo"/>
    <d v="2026-06-26T12:40:00"/>
    <n v="17930"/>
    <s v="-"/>
    <s v="OFF LINE"/>
    <s v="Invoice"/>
    <s v="Faturado"/>
    <x v="0"/>
    <s v="N"/>
    <x v="42"/>
    <s v="Clidec - Clinica Dentaria Especializada Cura D Ars Ltda"/>
    <s v="-"/>
    <s v="Azul Linhas Aereas"/>
    <n v="3025662195"/>
    <x v="42"/>
    <s v="-"/>
    <x v="8"/>
    <n v="200"/>
    <n v="0"/>
    <n v="0"/>
    <n v="0"/>
    <n v="0"/>
    <n v="0"/>
    <s v="Reserva importada do Sistema TMS. OS: 17930"/>
    <s v="Empenho/departamento não preenchido! (ACC01)"/>
    <x v="0"/>
    <x v="7"/>
    <s v="Falta de informação Gerencial"/>
    <x v="0"/>
    <s v="Qualidade dos dados"/>
    <s v="KONTIK BUSINESS TRAVEL"/>
    <x v="3"/>
  </r>
  <r>
    <n v="24823055"/>
    <n v="25662188"/>
    <s v="ACC01"/>
    <x v="201"/>
    <d v="2026-06-26T15:33:01"/>
    <x v="4"/>
    <x v="3"/>
    <s v="6QPI0P"/>
    <s v="TMS"/>
    <s v="da Silva/Marcus Felipe"/>
    <s v="Cintya Cocco Figueiredo"/>
    <s v="Cintya Cocco Figueiredo"/>
    <d v="2026-06-26T12:50:00"/>
    <n v="17932"/>
    <s v="-"/>
    <s v="OFF LINE"/>
    <s v="Invoice"/>
    <s v="Faturado"/>
    <x v="0"/>
    <s v="N"/>
    <x v="42"/>
    <s v="Clidec - Clinica Dentaria Especializada Cura D Ars Ltda"/>
    <s v="-"/>
    <s v="Azul Linhas Aereas"/>
    <n v="3025662188"/>
    <x v="42"/>
    <s v="-"/>
    <x v="8"/>
    <n v="175"/>
    <n v="0"/>
    <n v="0"/>
    <n v="0"/>
    <n v="0"/>
    <n v="0"/>
    <s v="Reserva importada do Sistema TMS. OS: 17932"/>
    <s v="Empenho/departamento não preenchido! (ACC01)"/>
    <x v="0"/>
    <x v="7"/>
    <s v="Falta de informação Gerencial"/>
    <x v="0"/>
    <s v="Qualidade dos dados"/>
    <s v="KONTIK BUSINESS TRAVEL"/>
    <x v="3"/>
  </r>
  <r>
    <n v="24823056"/>
    <n v="25662189"/>
    <s v="ACC01"/>
    <x v="202"/>
    <d v="2026-06-26T15:33:01"/>
    <x v="4"/>
    <x v="3"/>
    <s v="6QQKP0"/>
    <s v="TMS"/>
    <s v="da Silva/Marcus Felipe"/>
    <s v="Cintya Cocco Figueiredo"/>
    <s v="Cintya Cocco Figueiredo"/>
    <d v="2026-06-26T12:50:00"/>
    <n v="17932"/>
    <s v="-"/>
    <s v="OFF LINE"/>
    <s v="Invoice"/>
    <s v="Faturado"/>
    <x v="0"/>
    <s v="N"/>
    <x v="42"/>
    <s v="Clidec - Clinica Dentaria Especializada Cura D Ars Ltda"/>
    <s v="-"/>
    <s v="Azul Linhas Aereas"/>
    <n v="3025662189"/>
    <x v="42"/>
    <s v="-"/>
    <x v="8"/>
    <n v="175"/>
    <n v="0"/>
    <n v="0"/>
    <n v="0"/>
    <n v="0"/>
    <n v="0"/>
    <s v="Reserva importada do Sistema TMS. OS: 17932"/>
    <s v="Empenho/departamento não preenchido! (ACC01)"/>
    <x v="0"/>
    <x v="7"/>
    <s v="Falta de informação Gerencial"/>
    <x v="0"/>
    <s v="Qualidade dos dados"/>
    <s v="KONTIK BUSINESS TRAVEL"/>
    <x v="3"/>
  </r>
  <r>
    <n v="24823057"/>
    <n v="25662190"/>
    <s v="ACC01"/>
    <x v="202"/>
    <d v="2026-06-26T15:33:01"/>
    <x v="4"/>
    <x v="3"/>
    <s v="6QWK0P"/>
    <s v="TMS"/>
    <s v="da Silva/Marcus Felipe"/>
    <s v="Cintya Cocco Figueiredo"/>
    <s v="Cintya Cocco Figueiredo"/>
    <d v="2026-06-26T12:50:00"/>
    <n v="17932"/>
    <s v="-"/>
    <s v="OFF LINE"/>
    <s v="Invoice"/>
    <s v="Faturado"/>
    <x v="0"/>
    <s v="N"/>
    <x v="42"/>
    <s v="Clidec - Clinica Dentaria Especializada Cura D Ars Ltda"/>
    <s v="-"/>
    <s v="Azul Linhas Aereas"/>
    <n v="3025662190"/>
    <x v="42"/>
    <s v="-"/>
    <x v="8"/>
    <n v="175"/>
    <n v="0"/>
    <n v="0"/>
    <n v="0"/>
    <n v="0"/>
    <n v="0"/>
    <s v="Reserva importada do Sistema TMS. OS: 17932"/>
    <s v="Empenho/departamento não preenchido! (ACC01)"/>
    <x v="0"/>
    <x v="7"/>
    <s v="Falta de informação Gerencial"/>
    <x v="0"/>
    <s v="Qualidade dos dados"/>
    <s v="KONTIK BUSINESS TRAVEL"/>
    <x v="3"/>
  </r>
  <r>
    <n v="24823672"/>
    <n v="25688227"/>
    <s v="ACC02"/>
    <x v="203"/>
    <d v="2026-07-03T17:05:34"/>
    <x v="1"/>
    <x v="3"/>
    <s v="KKWKIS"/>
    <s v="SABRE"/>
    <s v="VINICIUS AUGUSTO DOS SANTOS KIESKI"/>
    <s v="V7"/>
    <s v="Ernani Afranio dos Santos"/>
    <d v="2026-06-26T09:33:00"/>
    <s v="KKWKIS"/>
    <s v="-"/>
    <s v="ON LINE"/>
    <s v="Cartão de crédito"/>
    <s v="Cartão AMEX"/>
    <x v="0"/>
    <s v="N"/>
    <x v="15"/>
    <s v="Ctp - Planta Curitiba"/>
    <s v="Cliente FEE no POS"/>
    <s v="Turkish Airlines"/>
    <s v="-"/>
    <x v="16"/>
    <s v="-"/>
    <x v="180"/>
    <n v="293.66000000000003"/>
    <n v="5816.84"/>
    <n v="0"/>
    <n v="0"/>
    <n v="0"/>
    <n v="19.2"/>
    <s v="Reserva importada por HubTravel"/>
    <s v="Necessário informar o bilhete"/>
    <x v="1"/>
    <x v="15"/>
    <s v="Validação de Dados"/>
    <x v="0"/>
    <s v="Qualidade dos dados"/>
    <s v="KONTIK BUSINESS TRAVEL"/>
    <x v="2"/>
  </r>
  <r>
    <n v="24803916"/>
    <n v="25645261"/>
    <s v="ACC01"/>
    <x v="204"/>
    <d v="2026-07-03T17:06:53"/>
    <x v="1"/>
    <x v="3"/>
    <s v="KMPBUQT"/>
    <s v="SABRE"/>
    <s v="BONATTI MANARA/JOAO PAULO MR"/>
    <s v="CT"/>
    <s v="CT"/>
    <d v="2026-06-23T10:54:00"/>
    <s v="202652151-99300"/>
    <s v="-"/>
    <s v="ON LINE"/>
    <s v="?"/>
    <s v="?"/>
    <x v="1"/>
    <s v="N"/>
    <x v="24"/>
    <s v="Basf Catalisadores"/>
    <s v="-"/>
    <s v="Deville Prime Salvador"/>
    <s v="-"/>
    <x v="22"/>
    <s v="-"/>
    <x v="181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2"/>
    <s v="Forma PG. e REC."/>
    <x v="0"/>
    <s v="Qualidade dos dados"/>
    <s v="KONTIK BUSINESS TRAVEL"/>
    <x v="4"/>
  </r>
  <r>
    <n v="24806010"/>
    <n v="25647426"/>
    <s v="ACC01"/>
    <x v="205"/>
    <d v="2026-07-03T17:06:55"/>
    <x v="1"/>
    <x v="3"/>
    <s v="WTOAETT"/>
    <s v="SABRE"/>
    <s v="POSSANI COSTALONGA/BRUNO LUIS MR"/>
    <s v="CT"/>
    <s v="CT"/>
    <d v="2026-06-11T12:00:00"/>
    <s v="E1SIXL2KM"/>
    <s v="-"/>
    <s v="ON LINE"/>
    <s v="?"/>
    <s v="?"/>
    <x v="1"/>
    <s v="N"/>
    <x v="24"/>
    <s v="Basf Catalisadores"/>
    <s v="-"/>
    <s v="Deville Prime Salvador"/>
    <s v="-"/>
    <x v="22"/>
    <s v="-"/>
    <x v="181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2"/>
    <s v="Forma PG. e REC."/>
    <x v="0"/>
    <s v="Qualidade dos dados"/>
    <s v="KONTIK BUSINESS TRAVEL"/>
    <x v="4"/>
  </r>
  <r>
    <n v="24830895"/>
    <n v="25668628"/>
    <s v="ACC01"/>
    <x v="119"/>
    <d v="2026-07-03T09:58:07"/>
    <x v="1"/>
    <x v="4"/>
    <s v="H4713824"/>
    <s v="GOVER"/>
    <s v="Iranildo Pereira da Silva"/>
    <s v="Gover"/>
    <s v="Gover"/>
    <d v="2026-06-28T00:00:00"/>
    <n v="4713824"/>
    <s v="-"/>
    <s v="OFF LINE"/>
    <s v="Cartão de crédito"/>
    <s v="Cartão de crédito"/>
    <x v="1"/>
    <s v="N"/>
    <x v="19"/>
    <s v="Energisa Sul-sudeste - Distribuidora de Energia S.a."/>
    <s v="-"/>
    <s v="Hotel Colonial Braganca Paulista"/>
    <s v="-"/>
    <x v="20"/>
    <s v="-"/>
    <x v="114"/>
    <n v="0"/>
    <n v="0"/>
    <n v="0"/>
    <n v="0"/>
    <n v="0"/>
    <n v="0"/>
    <s v="Reserva importada do sistema Gover. Id: 4713824"/>
    <s v="Fornecedor não preenchido! (ACC02)"/>
    <x v="3"/>
    <x v="1"/>
    <s v="Campo Fornecedor"/>
    <x v="0"/>
    <s v="Sistêmico"/>
    <s v="GRUPO KONTIK"/>
    <x v="1"/>
  </r>
  <r>
    <n v="24818044"/>
    <n v="25657975"/>
    <s v="ACC03"/>
    <x v="161"/>
    <d v="2026-07-01T06:19:27"/>
    <x v="1"/>
    <x v="3"/>
    <s v="OSZHZYT"/>
    <s v="SABRE"/>
    <s v="JESUS/NILMARA"/>
    <s v="PAULO JOSE SODRE ANDRADE"/>
    <s v="PAULO JOSE SODRE ANDRADE"/>
    <d v="2026-06-25T15:41:00"/>
    <s v="OSZHZY"/>
    <s v="-"/>
    <s v="OFF LINE"/>
    <s v="Cartão de crédito"/>
    <s v="Cartão de crédito"/>
    <x v="1"/>
    <s v="N"/>
    <x v="27"/>
    <s v="Grupo Casas Bahia S.a."/>
    <s v="-"/>
    <s v="Hotel Flor da Chapada"/>
    <s v="-"/>
    <x v="25"/>
    <s v="-"/>
    <x v="92"/>
    <n v="0"/>
    <n v="0"/>
    <n v="0"/>
    <n v="0"/>
    <n v="0"/>
    <n v="0"/>
    <s v="Reserva importada por HubTravel"/>
    <s v="Fornecedor não preenchido! (ACC02)"/>
    <x v="1"/>
    <x v="1"/>
    <s v="Campo Fornecedor"/>
    <x v="0"/>
    <s v="Qualidade dos dados"/>
    <s v="KONTIK BUSINESS TRAVEL"/>
    <x v="4"/>
  </r>
  <r>
    <n v="24803462"/>
    <n v="25644805"/>
    <s v="ACC01"/>
    <x v="206"/>
    <d v="2026-07-03T17:06:51"/>
    <x v="1"/>
    <x v="3"/>
    <s v="ASZVEIT"/>
    <s v="SABRE"/>
    <s v="SILVA FERREIRA/YANE"/>
    <s v="MARIA CECILIA PEREIRA SILVA"/>
    <s v="MARIA CECILIA PEREIRA SILVA"/>
    <d v="2026-06-18T14:14:00"/>
    <s v="ASZVEI"/>
    <s v="-"/>
    <s v="ON LINE"/>
    <s v="Cartão de crédito"/>
    <s v="Cartão de crédito"/>
    <x v="1"/>
    <s v="N"/>
    <x v="1"/>
    <s v="Honeywell"/>
    <s v="Cliente FEE no POS"/>
    <s v="Doubletree Santiago Vitacura"/>
    <s v="-"/>
    <x v="1"/>
    <s v="-"/>
    <x v="84"/>
    <n v="0"/>
    <n v="0"/>
    <n v="0"/>
    <n v="0"/>
    <n v="0"/>
    <n v="13"/>
    <s v="Reserva importada por HubTravel"/>
    <s v="Centro de custo não preenchido! (ACC01)"/>
    <x v="1"/>
    <x v="17"/>
    <s v="Falta de informação Gerencial"/>
    <x v="0"/>
    <s v="Qualidade dos dados"/>
    <s v="KONTIK BUSINESS TRAVEL"/>
    <x v="2"/>
  </r>
  <r>
    <n v="24817135"/>
    <n v="25656965"/>
    <s v="ACC01"/>
    <x v="166"/>
    <d v="2026-06-25T15:36:14"/>
    <x v="4"/>
    <x v="3"/>
    <s v="FOAARGT"/>
    <s v="SABRE"/>
    <s v="SANTANA/EDSON"/>
    <s v="PAULO JOSE SODRE ANDRADE"/>
    <s v="PAULO JOSE SODRE ANDRADE"/>
    <d v="2026-06-24T11:54:00"/>
    <s v="FOAARG"/>
    <s v="-"/>
    <s v="OFF LINE"/>
    <s v="Cartão de crédito"/>
    <s v="Cartão de crédito"/>
    <x v="1"/>
    <s v="N"/>
    <x v="27"/>
    <s v="Grupo Casas Bahia S.a."/>
    <s v="-"/>
    <s v="Ibis Arapiraca"/>
    <s v="-"/>
    <x v="25"/>
    <s v="-"/>
    <x v="182"/>
    <n v="0"/>
    <n v="0"/>
    <n v="0"/>
    <n v="0"/>
    <n v="0"/>
    <n v="0"/>
    <s v="Reserva importada por HubTravel"/>
    <s v="Fornecedor não preenchido! (ACC02)"/>
    <x v="1"/>
    <x v="1"/>
    <s v="Campo Fornecedor"/>
    <x v="0"/>
    <s v="Qualidade dos dados"/>
    <s v="KONTIK BUSINESS TRAVEL"/>
    <x v="4"/>
  </r>
  <r>
    <n v="24810594"/>
    <n v="25651143"/>
    <s v="ACC01"/>
    <x v="207"/>
    <d v="2026-06-24T15:39:36"/>
    <x v="4"/>
    <x v="3"/>
    <s v="6PJD54"/>
    <s v="TMS"/>
    <s v="JEAN RODRIGUES"/>
    <s v="Tms"/>
    <s v="Tms"/>
    <d v="2026-06-24T10:57:00"/>
    <n v="115498"/>
    <s v="-"/>
    <s v="ON LINE"/>
    <s v="Cartão de crédito"/>
    <s v="Cartão de crédito"/>
    <x v="1"/>
    <s v="N"/>
    <x v="35"/>
    <s v="Neogas do Brasil Gas Natural Comprimido S.a."/>
    <s v="-"/>
    <s v="Intercity Shopping Gravatai"/>
    <s v="-"/>
    <x v="2"/>
    <s v="-"/>
    <x v="183"/>
    <n v="0"/>
    <n v="0"/>
    <n v="0"/>
    <n v="0"/>
    <n v="43.1"/>
    <n v="0"/>
    <s v="Reserva importada do Sistema TMS. OS: 115498"/>
    <s v="Empenho/departamento não preenchido! (ACC01)"/>
    <x v="0"/>
    <x v="7"/>
    <s v="Falta de informação Gerencial"/>
    <x v="0"/>
    <s v="Qualidade dos dados"/>
    <s v="KONTIK BUSINESS TRAVEL"/>
    <x v="3"/>
  </r>
  <r>
    <n v="24805408"/>
    <n v="25646806"/>
    <s v="ACC01"/>
    <x v="208"/>
    <d v="2026-06-24T03:46:02"/>
    <x v="4"/>
    <x v="3"/>
    <s v="h4714240"/>
    <s v="GOVER"/>
    <s v="N/I"/>
    <s v="Cristiane Santos Pio Memoria"/>
    <s v="Cristiane Santos Pio Memoria"/>
    <d v="2026-06-23T19:00:00"/>
    <n v="4714240"/>
    <s v="-"/>
    <s v="OFF LINE"/>
    <s v="Invoice"/>
    <s v="Faturado"/>
    <x v="1"/>
    <s v="N"/>
    <x v="26"/>
    <s v="Bat | Souza Cruz - Matriz"/>
    <s v="-"/>
    <s v="Pousada Pedra Bonita"/>
    <s v="-"/>
    <x v="24"/>
    <s v="-"/>
    <x v="184"/>
    <n v="0"/>
    <n v="0"/>
    <n v="0"/>
    <n v="0"/>
    <n v="0"/>
    <n v="0"/>
    <s v="Reserva importada do sistema Gover. Id: 4714240"/>
    <s v="Centro de custo não preenchido! (ACC01)"/>
    <x v="3"/>
    <x v="17"/>
    <s v="Falta de informação Gerencial"/>
    <x v="0"/>
    <s v="Qualidade dos dados"/>
    <s v="KONTIK BUSINESS TRAVEL"/>
    <x v="2"/>
  </r>
  <r>
    <n v="24805408"/>
    <n v="25646807"/>
    <s v="ACC02"/>
    <x v="208"/>
    <d v="2026-06-24T03:46:02"/>
    <x v="4"/>
    <x v="3"/>
    <s v="h4714240"/>
    <s v="GOVER"/>
    <s v="AFONSO THUME"/>
    <s v="Cristiane Santos Pio Memoria"/>
    <s v="Cristiane Santos Pio Memoria"/>
    <d v="2026-06-23T19:00:00"/>
    <n v="4714240"/>
    <s v="-"/>
    <s v="OFF LINE"/>
    <s v="Invoice"/>
    <s v="Faturado"/>
    <x v="1"/>
    <s v="N"/>
    <x v="26"/>
    <s v="Bat | Souza Cruz - Matriz"/>
    <s v="-"/>
    <s v="Pousada Pedra Bonita"/>
    <s v="-"/>
    <x v="24"/>
    <s v="-"/>
    <x v="184"/>
    <n v="0"/>
    <n v="0"/>
    <n v="0"/>
    <n v="0"/>
    <n v="0"/>
    <n v="0"/>
    <s v="Reserva importada do sistema Gover. Id: 4714240"/>
    <s v="Centro de custo não preenchido! (ACC01)"/>
    <x v="3"/>
    <x v="17"/>
    <s v="Falta de informação Gerencial"/>
    <x v="0"/>
    <s v="Qualidade dos dados"/>
    <s v="KONTIK BUSINESS TRAVEL"/>
    <x v="2"/>
  </r>
  <r>
    <n v="24817135"/>
    <n v="25656967"/>
    <s v="ACC03"/>
    <x v="166"/>
    <d v="2026-06-25T15:36:14"/>
    <x v="4"/>
    <x v="3"/>
    <s v="FOAARGT"/>
    <s v="SABRE"/>
    <s v="SANTANA/EDSON"/>
    <s v="PAULO JOSE SODRE ANDRADE"/>
    <s v="PAULO JOSE SODRE ANDRADE"/>
    <d v="2026-06-24T11:54:00"/>
    <s v="FOAARG"/>
    <s v="-"/>
    <s v="OFF LINE"/>
    <s v="Cartão de crédito"/>
    <s v="Cartão de crédito"/>
    <x v="1"/>
    <s v="N"/>
    <x v="27"/>
    <s v="Grupo Casas Bahia S.a."/>
    <s v="-"/>
    <s v="Bristol Aline Alagoas"/>
    <s v="-"/>
    <x v="25"/>
    <s v="-"/>
    <x v="185"/>
    <n v="0"/>
    <n v="0"/>
    <n v="0"/>
    <n v="0"/>
    <n v="0"/>
    <n v="0"/>
    <s v="Reserva importada por HubTravel"/>
    <s v="Fornecedor não preenchido! (ACC02)"/>
    <x v="1"/>
    <x v="1"/>
    <s v="Campo Fornecedor"/>
    <x v="0"/>
    <s v="Qualidade dos dados"/>
    <s v="KONTIK BUSINESS TRAVEL"/>
    <x v="4"/>
  </r>
  <r>
    <n v="24811643"/>
    <n v="25652284"/>
    <s v="ACC01"/>
    <x v="209"/>
    <d v="2026-06-25T04:05:24"/>
    <x v="4"/>
    <x v="3"/>
    <s v="h4705364"/>
    <s v="GOVER"/>
    <s v="N/I"/>
    <s v="Cristiane Santos Pio Memoria"/>
    <s v="Cristiane Santos Pio Memoria"/>
    <d v="2026-05-30T19:00:00"/>
    <n v="4705364"/>
    <s v="-"/>
    <s v="OFF LINE"/>
    <s v="Cartão de crédito"/>
    <s v="Cartão de crédito"/>
    <x v="1"/>
    <s v="N"/>
    <x v="26"/>
    <s v="Bat | Souza Cruz - Matriz"/>
    <s v="-"/>
    <s v="Bei Monti Hotel"/>
    <s v="-"/>
    <x v="24"/>
    <s v="-"/>
    <x v="133"/>
    <n v="0"/>
    <n v="0"/>
    <n v="0"/>
    <n v="0"/>
    <n v="0"/>
    <n v="0"/>
    <s v="Reserva importada do sistema Gover. Id: 4705364"/>
    <s v="Centro de custo não preenchido! (ACC01)"/>
    <x v="3"/>
    <x v="17"/>
    <s v="Falta de informação Gerencial"/>
    <x v="0"/>
    <s v="Qualidade dos dados"/>
    <s v="KONTIK BUSINESS TRAVEL"/>
    <x v="2"/>
  </r>
  <r>
    <n v="24811643"/>
    <n v="25652285"/>
    <s v="ACC02"/>
    <x v="209"/>
    <d v="2026-06-25T04:05:24"/>
    <x v="4"/>
    <x v="3"/>
    <s v="h4705364"/>
    <s v="GOVER"/>
    <s v="GILBERTO MATTIA"/>
    <s v="Cristiane Santos Pio Memoria"/>
    <s v="Cristiane Santos Pio Memoria"/>
    <d v="2026-05-30T19:00:00"/>
    <n v="4705364"/>
    <s v="-"/>
    <s v="OFF LINE"/>
    <s v="Cartão de crédito"/>
    <s v="Cartão de crédito"/>
    <x v="1"/>
    <s v="N"/>
    <x v="26"/>
    <s v="Bat | Souza Cruz - Matriz"/>
    <s v="-"/>
    <s v="Bei Monti Hotel"/>
    <s v="-"/>
    <x v="24"/>
    <s v="-"/>
    <x v="133"/>
    <n v="0"/>
    <n v="0"/>
    <n v="0"/>
    <n v="0"/>
    <n v="0"/>
    <n v="0"/>
    <s v="Reserva importada do sistema Gover. Id: 4705364"/>
    <s v="Centro de custo não preenchido! (ACC01)"/>
    <x v="3"/>
    <x v="17"/>
    <s v="Falta de informação Gerencial"/>
    <x v="0"/>
    <s v="Qualidade dos dados"/>
    <s v="KONTIK BUSINESS TRAVEL"/>
    <x v="2"/>
  </r>
  <r>
    <n v="24817112"/>
    <n v="25656937"/>
    <s v="ACC01"/>
    <x v="210"/>
    <d v="2026-06-26T10:36:51"/>
    <x v="4"/>
    <x v="3"/>
    <s v="RES001081-23323"/>
    <s v="GOVER"/>
    <s v="Nyelle Praciano de Freitas"/>
    <s v="Luciene Carvalho Santos"/>
    <s v="Luciene Carvalho Santos"/>
    <d v="2026-06-25T15:08:00"/>
    <n v="4714986"/>
    <s v="-"/>
    <s v="OFF LINE"/>
    <s v="Cartão de crédito"/>
    <s v="Cartão de crédito"/>
    <x v="1"/>
    <s v="N"/>
    <x v="49"/>
    <s v="Diageo Brasil"/>
    <s v="Cliente FEE no POS"/>
    <s v="Hotel Jeri"/>
    <s v="-"/>
    <x v="43"/>
    <s v="-"/>
    <x v="186"/>
    <n v="0"/>
    <n v="0"/>
    <n v="0"/>
    <n v="0"/>
    <n v="0"/>
    <n v="34.79"/>
    <s v="Reserva importada do sistema Gover. Id: 4714986"/>
    <s v="1919317/6977476&quot; possui uma transação de cartão efetivada"/>
    <x v="3"/>
    <x v="18"/>
    <s v="Financeiro Conciliado"/>
    <x v="3"/>
    <s v="Processo Operacional"/>
    <s v="KONTIK BUSINESS TRAVEL"/>
    <x v="2"/>
  </r>
  <r>
    <n v="24809434"/>
    <n v="25649974"/>
    <s v="ACC01"/>
    <x v="126"/>
    <d v="2026-06-26T06:11:19"/>
    <x v="4"/>
    <x v="3"/>
    <s v="NUOZOET"/>
    <s v="SABRE"/>
    <s v="ESPANHA/ANDERSON PEREGO MR"/>
    <s v="JULIANE MARTINS FERREIRA"/>
    <s v="JULIANE MARTINS FERREIRA"/>
    <d v="2026-06-23T16:21:00"/>
    <s v="NUOZOE"/>
    <s v="-"/>
    <s v="OFF LINE"/>
    <s v="Invoice"/>
    <s v="Faturado"/>
    <x v="1"/>
    <s v="N"/>
    <x v="7"/>
    <s v="Weir do Brasil Ltda"/>
    <s v="-"/>
    <s v="Hotel Sandis Mirante"/>
    <s v="-"/>
    <x v="7"/>
    <s v="-"/>
    <x v="121"/>
    <n v="0"/>
    <n v="0"/>
    <n v="0"/>
    <n v="0"/>
    <n v="0"/>
    <n v="0"/>
    <s v="Reserva importada por HubTravel"/>
    <s v="Fornecedor não preenchido! (ACC02)"/>
    <x v="1"/>
    <x v="1"/>
    <s v="Campo Fornecedor"/>
    <x v="0"/>
    <s v="Qualidade dos dados"/>
    <s v="KONTIK BUSINESS TRAVEL"/>
    <x v="4"/>
  </r>
  <r>
    <n v="24829133"/>
    <n v="25667554"/>
    <s v="ACC01"/>
    <x v="211"/>
    <d v="2026-07-03T03:14:13"/>
    <x v="1"/>
    <x v="3"/>
    <s v="6QQAJ2"/>
    <s v="MANUAL"/>
    <s v="GABRIEL PAOLINELLI BAMBIRRA"/>
    <s v="EVA SILVA FERREIRA"/>
    <s v="EVA SILVA FERREIRA"/>
    <d v="2026-06-13T18:13:00"/>
    <s v="6QQAJ2"/>
    <s v="-"/>
    <s v="OFF LINE"/>
    <s v="Cartão de crédito"/>
    <s v="Cartão de crédito"/>
    <x v="1"/>
    <s v="N"/>
    <x v="6"/>
    <s v="Fm Global - Servicos"/>
    <s v="Cliente FEE no POS"/>
    <s v="Hampton By Hilton Montevideo Carrasco"/>
    <s v="-"/>
    <x v="18"/>
    <s v="-"/>
    <x v="187"/>
    <n v="197.5"/>
    <n v="0"/>
    <n v="0"/>
    <n v="0"/>
    <n v="0"/>
    <n v="72"/>
    <s v="Atendimento emergencial"/>
    <s v="Este cliente não possui permissão para usar este tipo de pagamento e recebimento para este produto."/>
    <x v="2"/>
    <x v="2"/>
    <s v="Forma PG. e REC."/>
    <x v="0"/>
    <s v="Qualidade dos dados"/>
    <s v="KONTIK BUSINESS TRAVEL"/>
    <x v="3"/>
  </r>
  <r>
    <n v="24829133"/>
    <n v="25667599"/>
    <s v="ACC02"/>
    <x v="211"/>
    <d v="2026-07-03T03:14:13"/>
    <x v="1"/>
    <x v="3"/>
    <s v="6QQAJ2"/>
    <s v="MANUAL"/>
    <s v="CAMILA CAROLINE RENDEIRO GILDO"/>
    <s v="EVA SILVA FERREIRA"/>
    <s v="EVA SILVA FERREIRA"/>
    <d v="2026-06-13T18:13:00"/>
    <s v="-"/>
    <s v="-"/>
    <s v="OFF LINE"/>
    <s v="Cartão de crédito"/>
    <s v="Pagamento direto"/>
    <x v="1"/>
    <s v="N"/>
    <x v="6"/>
    <s v="Fm Global - Servicos"/>
    <s v="Cliente FEE no POS"/>
    <s v="Hampton By Hilton Montevideo Carrasco"/>
    <s v="-"/>
    <x v="18"/>
    <s v="-"/>
    <x v="188"/>
    <n v="197.9"/>
    <n v="0"/>
    <n v="0"/>
    <n v="0"/>
    <n v="0"/>
    <n v="0"/>
    <s v="Atendimento emergencial"/>
    <s v="Este cliente não possui permissão para usar este tipo de pagamento e recebimento para este produto."/>
    <x v="2"/>
    <x v="2"/>
    <s v="Forma PG. e REC."/>
    <x v="0"/>
    <s v="Qualidade dos dados"/>
    <s v="KONTIK BUSINESS TRAVEL"/>
    <x v="3"/>
  </r>
  <r>
    <n v="24803461"/>
    <n v="25644804"/>
    <s v="ACC02"/>
    <x v="180"/>
    <d v="2026-07-03T17:10:33"/>
    <x v="1"/>
    <x v="3"/>
    <s v="ASZVEI"/>
    <s v="SABRE"/>
    <s v="SILVA FERREIRA/YANE"/>
    <s v="V7"/>
    <s v="MARIA CECILIA PEREIRA SILVA"/>
    <d v="2026-06-19T00:00:00"/>
    <s v="ASZVEI"/>
    <s v="-"/>
    <s v="ON LINE"/>
    <s v="Invoice"/>
    <s v="Faturado"/>
    <x v="0"/>
    <s v="N"/>
    <x v="1"/>
    <s v="Honeywell"/>
    <s v="Cliente FEE no POS"/>
    <s v="Jetsmart Spa"/>
    <n v="2615548730"/>
    <x v="1"/>
    <s v="-"/>
    <x v="189"/>
    <n v="64.56"/>
    <n v="15.48"/>
    <n v="0"/>
    <n v="64.56"/>
    <n v="0"/>
    <n v="0"/>
    <s v="Reserva importada por HubTravel"/>
    <s v="Centro de custo não preenchido! (ACC02)"/>
    <x v="1"/>
    <x v="17"/>
    <s v="Falta de informação Gerencial"/>
    <x v="0"/>
    <s v="Qualidade dos dados"/>
    <s v="KONTIK BUSINESS TRAVEL"/>
    <x v="2"/>
  </r>
  <r>
    <n v="24847547"/>
    <n v="25684023"/>
    <s v="ACC01"/>
    <x v="212"/>
    <d v="2026-07-01T10:38:30"/>
    <x v="1"/>
    <x v="5"/>
    <n v="5652969"/>
    <s v="WOOBA"/>
    <s v="Dias Araujo/Carla "/>
    <s v="Kontrip"/>
    <s v="Kontrip"/>
    <d v="2026-07-01T10:27:00"/>
    <s v="-"/>
    <s v="-"/>
    <s v="OFF LINE"/>
    <s v="?"/>
    <s v="?"/>
    <x v="1"/>
    <s v="N"/>
    <x v="58"/>
    <s v="Simple Organic Beauty"/>
    <s v="-"/>
    <s v="-"/>
    <s v="-"/>
    <x v="35"/>
    <s v="-"/>
    <x v="190"/>
    <n v="0"/>
    <n v="0"/>
    <n v="0"/>
    <n v="0"/>
    <n v="0"/>
    <n v="0"/>
    <s v="Reserva importada do Sistema WOOBA. Id: 13612"/>
    <s v="Fornecedor não preenchido! (ACC01)"/>
    <x v="4"/>
    <x v="1"/>
    <s v="Campo Fornecedor"/>
    <x v="0"/>
    <s v="Qualidade dos dados"/>
    <s v="KONTRIP VIAGENS"/>
    <x v="5"/>
  </r>
  <r>
    <n v="24840910"/>
    <n v="25677069"/>
    <s v="ACC01"/>
    <x v="213"/>
    <d v="2026-06-30T10:06:36"/>
    <x v="6"/>
    <x v="4"/>
    <n v="4715922"/>
    <s v="GOVER"/>
    <s v="Vilmar Maciel de Lima"/>
    <s v="ALEXANDRE DA CONCEIÇÃO ALVES"/>
    <s v="ALEXANDRE DA CONCEIÇÃO ALVES"/>
    <d v="2026-06-30T12:00:00"/>
    <n v="4715922"/>
    <s v="-"/>
    <s v="OFF LINE"/>
    <s v="Cartão de crédito"/>
    <s v="Cartão de crédito"/>
    <x v="1"/>
    <s v="N"/>
    <x v="39"/>
    <s v="Intercement Nacoes Unidas"/>
    <s v="-"/>
    <s v="-"/>
    <s v="-"/>
    <x v="34"/>
    <s v="-"/>
    <x v="132"/>
    <n v="0"/>
    <n v="0"/>
    <n v="0"/>
    <n v="0"/>
    <n v="0"/>
    <n v="0"/>
    <s v="Reserva importada do sistema Gover. Id: 4715922"/>
    <s v="Fornecedor não preenchido! (ACC01)"/>
    <x v="3"/>
    <x v="1"/>
    <s v="Campo Fornecedor"/>
    <x v="0"/>
    <s v="Sistêmico"/>
    <s v="GRUPO KONTIK"/>
    <x v="1"/>
  </r>
  <r>
    <n v="24860181"/>
    <n v="25698695"/>
    <s v="ACC01"/>
    <x v="214"/>
    <d v="2026-07-03T09:16:01"/>
    <x v="1"/>
    <x v="5"/>
    <s v="AVD5Y4LRQA"/>
    <s v="GOVER"/>
    <s v="Angelo Araujo dos Santos"/>
    <s v="DANIELLE RIZZETO BEZERRA ALVES"/>
    <s v="DANIELLE RIZZETO BEZERRA ALVES"/>
    <d v="2026-07-03T09:08:00"/>
    <n v="4716868"/>
    <s v="Localiza -Vitoria da Conquista - Aeroporto Endereço: Rodovia Santos Dumont, Br 116, Km 832 - Distrit"/>
    <s v="OFF LINE"/>
    <s v="Pagamento direto"/>
    <s v="Pagamento direto"/>
    <x v="2"/>
    <s v="N"/>
    <x v="59"/>
    <s v="Zf do Brasil - Divisao Ma"/>
    <s v="-"/>
    <s v="-"/>
    <s v="-"/>
    <x v="48"/>
    <s v="-"/>
    <x v="191"/>
    <n v="0"/>
    <n v="0"/>
    <n v="0"/>
    <n v="0"/>
    <n v="0"/>
    <n v="0"/>
    <s v="Reserva importada do sistema Gover. Id: 4716868"/>
    <s v="Fornecedor não preenchido! (ACC01)"/>
    <x v="3"/>
    <x v="1"/>
    <s v="Campo Fornecedor"/>
    <x v="0"/>
    <s v="Qualidade dos dados"/>
    <s v="KONTIK BUSINESS TRAVEL"/>
    <x v="4"/>
  </r>
  <r>
    <n v="24857366"/>
    <n v="25695372"/>
    <s v="ACC01"/>
    <x v="215"/>
    <d v="2026-07-02T20:07:30"/>
    <x v="1"/>
    <x v="5"/>
    <s v="6RUALW"/>
    <s v="TMS"/>
    <s v="ANDRE PELLICIOLI"/>
    <s v="Tms"/>
    <s v="Tms"/>
    <d v="2026-07-02T11:27:00"/>
    <n v="21589"/>
    <s v="São Paulo / CGH"/>
    <s v="ON LINE"/>
    <s v="Invoice"/>
    <s v="Faturado"/>
    <x v="2"/>
    <s v="N"/>
    <x v="36"/>
    <s v="Braskem - Camacari"/>
    <s v="-"/>
    <s v="-"/>
    <s v="-"/>
    <x v="32"/>
    <s v="-"/>
    <x v="192"/>
    <n v="0"/>
    <n v="0"/>
    <n v="0"/>
    <n v="0"/>
    <n v="0"/>
    <n v="0"/>
    <s v="Reserva importada do Sistema TMS. OS: 21589"/>
    <s v="Fornecedor não preenchido! (ACC01)"/>
    <x v="0"/>
    <x v="1"/>
    <s v="Campo Fornecedor"/>
    <x v="0"/>
    <s v="Qualidade dos dados"/>
    <s v="KONTIK BUSINESS TRAVEL"/>
    <x v="4"/>
  </r>
  <r>
    <n v="24861452"/>
    <n v="25700248"/>
    <s v="ACC01"/>
    <x v="216"/>
    <d v="2026-07-03T12:44:48"/>
    <x v="1"/>
    <x v="5"/>
    <s v="6RYCJC"/>
    <s v="TMS"/>
    <s v="GUSTAVO MING"/>
    <s v="Tms"/>
    <s v="Tms"/>
    <d v="2026-07-03T10:43:00"/>
    <n v="21620"/>
    <s v="Santo André / QSE"/>
    <s v="ON LINE"/>
    <s v="Invoice"/>
    <s v="Faturado"/>
    <x v="2"/>
    <s v="N"/>
    <x v="36"/>
    <s v="Braskem - Camacari"/>
    <s v="-"/>
    <s v="-"/>
    <s v="-"/>
    <x v="32"/>
    <s v="-"/>
    <x v="193"/>
    <n v="0"/>
    <n v="0"/>
    <n v="0"/>
    <n v="0"/>
    <n v="0"/>
    <n v="0"/>
    <s v="Reserva importada do Sistema TMS. OS: 21620"/>
    <s v="Fornecedor não preenchido! (ACC01)"/>
    <x v="0"/>
    <x v="1"/>
    <s v="Campo Fornecedor"/>
    <x v="0"/>
    <s v="Qualidade dos dados"/>
    <s v="KONTIK BUSINESS TRAVEL"/>
    <x v="4"/>
  </r>
  <r>
    <n v="24861459"/>
    <n v="25700256"/>
    <s v="ACC01"/>
    <x v="217"/>
    <d v="2026-07-03T12:48:01"/>
    <x v="1"/>
    <x v="5"/>
    <s v="6ROC73"/>
    <s v="TMS"/>
    <s v="CARLOS FARIA"/>
    <s v="Tms"/>
    <s v="Tms"/>
    <d v="2026-07-03T09:59:00"/>
    <n v="21616"/>
    <s v="Fortaleza / FOR"/>
    <s v="ON LINE"/>
    <s v="Invoice"/>
    <s v="Faturado"/>
    <x v="2"/>
    <s v="N"/>
    <x v="36"/>
    <s v="Braskem - Camacari"/>
    <s v="-"/>
    <s v="-"/>
    <s v="-"/>
    <x v="32"/>
    <s v="-"/>
    <x v="194"/>
    <n v="0"/>
    <n v="0"/>
    <n v="0"/>
    <n v="0"/>
    <n v="0"/>
    <n v="0"/>
    <s v="Reserva importada do Sistema TMS. OS: 21616"/>
    <s v="Fornecedor não preenchido! (ACC01)"/>
    <x v="0"/>
    <x v="1"/>
    <s v="Campo Fornecedor"/>
    <x v="0"/>
    <s v="Qualidade dos dados"/>
    <s v="KONTIK BUSINESS TRAVEL"/>
    <x v="4"/>
  </r>
  <r>
    <n v="24861468"/>
    <n v="25700266"/>
    <s v="ACC01"/>
    <x v="218"/>
    <d v="2026-07-03T12:48:13"/>
    <x v="1"/>
    <x v="5"/>
    <s v="6RAF7E"/>
    <s v="TMS"/>
    <s v="LUIS ROCHA"/>
    <s v="Renato Ferreira Gomes"/>
    <s v="Renato Ferreira Gomes"/>
    <d v="2026-07-03T10:25:00"/>
    <n v="21491"/>
    <s v="-"/>
    <s v="ON LINE"/>
    <s v="Cartão de crédito"/>
    <s v="Cartão de crédito"/>
    <x v="1"/>
    <s v="N"/>
    <x v="36"/>
    <s v="Braskem - Camacari"/>
    <s v="-"/>
    <s v="-"/>
    <s v="-"/>
    <x v="32"/>
    <s v="-"/>
    <x v="195"/>
    <n v="0"/>
    <n v="0"/>
    <n v="0"/>
    <n v="0"/>
    <n v="218.5"/>
    <n v="0"/>
    <s v="Reserva importada do Sistema TMS. OS: 21491"/>
    <s v="Fornecedor não preenchido! (ACC01)"/>
    <x v="0"/>
    <x v="1"/>
    <s v="Campo Fornecedor"/>
    <x v="0"/>
    <s v="Sistêmico"/>
    <s v="GRUPO KONTIK"/>
    <x v="1"/>
  </r>
  <r>
    <n v="24859267"/>
    <n v="25697759"/>
    <s v="ACC01"/>
    <x v="219"/>
    <d v="2026-07-02T23:39:01"/>
    <x v="1"/>
    <x v="5"/>
    <s v="6RN4Z3"/>
    <s v="TMS"/>
    <s v="OTAVIO SILVA"/>
    <s v="Tms"/>
    <s v="Tms"/>
    <d v="2026-07-02T17:48:00"/>
    <n v="22655"/>
    <s v="São Paulo / GRU"/>
    <s v="ON LINE"/>
    <s v="Invoice"/>
    <s v="Faturado"/>
    <x v="2"/>
    <s v="N"/>
    <x v="60"/>
    <s v="Petroreconcavo S/a"/>
    <s v="-"/>
    <s v="-"/>
    <s v="-"/>
    <x v="49"/>
    <s v="-"/>
    <x v="196"/>
    <n v="0"/>
    <n v="0"/>
    <n v="0"/>
    <n v="0"/>
    <n v="0"/>
    <n v="0"/>
    <s v="Reserva importada do Sistema TMS. OS: 22655"/>
    <s v="Fornecedor não preenchido! (ACC01)"/>
    <x v="0"/>
    <x v="1"/>
    <s v="Campo Fornecedor"/>
    <x v="0"/>
    <s v="Qualidade dos dados"/>
    <s v="KONTIK BUSINESS TRAVEL"/>
    <x v="4"/>
  </r>
  <r>
    <n v="24849274"/>
    <n v="25686024"/>
    <s v="ACC01"/>
    <x v="220"/>
    <d v="2026-07-01T16:14:06"/>
    <x v="1"/>
    <x v="5"/>
    <s v="5654172-1"/>
    <s v="WOOBA"/>
    <s v="Pompeu/Carlos Pompeu"/>
    <s v="Toou"/>
    <s v="Toou"/>
    <d v="2026-07-01T15:41:00"/>
    <s v="-"/>
    <s v="-"/>
    <s v="OFF LINE"/>
    <s v="?"/>
    <s v="?"/>
    <x v="1"/>
    <s v="N"/>
    <x v="41"/>
    <s v="Instituto Atlantico"/>
    <s v="-"/>
    <s v="-"/>
    <s v="-"/>
    <x v="35"/>
    <s v="-"/>
    <x v="197"/>
    <n v="0"/>
    <n v="0"/>
    <n v="0"/>
    <n v="0"/>
    <n v="0"/>
    <n v="0"/>
    <s v="Reserva importada do Sistema WOOBA. Id: 13650"/>
    <s v="Fornecedor não preenchido! (ACC01)"/>
    <x v="4"/>
    <x v="1"/>
    <s v="Campo Fornecedor"/>
    <x v="0"/>
    <s v="Qualidade dos dados"/>
    <s v="KONTRIP VIAGENS"/>
    <x v="5"/>
  </r>
  <r>
    <n v="24860699"/>
    <n v="25699390"/>
    <s v="ACC01"/>
    <x v="221"/>
    <d v="2026-07-03T11:12:27"/>
    <x v="1"/>
    <x v="5"/>
    <n v="2119764990"/>
    <s v="WOOBA"/>
    <s v="Ferrarezzi/Andre "/>
    <s v="Toou"/>
    <s v="Toou"/>
    <d v="2026-07-03T10:47:00"/>
    <s v="-"/>
    <s v="-"/>
    <s v="OFF LINE"/>
    <s v="?"/>
    <s v="?"/>
    <x v="1"/>
    <s v="N"/>
    <x v="41"/>
    <s v="Instituto Atlantico"/>
    <s v="-"/>
    <s v="-"/>
    <s v="-"/>
    <x v="35"/>
    <s v="-"/>
    <x v="198"/>
    <n v="0"/>
    <n v="0"/>
    <n v="0"/>
    <n v="0"/>
    <n v="0"/>
    <n v="0"/>
    <s v="Reserva importada do Sistema WOOBA. Id: 13795"/>
    <s v="Fornecedor não preenchido! (ACC01)"/>
    <x v="4"/>
    <x v="1"/>
    <s v="Campo Fornecedor"/>
    <x v="0"/>
    <s v="Qualidade dos dados"/>
    <s v="KONTRIP VIAGENS"/>
    <x v="5"/>
  </r>
  <r>
    <n v="24845307"/>
    <n v="25681706"/>
    <s v="ACC01"/>
    <x v="222"/>
    <d v="2026-06-30T22:06:29"/>
    <x v="6"/>
    <x v="4"/>
    <s v="OSJEILC"/>
    <s v="SABRE"/>
    <s v="CARDOSO ONO/MARIANA DE KASSIA"/>
    <s v="BRUNA SEBBEN"/>
    <s v="BRUNA SEBBEN"/>
    <d v="2026-06-29T10:51:00"/>
    <s v="OSJEIL"/>
    <s v="MCI"/>
    <s v="ON LINE"/>
    <s v="Invoice"/>
    <s v="Faturado"/>
    <x v="2"/>
    <s v="N"/>
    <x v="61"/>
    <s v="Elanco - Morumbi"/>
    <s v="-"/>
    <s v="-"/>
    <s v="-"/>
    <x v="7"/>
    <s v="-"/>
    <x v="199"/>
    <n v="39.81"/>
    <n v="0"/>
    <n v="0"/>
    <n v="0"/>
    <n v="0"/>
    <n v="0"/>
    <s v="Reserva importada por HubTravel"/>
    <s v="Centro de custo não preenchido! (ACC01) Empenho/departamento não preenchido! (ACC01)"/>
    <x v="1"/>
    <x v="5"/>
    <s v="Falta de informação Gerencial"/>
    <x v="0"/>
    <s v="Qualidade dos dados"/>
    <s v="KONTIK BUSINESS TRAVEL"/>
    <x v="2"/>
  </r>
  <r>
    <n v="24848454"/>
    <n v="25685062"/>
    <s v="ACC01"/>
    <x v="223"/>
    <d v="2026-07-01T13:12:19"/>
    <x v="1"/>
    <x v="5"/>
    <s v="HZXEQNT"/>
    <s v="SABRE"/>
    <s v="ALVES LOWEN/NAJARA FERNANDA DO"/>
    <s v="BRUNA SEBBEN"/>
    <s v="BRUNA SEBBEN"/>
    <d v="2026-07-01T10:24:00"/>
    <s v="HZXEQN"/>
    <s v="-"/>
    <s v="OFF LINE"/>
    <s v="Invoice"/>
    <s v="Faturado"/>
    <x v="1"/>
    <s v="N"/>
    <x v="61"/>
    <s v="Elanco - Morumbi"/>
    <s v="-"/>
    <s v="-"/>
    <s v="-"/>
    <x v="7"/>
    <s v="-"/>
    <x v="200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860634"/>
    <n v="25699292"/>
    <s v="ACC01"/>
    <x v="224"/>
    <d v="2026-07-03T11:07:13"/>
    <x v="1"/>
    <x v="5"/>
    <s v="QCFQVDT"/>
    <s v="SABRE"/>
    <s v="CAPPELLANES FLOCKE/MARIANA HADDAD"/>
    <s v="BRUNA SEBBEN"/>
    <s v="BRUNA SEBBEN"/>
    <d v="2026-07-03T08:51:00"/>
    <s v="QCFQVD"/>
    <s v="-"/>
    <s v="OFF LINE"/>
    <s v="Invoice"/>
    <s v="Faturado"/>
    <x v="1"/>
    <s v="N"/>
    <x v="61"/>
    <s v="Elanco - Morumbi"/>
    <s v="-"/>
    <s v="-"/>
    <s v="-"/>
    <x v="7"/>
    <s v="-"/>
    <x v="201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860746"/>
    <n v="25699444"/>
    <s v="ACC01"/>
    <x v="225"/>
    <d v="2026-07-03T11:26:53"/>
    <x v="1"/>
    <x v="5"/>
    <s v="6RHDVE"/>
    <s v="TMS"/>
    <s v="MARCOS OLIVEIRA"/>
    <s v="BRUNO ALVARENGA MELONI"/>
    <s v="BRUNO ALVARENGA MELONI"/>
    <d v="2026-07-03T10:44:00"/>
    <n v="331637"/>
    <s v="-"/>
    <s v="OFF LINE"/>
    <s v="Cartão de crédito"/>
    <s v="Cartão de crédito"/>
    <x v="1"/>
    <s v="N"/>
    <x v="12"/>
    <s v="Kpmg Consultoria"/>
    <s v="-"/>
    <s v="-"/>
    <s v="-"/>
    <x v="13"/>
    <s v="-"/>
    <x v="202"/>
    <n v="0"/>
    <n v="0"/>
    <n v="0"/>
    <n v="0"/>
    <n v="0"/>
    <n v="0"/>
    <s v="Reserva importada do Sistema TMS. OS: 331637"/>
    <s v="Fornecedor não preenchido! (ACC01)"/>
    <x v="0"/>
    <x v="1"/>
    <s v="Campo Fornecedor"/>
    <x v="0"/>
    <s v="Qualidade dos dados"/>
    <s v="KONTIK BUSINESS TRAVEL"/>
    <x v="4"/>
  </r>
  <r>
    <n v="24836428"/>
    <n v="25673101"/>
    <s v="ACC01"/>
    <x v="226"/>
    <d v="2026-07-03T03:01:26"/>
    <x v="1"/>
    <x v="4"/>
    <s v="SYRPEUT"/>
    <s v="SABRE"/>
    <s v="GASPAR DE SOUSA/DENYSE"/>
    <s v="Raquel Ribeiro Pinto Villarreal"/>
    <s v="Raquel Ribeiro Pinto Villarreal"/>
    <d v="2026-06-25T12:35:00"/>
    <s v="SYRPEU"/>
    <s v="-"/>
    <s v="OFF LINE"/>
    <s v="Cartão de crédito"/>
    <s v="Cartão de crédito"/>
    <x v="1"/>
    <s v="N"/>
    <x v="6"/>
    <s v="Fm Global - Servicos"/>
    <s v="Cliente FEE no POS"/>
    <s v="-"/>
    <s v="-"/>
    <x v="6"/>
    <s v="-"/>
    <x v="114"/>
    <n v="42"/>
    <n v="0"/>
    <n v="0"/>
    <n v="0"/>
    <n v="0"/>
    <n v="0"/>
    <s v="Reserva importada por HubTravel"/>
    <s v="Empenho/departamento não preenchido! (ACC01)"/>
    <x v="1"/>
    <x v="7"/>
    <s v="Falta de informação Gerencial"/>
    <x v="0"/>
    <s v="Qualidade dos dados"/>
    <s v="KONTIK BUSINESS TRAVEL"/>
    <x v="2"/>
  </r>
  <r>
    <n v="24860196"/>
    <n v="25698710"/>
    <s v="ACC01"/>
    <x v="227"/>
    <d v="2026-07-03T09:17:49"/>
    <x v="1"/>
    <x v="5"/>
    <n v="23556988"/>
    <s v="GOVER"/>
    <s v="Wanderson da Silva Nunes"/>
    <s v="Gover"/>
    <s v="Gover"/>
    <d v="2026-07-02T11:33:00"/>
    <n v="4717746"/>
    <s v="-"/>
    <s v="ON LINE"/>
    <s v="Cartão de crédito"/>
    <s v="Cartão de crédito"/>
    <x v="1"/>
    <s v="N"/>
    <x v="19"/>
    <s v="Linhas de Taubate Transmissora de Energia Sa"/>
    <s v="-"/>
    <s v="-"/>
    <s v="-"/>
    <x v="20"/>
    <s v="-"/>
    <x v="203"/>
    <n v="0"/>
    <n v="0"/>
    <n v="0"/>
    <n v="0"/>
    <n v="0"/>
    <n v="0"/>
    <s v="Reserva importada do sistema Gover. Id: 4717746"/>
    <s v="Fornecedor não preenchido! (ACC01)"/>
    <x v="3"/>
    <x v="1"/>
    <s v="Campo Fornecedor"/>
    <x v="0"/>
    <s v="Sistêmico"/>
    <s v="GRUPO KONTIK"/>
    <x v="1"/>
  </r>
  <r>
    <n v="24860197"/>
    <n v="25698711"/>
    <s v="ACC01"/>
    <x v="228"/>
    <d v="2026-07-03T09:17:49"/>
    <x v="1"/>
    <x v="5"/>
    <n v="23557027"/>
    <s v="GOVER"/>
    <s v="Idelmar Araujo Sousa"/>
    <s v="Gover"/>
    <s v="Gover"/>
    <d v="2026-07-02T11:35:00"/>
    <n v="4717749"/>
    <s v="-"/>
    <s v="ON LINE"/>
    <s v="Cartão de crédito"/>
    <s v="Cartão de crédito"/>
    <x v="1"/>
    <s v="N"/>
    <x v="19"/>
    <s v="Linhas de Taubate Transmissora de Energia Sa"/>
    <s v="-"/>
    <s v="-"/>
    <s v="-"/>
    <x v="20"/>
    <s v="-"/>
    <x v="204"/>
    <n v="0"/>
    <n v="0"/>
    <n v="0"/>
    <n v="0"/>
    <n v="0"/>
    <n v="0"/>
    <s v="Reserva importada do sistema Gover. Id: 4717749"/>
    <s v="Fornecedor não preenchido! (ACC01)"/>
    <x v="3"/>
    <x v="1"/>
    <s v="Campo Fornecedor"/>
    <x v="0"/>
    <s v="Sistêmico"/>
    <s v="GRUPO KONTIK"/>
    <x v="1"/>
  </r>
  <r>
    <n v="24860206"/>
    <n v="25698720"/>
    <s v="ACC01"/>
    <x v="229"/>
    <d v="2026-07-03T09:21:06"/>
    <x v="1"/>
    <x v="5"/>
    <n v="23561071"/>
    <s v="GOVER"/>
    <s v="Lazaro Pires de Amorim"/>
    <s v="Gover"/>
    <s v="Gover"/>
    <d v="2026-07-02T14:47:00"/>
    <n v="4717901"/>
    <s v="-"/>
    <s v="ON LINE"/>
    <s v="Cartão de crédito"/>
    <s v="Cartão de crédito"/>
    <x v="1"/>
    <s v="N"/>
    <x v="19"/>
    <s v="Linhas de Taubate Transmissora de Energia Sa"/>
    <s v="-"/>
    <s v="-"/>
    <s v="-"/>
    <x v="20"/>
    <s v="-"/>
    <x v="205"/>
    <n v="0"/>
    <n v="0"/>
    <n v="0"/>
    <n v="0"/>
    <n v="0"/>
    <n v="0"/>
    <s v="Reserva importada do sistema Gover. Id: 4717901"/>
    <s v="Fornecedor não preenchido! (ACC01)"/>
    <x v="3"/>
    <x v="1"/>
    <s v="Campo Fornecedor"/>
    <x v="0"/>
    <s v="Sistêmico"/>
    <s v="GRUPO KONTIK"/>
    <x v="1"/>
  </r>
  <r>
    <n v="24860207"/>
    <n v="25698721"/>
    <s v="ACC01"/>
    <x v="230"/>
    <d v="2026-07-03T09:21:07"/>
    <x v="1"/>
    <x v="5"/>
    <n v="23561106"/>
    <s v="GOVER"/>
    <s v="Renato Barbosa Goncalves"/>
    <s v="Gover"/>
    <s v="Gover"/>
    <d v="2026-07-02T14:48:00"/>
    <n v="4717903"/>
    <s v="-"/>
    <s v="ON LINE"/>
    <s v="Cartão de crédito"/>
    <s v="Cartão de crédito"/>
    <x v="1"/>
    <s v="N"/>
    <x v="19"/>
    <s v="Linhas de Taubate Transmissora de Energia Sa"/>
    <s v="-"/>
    <s v="-"/>
    <s v="-"/>
    <x v="20"/>
    <s v="-"/>
    <x v="205"/>
    <n v="0"/>
    <n v="0"/>
    <n v="0"/>
    <n v="0"/>
    <n v="0"/>
    <n v="0"/>
    <s v="Reserva importada do sistema Gover. Id: 4717903"/>
    <s v="Fornecedor não preenchido! (ACC01)"/>
    <x v="3"/>
    <x v="1"/>
    <s v="Campo Fornecedor"/>
    <x v="0"/>
    <s v="Sistêmico"/>
    <s v="GRUPO KONTIK"/>
    <x v="1"/>
  </r>
  <r>
    <n v="24860208"/>
    <n v="25698722"/>
    <s v="ACC01"/>
    <x v="230"/>
    <d v="2026-07-03T09:21:07"/>
    <x v="1"/>
    <x v="5"/>
    <n v="23561261"/>
    <s v="GOVER"/>
    <s v="Amauri dos Santos Junior"/>
    <s v="Gover"/>
    <s v="Gover"/>
    <d v="2026-07-02T14:52:00"/>
    <n v="4717909"/>
    <s v="-"/>
    <s v="ON LINE"/>
    <s v="Cartão de crédito"/>
    <s v="Cartão de crédito"/>
    <x v="1"/>
    <s v="N"/>
    <x v="19"/>
    <s v="Linhas de Taubate Transmissora de Energia Sa"/>
    <s v="-"/>
    <s v="-"/>
    <s v="-"/>
    <x v="20"/>
    <s v="-"/>
    <x v="206"/>
    <n v="0"/>
    <n v="0"/>
    <n v="0"/>
    <n v="0"/>
    <n v="0"/>
    <n v="0"/>
    <s v="Reserva importada do sistema Gover. Id: 4717909"/>
    <s v="Fornecedor não preenchido! (ACC01)"/>
    <x v="3"/>
    <x v="1"/>
    <s v="Campo Fornecedor"/>
    <x v="0"/>
    <s v="Sistêmico"/>
    <s v="GRUPO KONTIK"/>
    <x v="1"/>
  </r>
  <r>
    <n v="24860209"/>
    <n v="25698723"/>
    <s v="ACC01"/>
    <x v="231"/>
    <d v="2026-07-03T09:21:07"/>
    <x v="1"/>
    <x v="5"/>
    <n v="23561348"/>
    <s v="GOVER"/>
    <s v="Washington da Costa Suzarte"/>
    <s v="Gover"/>
    <s v="Gover"/>
    <d v="2026-07-02T14:55:00"/>
    <n v="4717916"/>
    <s v="-"/>
    <s v="ON LINE"/>
    <s v="Cartão de crédito"/>
    <s v="Cartão de crédito"/>
    <x v="1"/>
    <s v="N"/>
    <x v="19"/>
    <s v="Linhas de Taubate Transmissora de Energia Sa"/>
    <s v="-"/>
    <s v="-"/>
    <s v="-"/>
    <x v="20"/>
    <s v="-"/>
    <x v="207"/>
    <n v="0"/>
    <n v="0"/>
    <n v="0"/>
    <n v="0"/>
    <n v="0"/>
    <n v="0"/>
    <s v="Reserva importada do sistema Gover. Id: 4717916"/>
    <s v="Fornecedor não preenchido! (ACC01)"/>
    <x v="3"/>
    <x v="1"/>
    <s v="Campo Fornecedor"/>
    <x v="0"/>
    <s v="Sistêmico"/>
    <s v="GRUPO KONTIK"/>
    <x v="1"/>
  </r>
  <r>
    <n v="24860104"/>
    <n v="25698610"/>
    <s v="ACC01"/>
    <x v="232"/>
    <d v="2026-07-03T08:55:49"/>
    <x v="1"/>
    <x v="5"/>
    <n v="23561162"/>
    <s v="GOVER"/>
    <s v="Giomar Ribeiro Rocha"/>
    <s v="Gover"/>
    <s v="Gover"/>
    <d v="2026-07-02T14:51:00"/>
    <n v="4717905"/>
    <s v="-"/>
    <s v="ON LINE"/>
    <s v="Cartão de crédito"/>
    <s v="Cartão de crédito"/>
    <x v="1"/>
    <s v="N"/>
    <x v="19"/>
    <s v="Linhas de Taubate Transmissora de Energia Sa"/>
    <s v="-"/>
    <s v="-"/>
    <s v="-"/>
    <x v="20"/>
    <s v="-"/>
    <x v="206"/>
    <n v="0"/>
    <n v="0"/>
    <n v="0"/>
    <n v="0"/>
    <n v="0"/>
    <n v="0"/>
    <s v="Reserva importada do sistema Gover. Id: 4717905"/>
    <s v="Fornecedor não preenchido! (ACC01)"/>
    <x v="3"/>
    <x v="1"/>
    <s v="Campo Fornecedor"/>
    <x v="0"/>
    <s v="Sistêmico"/>
    <s v="GRUPO KONTIK"/>
    <x v="1"/>
  </r>
  <r>
    <n v="24835944"/>
    <n v="25672688"/>
    <s v="ACC01"/>
    <x v="233"/>
    <d v="2026-06-29T13:00:43"/>
    <x v="6"/>
    <x v="4"/>
    <s v="ELTRQQC"/>
    <s v="SABRE"/>
    <s v="ABATEPAULO/LEANDRO"/>
    <s v="WS"/>
    <s v="WS"/>
    <d v="2026-06-29T08:03:00"/>
    <s v="ELTRQQ"/>
    <s v="NAT"/>
    <s v="ON LINE"/>
    <s v="Invoice"/>
    <s v="Faturado"/>
    <x v="2"/>
    <s v="N"/>
    <x v="62"/>
    <s v="Bdb Ferramentas do Brasil Ltda"/>
    <s v="Cliente FEE no POS"/>
    <s v="-"/>
    <s v="-"/>
    <x v="7"/>
    <s v="-"/>
    <x v="8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861030"/>
    <n v="25699751"/>
    <s v="ACC01"/>
    <x v="234"/>
    <d v="2026-07-03T12:17:39"/>
    <x v="1"/>
    <x v="5"/>
    <s v="6REMYC"/>
    <s v="TMS"/>
    <s v="PEDRO SOUZA ALVES"/>
    <s v="Tms"/>
    <s v="Tms"/>
    <d v="2026-07-03T11:02:00"/>
    <n v="116438"/>
    <s v="São Paulo / SAO"/>
    <s v="ON LINE"/>
    <s v="Invoice"/>
    <s v="Faturado"/>
    <x v="2"/>
    <s v="N"/>
    <x v="35"/>
    <s v="Ultragaz-matriz"/>
    <s v="-"/>
    <s v="-"/>
    <s v="-"/>
    <x v="2"/>
    <s v="-"/>
    <x v="208"/>
    <n v="0"/>
    <n v="0"/>
    <n v="0"/>
    <n v="0"/>
    <n v="0"/>
    <n v="0"/>
    <s v="Reserva importada do Sistema TMS. OS: 116438"/>
    <s v="Fornecedor não preenchido! (ACC01)"/>
    <x v="0"/>
    <x v="1"/>
    <s v="Campo Fornecedor"/>
    <x v="0"/>
    <s v="Qualidade dos dados"/>
    <s v="KONTIK BUSINESS TRAVEL"/>
    <x v="4"/>
  </r>
  <r>
    <n v="24870430"/>
    <n v="25710568"/>
    <s v="ACC01"/>
    <x v="235"/>
    <d v="2026-07-05T12:05:47"/>
    <x v="2"/>
    <x v="6"/>
    <s v="6R162G"/>
    <s v="TMS"/>
    <s v="FABIO RICARDO ALVES"/>
    <s v="Tms"/>
    <s v="Tms"/>
    <d v="2026-07-05T09:17:00"/>
    <n v="116668"/>
    <s v="Joao Pessoa / JPA"/>
    <s v="ON LINE"/>
    <s v="Invoice"/>
    <s v="Faturado"/>
    <x v="2"/>
    <s v="N"/>
    <x v="35"/>
    <s v="Ultragaz-matriz"/>
    <s v="-"/>
    <s v="-"/>
    <s v="-"/>
    <x v="2"/>
    <s v="-"/>
    <x v="209"/>
    <n v="0"/>
    <n v="0"/>
    <n v="0"/>
    <n v="0"/>
    <n v="0"/>
    <n v="0"/>
    <s v="Reserva importada do Sistema TMS. OS: 116668"/>
    <s v="Fornecedor não preenchido! (ACC01)"/>
    <x v="0"/>
    <x v="1"/>
    <s v="Campo Fornecedor"/>
    <x v="0"/>
    <s v="Qualidade dos dados"/>
    <s v="KONTIK BUSINESS TRAVEL"/>
    <x v="4"/>
  </r>
  <r>
    <n v="24858249"/>
    <n v="25696503"/>
    <s v="ACC01"/>
    <x v="236"/>
    <d v="2026-07-03T17:18:35"/>
    <x v="1"/>
    <x v="5"/>
    <s v="NSPJNTC"/>
    <s v="SABRE"/>
    <s v="FONSECA/THIAGO ABUD MR"/>
    <s v="CT"/>
    <s v="CT"/>
    <d v="2026-07-02T15:56:00"/>
    <s v="NSPJNT"/>
    <s v="GYN"/>
    <s v="ON LINE"/>
    <s v="Invoice"/>
    <s v="Faturado"/>
    <x v="2"/>
    <s v="N"/>
    <x v="24"/>
    <s v="Ca Pesquisa e Comercio de Sementes"/>
    <s v="-"/>
    <s v="-"/>
    <s v="-"/>
    <x v="22"/>
    <s v="-"/>
    <x v="210"/>
    <n v="78.33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861772"/>
    <n v="25700617"/>
    <s v="ACC01"/>
    <x v="237"/>
    <d v="2026-07-03T17:18:36"/>
    <x v="1"/>
    <x v="5"/>
    <s v="QCIDRLT"/>
    <s v="SABRE"/>
    <s v="LISBOA/CARLA DE MELO MRS"/>
    <s v="CT"/>
    <s v="CT"/>
    <d v="2026-07-03T10:11:00"/>
    <s v="QCIDRL"/>
    <s v="-"/>
    <s v="ON LINE"/>
    <s v="Pagamento direto"/>
    <s v="Pagamento direto"/>
    <x v="1"/>
    <s v="N"/>
    <x v="24"/>
    <s v="Basf Sa"/>
    <s v="-"/>
    <s v="-"/>
    <s v="-"/>
    <x v="22"/>
    <s v="-"/>
    <x v="211"/>
    <n v="0"/>
    <n v="0"/>
    <n v="0"/>
    <n v="0"/>
    <n v="0"/>
    <n v="0"/>
    <s v="Reserva importada por HubTravel"/>
    <s v="Fornecedor não preenchido! (ACC01)"/>
    <x v="1"/>
    <x v="1"/>
    <s v="Campo Fornecedor"/>
    <x v="0"/>
    <s v="Sistêmico"/>
    <s v="GRUPO KONTIK"/>
    <x v="1"/>
  </r>
  <r>
    <n v="24857656"/>
    <n v="25695722"/>
    <s v="ACC01"/>
    <x v="238"/>
    <d v="2026-07-02T19:07:17"/>
    <x v="1"/>
    <x v="5"/>
    <s v="6RYVLX"/>
    <s v="LEMONTECH"/>
    <s v="GOUW/TATIANA"/>
    <s v="Vitoria Silva Lopes"/>
    <s v="Vitoria Silva Lopes"/>
    <d v="2026-07-01T13:16:00"/>
    <n v="19583130"/>
    <s v="-"/>
    <s v="OFF LINE"/>
    <s v="Invoice"/>
    <s v="Faturado"/>
    <x v="3"/>
    <s v="N"/>
    <x v="43"/>
    <s v="Lojas Renner"/>
    <s v="-"/>
    <s v="-"/>
    <s v="-"/>
    <x v="36"/>
    <s v="-"/>
    <x v="212"/>
    <n v="0"/>
    <n v="0"/>
    <n v="0"/>
    <n v="0"/>
    <n v="0"/>
    <n v="0"/>
    <s v="Reserva importada do Sistema Lemontech. Solicitação: 19583130"/>
    <s v="Fornecedor não preenchido! (ACC01)"/>
    <x v="5"/>
    <x v="1"/>
    <s v="Campo Fornecedor"/>
    <x v="0"/>
    <s v="Qualidade dos dados"/>
    <s v="KONTIK BUSINESS TRAVEL"/>
    <x v="4"/>
  </r>
  <r>
    <n v="24857262"/>
    <n v="25695258"/>
    <s v="ACC01"/>
    <x v="239"/>
    <d v="2026-07-05T07:30:54"/>
    <x v="2"/>
    <x v="5"/>
    <s v="6R3JK2"/>
    <s v="LEMONTECH"/>
    <s v="AGNALDO DA SILVA COSTA"/>
    <s v="DEIVID DA SILVA ORTOLAN"/>
    <s v="DEIVID DA SILVA ORTOLAN"/>
    <d v="2026-07-02T15:08:00"/>
    <n v="19593800"/>
    <s v="-"/>
    <s v="OFF LINE"/>
    <s v="Invoice"/>
    <s v="Faturado"/>
    <x v="3"/>
    <s v="N"/>
    <x v="43"/>
    <s v="Lojas Renner"/>
    <s v="-"/>
    <s v="-"/>
    <s v="-"/>
    <x v="36"/>
    <s v="-"/>
    <x v="213"/>
    <n v="48.72"/>
    <n v="9.9499999999999993"/>
    <n v="0"/>
    <n v="0"/>
    <n v="0"/>
    <n v="0"/>
    <s v="Reserva importada do Sistema Lemontech. Solicitação: 19593800"/>
    <s v="Fornecedor não preenchido! (ACC01)"/>
    <x v="5"/>
    <x v="1"/>
    <s v="Campo Fornecedor"/>
    <x v="0"/>
    <s v="Qualidade dos dados"/>
    <s v="KONTIK BUSINESS TRAVEL"/>
    <x v="4"/>
  </r>
  <r>
    <n v="24857265"/>
    <n v="25695261"/>
    <s v="ACC01"/>
    <x v="240"/>
    <d v="2026-07-05T07:30:54"/>
    <x v="2"/>
    <x v="5"/>
    <s v="6RH7KS"/>
    <s v="LEMONTECH"/>
    <s v="KENNETH EDUARDO DOS SANTOS GONCALVES"/>
    <s v="DEIVID DA SILVA ORTOLAN"/>
    <s v="DEIVID DA SILVA ORTOLAN"/>
    <d v="2026-07-02T15:46:00"/>
    <n v="19593801"/>
    <s v="-"/>
    <s v="OFF LINE"/>
    <s v="Invoice"/>
    <s v="Faturado"/>
    <x v="3"/>
    <s v="N"/>
    <x v="43"/>
    <s v="Lojas Renner"/>
    <s v="-"/>
    <s v="-"/>
    <s v="-"/>
    <x v="36"/>
    <s v="-"/>
    <x v="213"/>
    <n v="48.72"/>
    <n v="9.9499999999999993"/>
    <n v="0"/>
    <n v="0"/>
    <n v="0"/>
    <n v="0"/>
    <s v="Reserva importada do Sistema Lemontech. Solicitação: 19593801"/>
    <s v="Fornecedor não preenchido! (ACC01)"/>
    <x v="5"/>
    <x v="1"/>
    <s v="Campo Fornecedor"/>
    <x v="0"/>
    <s v="Qualidade dos dados"/>
    <s v="KONTIK BUSINESS TRAVEL"/>
    <x v="4"/>
  </r>
  <r>
    <n v="24848659"/>
    <n v="25685295"/>
    <s v="ACC01"/>
    <x v="241"/>
    <d v="2026-07-01T14:07:29"/>
    <x v="1"/>
    <x v="5"/>
    <s v="6RXP6P"/>
    <s v="LEMONTECH"/>
    <s v="DE SOUZA/MARINA"/>
    <s v="Vitoria Silva Lopes"/>
    <s v="Vitoria Silva Lopes"/>
    <d v="2026-06-30T10:23:00"/>
    <n v="19570794"/>
    <s v="-"/>
    <s v="OFF LINE"/>
    <s v="Invoice"/>
    <s v="Faturado"/>
    <x v="3"/>
    <s v="N"/>
    <x v="43"/>
    <s v="Lojas Renner"/>
    <s v="-"/>
    <s v="-"/>
    <s v="-"/>
    <x v="36"/>
    <s v="-"/>
    <x v="214"/>
    <n v="0"/>
    <n v="0"/>
    <n v="0"/>
    <n v="0"/>
    <n v="0"/>
    <n v="0"/>
    <s v="Reserva importada do Sistema Lemontech. Solicitação: 19570794"/>
    <s v="Fornecedor não preenchido! (ACC01)"/>
    <x v="5"/>
    <x v="1"/>
    <s v="Campo Fornecedor"/>
    <x v="0"/>
    <s v="Qualidade dos dados"/>
    <s v="KONTIK BUSINESS TRAVEL"/>
    <x v="4"/>
  </r>
  <r>
    <n v="24850763"/>
    <n v="25687626"/>
    <s v="ACC01"/>
    <x v="242"/>
    <d v="2026-07-01T19:07:12"/>
    <x v="1"/>
    <x v="5"/>
    <s v="6R2ZEA"/>
    <s v="LEMONTECH"/>
    <s v="NASCIMENTO TORRES/JANAINA"/>
    <s v="Vitoria Silva Lopes"/>
    <s v="Vitoria Silva Lopes"/>
    <d v="2026-06-30T16:23:00"/>
    <n v="19576817"/>
    <s v="-"/>
    <s v="OFF LINE"/>
    <s v="Invoice"/>
    <s v="Faturado"/>
    <x v="3"/>
    <s v="N"/>
    <x v="43"/>
    <s v="Lojas Renner"/>
    <s v="-"/>
    <s v="-"/>
    <s v="-"/>
    <x v="36"/>
    <s v="-"/>
    <x v="215"/>
    <n v="0"/>
    <n v="0"/>
    <n v="0"/>
    <n v="0"/>
    <n v="0"/>
    <n v="0"/>
    <s v="Reserva importada do Sistema Lemontech. Solicitação: 19576817"/>
    <s v="Fornecedor não preenchido! (ACC01)"/>
    <x v="5"/>
    <x v="1"/>
    <s v="Campo Fornecedor"/>
    <x v="0"/>
    <s v="Qualidade dos dados"/>
    <s v="KONTIK BUSINESS TRAVEL"/>
    <x v="4"/>
  </r>
  <r>
    <n v="24841656"/>
    <n v="25677912"/>
    <s v="ACC01"/>
    <x v="243"/>
    <d v="2026-06-30T12:06:49"/>
    <x v="6"/>
    <x v="4"/>
    <s v="6Q93AI"/>
    <s v="LEMONTECH"/>
    <s v="DOS SANTOS/VINICIUS"/>
    <s v="Humberto da Fontoura"/>
    <s v="Humberto da Fontoura"/>
    <d v="2026-06-29T18:21:00"/>
    <n v="19563131"/>
    <s v="loja aeroporto fln"/>
    <s v="OFF LINE"/>
    <s v="Invoice"/>
    <s v="Faturado"/>
    <x v="2"/>
    <s v="N"/>
    <x v="43"/>
    <s v="Lojas Renner"/>
    <s v="-"/>
    <s v="-"/>
    <s v="-"/>
    <x v="36"/>
    <s v="-"/>
    <x v="216"/>
    <n v="92.87"/>
    <n v="227.4"/>
    <n v="0"/>
    <n v="0"/>
    <n v="0"/>
    <n v="0"/>
    <s v="Reserva importada do Sistema Lemontech. Solicitação: 19563131"/>
    <s v="Fornecedor não preenchido! (ACC01)"/>
    <x v="5"/>
    <x v="1"/>
    <s v="Campo Fornecedor"/>
    <x v="0"/>
    <s v="Qualidade dos dados"/>
    <s v="KONTIK BUSINESS TRAVEL"/>
    <x v="4"/>
  </r>
  <r>
    <n v="24861916"/>
    <n v="25700788"/>
    <s v="ACC01"/>
    <x v="244"/>
    <d v="2026-07-05T07:30:54"/>
    <x v="2"/>
    <x v="5"/>
    <s v="6RXHIC"/>
    <s v="LEMONTECH"/>
    <s v="MARINALVA FREITAS DA SILVA"/>
    <s v="William da Cruz Canteiro"/>
    <s v="William da Cruz Canteiro"/>
    <d v="2026-07-02T19:01:00"/>
    <n v="19598005"/>
    <s v="-"/>
    <s v="OFF LINE"/>
    <s v="Invoice"/>
    <s v="Faturado"/>
    <x v="3"/>
    <s v="N"/>
    <x v="43"/>
    <s v="Lojas Renner"/>
    <s v="-"/>
    <s v="-"/>
    <s v="-"/>
    <x v="36"/>
    <s v="-"/>
    <x v="217"/>
    <n v="13.64"/>
    <n v="9.9499999999999993"/>
    <n v="0"/>
    <n v="0"/>
    <n v="0"/>
    <n v="0"/>
    <s v="Reserva importada do Sistema Lemontech. Solicitação: 19598005"/>
    <s v="Fornecedor não preenchido! (ACC01)"/>
    <x v="5"/>
    <x v="1"/>
    <s v="Campo Fornecedor"/>
    <x v="0"/>
    <s v="Qualidade dos dados"/>
    <s v="KONTIK BUSINESS TRAVEL"/>
    <x v="4"/>
  </r>
  <r>
    <n v="24861923"/>
    <n v="25700795"/>
    <s v="ACC01"/>
    <x v="245"/>
    <d v="2026-07-03T14:09:10"/>
    <x v="1"/>
    <x v="5"/>
    <s v="6RJH8E"/>
    <s v="LEMONTECH"/>
    <s v="ZANOTTO/ELTON"/>
    <s v="William da Cruz Canteiro"/>
    <s v="William da Cruz Canteiro"/>
    <d v="2026-07-03T11:14:00"/>
    <n v="19602242"/>
    <s v="Aeroporto de Cascavel"/>
    <s v="OFF LINE"/>
    <s v="Invoice"/>
    <s v="Faturado"/>
    <x v="2"/>
    <s v="N"/>
    <x v="43"/>
    <s v="Lojas Renner"/>
    <s v="-"/>
    <s v="-"/>
    <s v="-"/>
    <x v="36"/>
    <s v="-"/>
    <x v="218"/>
    <n v="0"/>
    <n v="0"/>
    <n v="0"/>
    <n v="0"/>
    <n v="0"/>
    <n v="0"/>
    <s v="Reserva importada do Sistema Lemontech. Solicitação: 19602242"/>
    <s v="Fornecedor não preenchido! (ACC01)"/>
    <x v="5"/>
    <x v="1"/>
    <s v="Campo Fornecedor"/>
    <x v="0"/>
    <s v="Qualidade dos dados"/>
    <s v="KONTIK BUSINESS TRAVEL"/>
    <x v="4"/>
  </r>
  <r>
    <n v="24849098"/>
    <n v="25685817"/>
    <s v="ACC01"/>
    <x v="246"/>
    <d v="2026-07-03T17:14:11"/>
    <x v="1"/>
    <x v="5"/>
    <s v="ATBXEUT"/>
    <s v="SABRE"/>
    <s v="BARBOZA/GIOVANA GEMIGNANI MATTOS MS"/>
    <s v="Adriana Vieira de Freitas dos Santos"/>
    <s v="Adriana Vieira de Freitas dos Santos"/>
    <d v="2026-07-01T12:44:00"/>
    <s v="EMAIL"/>
    <s v="-"/>
    <s v="OFF LINE"/>
    <s v="Pagamento direto"/>
    <s v="Pagamento direto"/>
    <x v="1"/>
    <s v="N"/>
    <x v="63"/>
    <s v="Shell"/>
    <s v="-"/>
    <s v="-"/>
    <s v="-"/>
    <x v="50"/>
    <s v="-"/>
    <x v="219"/>
    <n v="492.58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848598"/>
    <n v="25685227"/>
    <s v="ACC01"/>
    <x v="247"/>
    <d v="2026-07-03T17:14:11"/>
    <x v="1"/>
    <x v="5"/>
    <s v="NWEPJNT"/>
    <s v="SABRE"/>
    <s v="CAMPOS/FLAVIO DE COSTA MR"/>
    <s v="Adriana Vieira de Freitas dos Santos"/>
    <s v="Adriana Vieira de Freitas dos Santos"/>
    <d v="2026-07-01T09:42:00"/>
    <s v="EMAIL"/>
    <s v="-"/>
    <s v="OFF LINE"/>
    <s v="Pagamento direto"/>
    <s v="Pagamento direto"/>
    <x v="1"/>
    <s v="N"/>
    <x v="63"/>
    <s v="Shell"/>
    <s v="-"/>
    <s v="-"/>
    <s v="-"/>
    <x v="50"/>
    <s v="-"/>
    <x v="220"/>
    <n v="29.8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858460"/>
    <n v="25696772"/>
    <s v="ACC01"/>
    <x v="248"/>
    <d v="2026-07-03T17:18:36"/>
    <x v="1"/>
    <x v="5"/>
    <s v="WNUYNAT"/>
    <s v="SABRE"/>
    <s v="MATOS/PAULO JOSE NUNES MR"/>
    <s v="Adriana Vieira de Freitas dos Santos"/>
    <s v="Adriana Vieira de Freitas dos Santos"/>
    <d v="2026-07-02T16:34:00"/>
    <s v="FONE"/>
    <s v="-"/>
    <s v="OFF LINE"/>
    <s v="Pagamento direto"/>
    <s v="Pagamento direto"/>
    <x v="1"/>
    <s v="N"/>
    <x v="63"/>
    <s v="Shell"/>
    <s v="-"/>
    <s v="-"/>
    <s v="-"/>
    <x v="50"/>
    <s v="-"/>
    <x v="221"/>
    <n v="115.71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858468"/>
    <n v="25696778"/>
    <s v="ACC01"/>
    <x v="249"/>
    <d v="2026-07-03T17:18:36"/>
    <x v="1"/>
    <x v="5"/>
    <s v="MFFXRAT"/>
    <s v="SABRE"/>
    <s v="OLIVEIRA/FABIO MR"/>
    <s v="Adriana Vieira de Freitas dos Santos"/>
    <s v="Adriana Vieira de Freitas dos Santos"/>
    <d v="2026-07-02T16:31:00"/>
    <s v="FONE"/>
    <s v="-"/>
    <s v="OFF LINE"/>
    <s v="Pagamento direto"/>
    <s v="Pagamento direto"/>
    <x v="1"/>
    <s v="N"/>
    <x v="63"/>
    <s v="Shell"/>
    <s v="-"/>
    <s v="-"/>
    <s v="-"/>
    <x v="50"/>
    <s v="-"/>
    <x v="221"/>
    <n v="115.71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836966"/>
    <n v="25673614"/>
    <s v="ACC01"/>
    <x v="250"/>
    <d v="2026-06-29T16:45:57"/>
    <x v="6"/>
    <x v="4"/>
    <s v="6Q58O5"/>
    <s v="TMS"/>
    <s v="LENOIR JEREMIAS"/>
    <s v="Tms"/>
    <s v="Tms"/>
    <d v="2026-06-29T10:58:00"/>
    <n v="35281"/>
    <s v="São Paulo / GRU"/>
    <s v="ON LINE"/>
    <s v="Invoice"/>
    <s v="Faturado"/>
    <x v="2"/>
    <s v="N"/>
    <x v="64"/>
    <s v="Enaex"/>
    <s v="-"/>
    <s v="-"/>
    <s v="-"/>
    <x v="51"/>
    <s v="-"/>
    <x v="222"/>
    <n v="0"/>
    <n v="0"/>
    <n v="0"/>
    <n v="0"/>
    <n v="0"/>
    <n v="0"/>
    <s v="Reserva importada do Sistema TMS. OS: 35281"/>
    <s v="Fornecedor não preenchido! (ACC01)"/>
    <x v="0"/>
    <x v="1"/>
    <s v="Campo Fornecedor"/>
    <x v="0"/>
    <s v="Qualidade dos dados"/>
    <s v="KONTIK BUSINESS TRAVEL"/>
    <x v="4"/>
  </r>
  <r>
    <n v="24859100"/>
    <n v="25697583"/>
    <s v="ACC01"/>
    <x v="251"/>
    <d v="2026-07-02T23:25:30"/>
    <x v="1"/>
    <x v="5"/>
    <s v="6RNJPE"/>
    <s v="TMS"/>
    <s v="JEDERSON FERREIRA"/>
    <s v="Marcia Fernandes de Sousa"/>
    <s v="Marcia Fernandes de Sousa"/>
    <d v="2026-07-02T17:24:00"/>
    <n v="35329"/>
    <s v="-"/>
    <s v="OFF LINE"/>
    <s v="Cartão de crédito"/>
    <s v="Cartão de crédito"/>
    <x v="3"/>
    <s v="N"/>
    <x v="64"/>
    <s v="Enaex"/>
    <s v="-"/>
    <s v="-"/>
    <s v="-"/>
    <x v="51"/>
    <s v="-"/>
    <x v="223"/>
    <n v="0"/>
    <n v="0"/>
    <n v="0"/>
    <n v="0"/>
    <n v="0"/>
    <n v="0"/>
    <s v="Reserva importada do Sistema TMS. OS: 35329"/>
    <s v="Fornecedor não preenchido! (ACC01)"/>
    <x v="0"/>
    <x v="1"/>
    <s v="Campo Fornecedor"/>
    <x v="0"/>
    <s v="Qualidade dos dados"/>
    <s v="KONTIK BUSINESS TRAVEL"/>
    <x v="4"/>
  </r>
  <r>
    <n v="24859102"/>
    <n v="25697585"/>
    <s v="ACC01"/>
    <x v="252"/>
    <d v="2026-07-02T23:25:41"/>
    <x v="1"/>
    <x v="5"/>
    <s v="6RA80E"/>
    <s v="TMS"/>
    <s v="RANILTO SOBRINHO"/>
    <s v="Marcia Fernandes de Sousa"/>
    <s v="Marcia Fernandes de Sousa"/>
    <d v="2026-07-02T17:18:00"/>
    <n v="35328"/>
    <s v="-"/>
    <s v="OFF LINE"/>
    <s v="Cartão de crédito"/>
    <s v="Cartão de crédito"/>
    <x v="3"/>
    <s v="N"/>
    <x v="64"/>
    <s v="Enaex"/>
    <s v="-"/>
    <s v="-"/>
    <s v="-"/>
    <x v="51"/>
    <s v="-"/>
    <x v="223"/>
    <n v="0"/>
    <n v="0"/>
    <n v="0"/>
    <n v="0"/>
    <n v="0"/>
    <n v="0"/>
    <s v="Reserva importada do Sistema TMS. OS: 35328"/>
    <s v="Fornecedor não preenchido! (ACC01)"/>
    <x v="0"/>
    <x v="1"/>
    <s v="Campo Fornecedor"/>
    <x v="0"/>
    <s v="Qualidade dos dados"/>
    <s v="KONTIK BUSINESS TRAVEL"/>
    <x v="4"/>
  </r>
  <r>
    <n v="24860878"/>
    <n v="25699594"/>
    <s v="ACC01"/>
    <x v="253"/>
    <d v="2026-07-03T11:46:42"/>
    <x v="1"/>
    <x v="5"/>
    <s v="6RTMTE"/>
    <s v="TMS"/>
    <s v="AUGUSTO CESAR SANTANA BINDA"/>
    <s v="Tms"/>
    <s v="Tms"/>
    <d v="2026-07-03T09:19:00"/>
    <n v="35354"/>
    <s v="São Paulo / GRU"/>
    <s v="ON LINE"/>
    <s v="Invoice"/>
    <s v="Faturado"/>
    <x v="2"/>
    <s v="N"/>
    <x v="64"/>
    <s v="Enaex"/>
    <s v="-"/>
    <s v="-"/>
    <s v="-"/>
    <x v="51"/>
    <s v="-"/>
    <x v="224"/>
    <n v="0"/>
    <n v="0"/>
    <n v="0"/>
    <n v="0"/>
    <n v="0"/>
    <n v="0"/>
    <s v="Reserva importada do Sistema TMS. OS: 35354"/>
    <s v="Fornecedor não preenchido! (ACC01)"/>
    <x v="0"/>
    <x v="1"/>
    <s v="Campo Fornecedor"/>
    <x v="0"/>
    <s v="Qualidade dos dados"/>
    <s v="KONTIK BUSINESS TRAVEL"/>
    <x v="4"/>
  </r>
  <r>
    <n v="24861219"/>
    <n v="25699994"/>
    <s v="ACC01"/>
    <x v="254"/>
    <d v="2026-07-03T12:09:27"/>
    <x v="1"/>
    <x v="5"/>
    <s v="6RQJYE"/>
    <s v="LEMONTECH"/>
    <s v="BONDEZAN/CLEBER"/>
    <s v="Isabela de Melo da Silva"/>
    <s v="Isabela de Melo da Silva"/>
    <d v="2026-07-03T10:10:00"/>
    <n v="19573506"/>
    <s v="AGÊNCIA AEROPORTO - CHAPECO"/>
    <s v="OFF LINE"/>
    <s v="Invoice"/>
    <s v="Faturado"/>
    <x v="2"/>
    <s v="N"/>
    <x v="46"/>
    <s v="Biolab Centro Administrativo - Escritorio"/>
    <s v="-"/>
    <s v="-"/>
    <s v="-"/>
    <x v="39"/>
    <s v="-"/>
    <x v="225"/>
    <n v="0"/>
    <n v="0"/>
    <n v="0"/>
    <n v="0"/>
    <n v="0"/>
    <n v="0"/>
    <s v="Reserva importada do Sistema Lemontech. Solicitação: 19573506"/>
    <s v="Fornecedor não preenchido! (ACC01)"/>
    <x v="5"/>
    <x v="1"/>
    <s v="Campo Fornecedor"/>
    <x v="0"/>
    <s v="Qualidade dos dados"/>
    <s v="KONTIK BUSINESS TRAVEL"/>
    <x v="4"/>
  </r>
  <r>
    <n v="24861222"/>
    <n v="25699998"/>
    <s v="ACC01"/>
    <x v="255"/>
    <d v="2026-07-03T12:09:43"/>
    <x v="1"/>
    <x v="5"/>
    <s v="6RDJY3"/>
    <s v="LEMONTECH"/>
    <s v="MARANGON JR/ALDO"/>
    <s v="Isabela de Melo da Silva"/>
    <s v="Isabela de Melo da Silva"/>
    <d v="2026-07-03T10:14:00"/>
    <n v="19578857"/>
    <s v="AGENCIA AEROPORTO LONDRINA"/>
    <s v="OFF LINE"/>
    <s v="Invoice"/>
    <s v="Faturado"/>
    <x v="2"/>
    <s v="N"/>
    <x v="46"/>
    <s v="Biolab Centro Administrativo - Escritorio"/>
    <s v="-"/>
    <s v="-"/>
    <s v="-"/>
    <x v="39"/>
    <s v="-"/>
    <x v="226"/>
    <n v="0"/>
    <n v="0"/>
    <n v="0"/>
    <n v="0"/>
    <n v="0"/>
    <n v="0"/>
    <s v="Reserva importada do Sistema Lemontech. Solicitação: 19578857"/>
    <s v="Fornecedor não preenchido! (ACC01)"/>
    <x v="5"/>
    <x v="1"/>
    <s v="Campo Fornecedor"/>
    <x v="0"/>
    <s v="Qualidade dos dados"/>
    <s v="KONTIK BUSINESS TRAVEL"/>
    <x v="4"/>
  </r>
  <r>
    <n v="24861275"/>
    <n v="25700049"/>
    <s v="ACC01"/>
    <x v="256"/>
    <d v="2026-07-03T12:12:44"/>
    <x v="1"/>
    <x v="5"/>
    <s v="6RVLHE"/>
    <s v="LEMONTECH"/>
    <s v="NEVES/DAIANE"/>
    <s v="Isabela de Melo da Silva"/>
    <s v="Isabela de Melo da Silva"/>
    <d v="2026-07-03T10:22:00"/>
    <n v="19597009"/>
    <s v="AEROPORTO MACAPA II"/>
    <s v="OFF LINE"/>
    <s v="Invoice"/>
    <s v="Faturado"/>
    <x v="2"/>
    <s v="N"/>
    <x v="46"/>
    <s v="Biolab Centro Administrativo - Escritorio"/>
    <s v="-"/>
    <s v="-"/>
    <s v="-"/>
    <x v="39"/>
    <s v="-"/>
    <x v="227"/>
    <n v="0"/>
    <n v="0"/>
    <n v="0"/>
    <n v="0"/>
    <n v="0"/>
    <n v="0"/>
    <s v="Reserva importada do Sistema Lemontech. Solicitação: 19597009"/>
    <s v="Fornecedor não preenchido! (ACC01)"/>
    <x v="5"/>
    <x v="1"/>
    <s v="Campo Fornecedor"/>
    <x v="0"/>
    <s v="Qualidade dos dados"/>
    <s v="KONTIK BUSINESS TRAVEL"/>
    <x v="4"/>
  </r>
  <r>
    <n v="24861280"/>
    <n v="25700054"/>
    <s v="ACC01"/>
    <x v="257"/>
    <d v="2026-07-03T12:13:09"/>
    <x v="1"/>
    <x v="5"/>
    <s v="6RUNH3"/>
    <s v="LEMONTECH"/>
    <s v="NEVES/DAIANE"/>
    <s v="Isabela de Melo da Silva"/>
    <s v="Isabela de Melo da Silva"/>
    <d v="2026-07-03T10:29:00"/>
    <n v="19598085"/>
    <s v="AGENCIA AEROPORTO ALTAMIRA"/>
    <s v="OFF LINE"/>
    <s v="Invoice"/>
    <s v="Faturado"/>
    <x v="2"/>
    <s v="N"/>
    <x v="46"/>
    <s v="Biolab Centro Administrativo - Escritorio"/>
    <s v="-"/>
    <s v="-"/>
    <s v="-"/>
    <x v="39"/>
    <s v="-"/>
    <x v="228"/>
    <n v="0"/>
    <n v="0"/>
    <n v="0"/>
    <n v="0"/>
    <n v="0"/>
    <n v="0"/>
    <s v="Reserva importada do Sistema Lemontech. Solicitação: 19598085"/>
    <s v="Fornecedor não preenchido! (ACC01)"/>
    <x v="5"/>
    <x v="1"/>
    <s v="Campo Fornecedor"/>
    <x v="0"/>
    <s v="Qualidade dos dados"/>
    <s v="KONTIK BUSINESS TRAVEL"/>
    <x v="4"/>
  </r>
  <r>
    <n v="24860156"/>
    <n v="25698667"/>
    <s v="ACC01"/>
    <x v="258"/>
    <d v="2026-07-03T09:09:57"/>
    <x v="1"/>
    <x v="5"/>
    <s v="6RY23E"/>
    <s v="LEMONTECH"/>
    <s v="DE SOUSA/MARCELA"/>
    <s v="Fernando Augusto Santiago da Silva"/>
    <s v="Fernando Augusto Santiago da Silva"/>
    <d v="2026-07-02T19:03:00"/>
    <n v="19599045"/>
    <s v="AVENIDA JULIO CESAR , 0  - VALDECANS"/>
    <s v="ON LINE"/>
    <s v="Invoice"/>
    <s v="Faturado"/>
    <x v="2"/>
    <s v="N"/>
    <x v="46"/>
    <s v="Biolab Centro Administrativo - Escritorio"/>
    <s v="-"/>
    <s v="-"/>
    <s v="-"/>
    <x v="39"/>
    <s v="-"/>
    <x v="229"/>
    <n v="99.18"/>
    <n v="272.72000000000003"/>
    <n v="0"/>
    <n v="0"/>
    <n v="0"/>
    <n v="0"/>
    <s v="Reserva importada do Sistema Lemontech. Solicitação: 19599045"/>
    <s v="Fornecedor não preenchido! (ACC01)"/>
    <x v="5"/>
    <x v="1"/>
    <s v="Campo Fornecedor"/>
    <x v="0"/>
    <s v="Qualidade dos dados"/>
    <s v="KONTIK BUSINESS TRAVEL"/>
    <x v="4"/>
  </r>
  <r>
    <n v="24853581"/>
    <n v="25691093"/>
    <s v="ACC01"/>
    <x v="259"/>
    <d v="2026-07-02T10:08:49"/>
    <x v="1"/>
    <x v="5"/>
    <s v="6RS6U1"/>
    <s v="LEMONTECH"/>
    <s v="FREIRE CRIVELARI/ALEXANDRE"/>
    <s v="Lemontech"/>
    <s v="Lemontech"/>
    <d v="2026-07-02T00:00:00"/>
    <n v="19590717"/>
    <s v="-"/>
    <s v="ON LINE"/>
    <s v="Cartão de crédito"/>
    <s v="Cartão de crédito"/>
    <x v="1"/>
    <s v="N"/>
    <x v="46"/>
    <s v="Biolab Centro Administrativo - Escritorio"/>
    <s v="-"/>
    <s v="-"/>
    <s v="-"/>
    <x v="39"/>
    <s v="-"/>
    <x v="230"/>
    <n v="0"/>
    <n v="0"/>
    <n v="0"/>
    <n v="0"/>
    <n v="41.91"/>
    <n v="0"/>
    <s v="Reserva importada do Sistema Lemontech. Solicitação: 19590717"/>
    <s v="Fornecedor não preenchido! (ACC01)"/>
    <x v="5"/>
    <x v="1"/>
    <s v="Campo Fornecedor"/>
    <x v="0"/>
    <s v="Qualidade dos dados"/>
    <s v="KONTIK BUSINESS TRAVEL"/>
    <x v="4"/>
  </r>
  <r>
    <n v="24835372"/>
    <n v="25672131"/>
    <s v="ACC01"/>
    <x v="260"/>
    <d v="2026-06-29T11:08:15"/>
    <x v="6"/>
    <x v="4"/>
    <s v="6QB1R5"/>
    <s v="LEMONTECH"/>
    <s v="OLIVEIRA CAMPOS/LUCAS"/>
    <s v="Isabela de Melo da Silva"/>
    <s v="Isabela de Melo da Silva"/>
    <d v="2026-06-29T09:25:00"/>
    <n v="19562324"/>
    <s v="AVENIDA DOUTOR TIMOTEO PENTEADO , 3575  - VILA GALVAO"/>
    <s v="ON LINE"/>
    <s v="Invoice"/>
    <s v="Faturado"/>
    <x v="2"/>
    <s v="N"/>
    <x v="46"/>
    <s v="Biolab Centro Administrativo - Escritorio"/>
    <s v="-"/>
    <s v="-"/>
    <s v="-"/>
    <x v="39"/>
    <s v="-"/>
    <x v="231"/>
    <n v="83.23"/>
    <n v="347.24"/>
    <n v="0"/>
    <n v="0"/>
    <n v="0"/>
    <n v="0"/>
    <s v="Reserva importada do Sistema Lemontech. Solicitação: 19562324"/>
    <s v="Fornecedor não preenchido! (ACC01)"/>
    <x v="5"/>
    <x v="1"/>
    <s v="Campo Fornecedor"/>
    <x v="0"/>
    <s v="Qualidade dos dados"/>
    <s v="KONTIK BUSINESS TRAVEL"/>
    <x v="4"/>
  </r>
  <r>
    <n v="24847294"/>
    <n v="25683729"/>
    <s v="ACC01"/>
    <x v="261"/>
    <d v="2026-07-01T10:06:52"/>
    <x v="1"/>
    <x v="5"/>
    <s v="6RU31M"/>
    <s v="LEMONTECH"/>
    <s v="CORDEIRO ASSUNCAO/SILVIA"/>
    <s v="Isabela de Melo da Silva"/>
    <s v="Isabela de Melo da Silva"/>
    <d v="2026-06-25T20:34:00"/>
    <n v="19549597"/>
    <s v="  SETE DE SETEMBRO, 2950, CENTRO "/>
    <s v="ON LINE"/>
    <s v="Invoice"/>
    <s v="Faturado"/>
    <x v="2"/>
    <s v="N"/>
    <x v="46"/>
    <s v="Biolab Centro Administrativo - Escritorio"/>
    <s v="-"/>
    <s v="-"/>
    <s v="-"/>
    <x v="39"/>
    <s v="-"/>
    <x v="232"/>
    <n v="115.07"/>
    <n v="211.6"/>
    <n v="0"/>
    <n v="0"/>
    <n v="0"/>
    <n v="0"/>
    <s v="Reserva importada do Sistema Lemontech. Solicitação: 19549597"/>
    <s v="Fornecedor não preenchido! (ACC01)"/>
    <x v="5"/>
    <x v="1"/>
    <s v="Campo Fornecedor"/>
    <x v="0"/>
    <s v="Qualidade dos dados"/>
    <s v="KONTIK BUSINESS TRAVEL"/>
    <x v="4"/>
  </r>
  <r>
    <n v="24845021"/>
    <n v="25681419"/>
    <s v="ACC01"/>
    <x v="262"/>
    <d v="2026-06-30T20:06:46"/>
    <x v="6"/>
    <x v="4"/>
    <s v="6QJ7F9"/>
    <s v="LEMONTECH"/>
    <s v="MARANGON JR/ALDO"/>
    <s v="Lemontech"/>
    <s v="Lemontech"/>
    <d v="2026-06-30T00:00:00"/>
    <n v="19578510"/>
    <s v="-"/>
    <s v="ON LINE"/>
    <s v="Cartão de crédito"/>
    <s v="Cartão de crédito"/>
    <x v="1"/>
    <s v="N"/>
    <x v="46"/>
    <s v="Biolab Centro Administrativo - Escritorio"/>
    <s v="-"/>
    <s v="-"/>
    <s v="-"/>
    <x v="39"/>
    <s v="-"/>
    <x v="233"/>
    <n v="0"/>
    <n v="0"/>
    <n v="0"/>
    <n v="0"/>
    <n v="0"/>
    <n v="0"/>
    <s v="Reserva importada do Sistema Lemontech. Solicitação: 19578510"/>
    <s v="Fornecedor não preenchido! (ACC01)"/>
    <x v="5"/>
    <x v="1"/>
    <s v="Campo Fornecedor"/>
    <x v="0"/>
    <s v="Qualidade dos dados"/>
    <s v="KONTIK BUSINESS TRAVEL"/>
    <x v="4"/>
  </r>
  <r>
    <n v="24837186"/>
    <n v="25673831"/>
    <s v="ACC01"/>
    <x v="263"/>
    <d v="2026-06-29T17:24:08"/>
    <x v="6"/>
    <x v="4"/>
    <s v="6QJQ1Y"/>
    <s v="TMS"/>
    <s v="ALICE DA ROCHA"/>
    <s v="Nataly Franca Regal de Castro"/>
    <s v="Nataly Franca Regal de Castro"/>
    <d v="2026-06-29T12:38:00"/>
    <n v="114103"/>
    <s v="-"/>
    <s v="OFF LINE"/>
    <s v="Invoice"/>
    <s v="Faturado"/>
    <x v="3"/>
    <s v="N"/>
    <x v="5"/>
    <s v="Oceanpact Servicos Maritimos"/>
    <s v="-"/>
    <s v="-"/>
    <s v="-"/>
    <x v="5"/>
    <s v="-"/>
    <x v="234"/>
    <n v="0"/>
    <n v="0"/>
    <n v="0"/>
    <n v="0"/>
    <n v="0"/>
    <n v="0"/>
    <s v="Reserva importada do Sistema TMS. OS: 114103"/>
    <s v="Fornecedor não preenchido! (ACC01)"/>
    <x v="0"/>
    <x v="1"/>
    <s v="Campo Fornecedor"/>
    <x v="0"/>
    <s v="Qualidade dos dados"/>
    <s v="KONTIK BUSINESS TRAVEL"/>
    <x v="4"/>
  </r>
  <r>
    <n v="24852240"/>
    <n v="25689556"/>
    <s v="ACC01"/>
    <x v="264"/>
    <d v="2026-07-01T23:26:36"/>
    <x v="1"/>
    <x v="5"/>
    <s v="6R8QTZ"/>
    <s v="TMS"/>
    <s v="ROGERIO LIMA"/>
    <s v="Nataly Franca Regal de Castro"/>
    <s v="Nataly Franca Regal de Castro"/>
    <d v="2026-07-01T16:44:00"/>
    <n v="118363"/>
    <s v="-"/>
    <s v="OFF LINE"/>
    <s v="Invoice"/>
    <s v="Faturado"/>
    <x v="3"/>
    <s v="N"/>
    <x v="5"/>
    <s v="Oceanpact Servicos Maritimos"/>
    <s v="-"/>
    <s v="-"/>
    <s v="-"/>
    <x v="5"/>
    <s v="-"/>
    <x v="124"/>
    <n v="0"/>
    <n v="0"/>
    <n v="0"/>
    <n v="0"/>
    <n v="0"/>
    <n v="0"/>
    <s v="Reserva importada do Sistema TMS. OS: 118363"/>
    <s v="Fornecedor não preenchido! (ACC01)"/>
    <x v="0"/>
    <x v="1"/>
    <s v="Campo Fornecedor"/>
    <x v="0"/>
    <s v="Qualidade dos dados"/>
    <s v="KONTIK BUSINESS TRAVEL"/>
    <x v="4"/>
  </r>
  <r>
    <n v="24852244"/>
    <n v="25689563"/>
    <s v="ACC01"/>
    <x v="265"/>
    <d v="2026-07-01T23:26:36"/>
    <x v="1"/>
    <x v="5"/>
    <s v="6RWS51"/>
    <s v="TMS"/>
    <s v="ROMULO PASSOS SILVA"/>
    <s v="Leandra Vitória Gomes Santos"/>
    <s v="Leandra Vitória Gomes Santos"/>
    <d v="2026-07-01T17:13:00"/>
    <n v="118336"/>
    <s v="-"/>
    <s v="OFF LINE"/>
    <s v="Invoice"/>
    <s v="Faturado"/>
    <x v="3"/>
    <s v="N"/>
    <x v="5"/>
    <s v="Oceanpact Servicos Maritimos"/>
    <s v="-"/>
    <s v="-"/>
    <s v="-"/>
    <x v="5"/>
    <s v="-"/>
    <x v="235"/>
    <n v="0"/>
    <n v="0"/>
    <n v="0"/>
    <n v="0"/>
    <n v="0"/>
    <n v="0"/>
    <s v="Reserva importada do Sistema TMS. OS: 118336"/>
    <s v="Fornecedor não preenchido! (ACC01)"/>
    <x v="0"/>
    <x v="1"/>
    <s v="Campo Fornecedor"/>
    <x v="0"/>
    <s v="Qualidade dos dados"/>
    <s v="KONTIK BUSINESS TRAVEL"/>
    <x v="4"/>
  </r>
  <r>
    <n v="24856821"/>
    <n v="25694787"/>
    <s v="ACC01"/>
    <x v="266"/>
    <d v="2026-07-02T18:51:25"/>
    <x v="1"/>
    <x v="5"/>
    <s v="6R4S6S"/>
    <s v="TMS"/>
    <s v="LEANDRO BEZERRA SALES"/>
    <s v="BIANCA BARBOSA DA SILVA"/>
    <s v="BIANCA BARBOSA DA SILVA"/>
    <d v="2026-07-02T10:55:00"/>
    <n v="118427"/>
    <s v="-"/>
    <s v="OFF LINE"/>
    <s v="Invoice"/>
    <s v="Faturado"/>
    <x v="3"/>
    <s v="N"/>
    <x v="5"/>
    <s v="Oceanpact Servicos Maritimos"/>
    <s v="-"/>
    <s v="-"/>
    <s v="-"/>
    <x v="5"/>
    <s v="-"/>
    <x v="235"/>
    <n v="0"/>
    <n v="0"/>
    <n v="0"/>
    <n v="0"/>
    <n v="0"/>
    <n v="0"/>
    <s v="Reserva importada do Sistema TMS. OS: 118427"/>
    <s v="Fornecedor não preenchido! (ACC01)"/>
    <x v="0"/>
    <x v="1"/>
    <s v="Campo Fornecedor"/>
    <x v="0"/>
    <s v="Qualidade dos dados"/>
    <s v="KONTIK BUSINESS TRAVEL"/>
    <x v="4"/>
  </r>
  <r>
    <n v="24852214"/>
    <n v="25689526"/>
    <s v="ACC01"/>
    <x v="267"/>
    <d v="2026-07-01T23:25:48"/>
    <x v="1"/>
    <x v="5"/>
    <s v="6R3PT1"/>
    <s v="TMS"/>
    <s v="JONAS DOS SANTOS"/>
    <s v="Tms"/>
    <s v="Tms"/>
    <d v="2026-07-01T17:21:00"/>
    <n v="118396"/>
    <s v="Rio de Janeiro / SDU"/>
    <s v="ON LINE"/>
    <s v="Invoice"/>
    <s v="Faturado"/>
    <x v="2"/>
    <s v="N"/>
    <x v="5"/>
    <s v="Oceanpact Logistica"/>
    <s v="-"/>
    <s v="-"/>
    <s v="-"/>
    <x v="5"/>
    <s v="-"/>
    <x v="236"/>
    <n v="0"/>
    <n v="0"/>
    <n v="0"/>
    <n v="0"/>
    <n v="0"/>
    <n v="0"/>
    <s v="Reserva importada do Sistema TMS. OS: 118396"/>
    <s v="Fornecedor não preenchido! (ACC01)"/>
    <x v="0"/>
    <x v="1"/>
    <s v="Campo Fornecedor"/>
    <x v="0"/>
    <s v="Qualidade dos dados"/>
    <s v="KONTIK BUSINESS TRAVEL"/>
    <x v="4"/>
  </r>
  <r>
    <n v="24845983"/>
    <n v="25682450"/>
    <s v="ACC01"/>
    <x v="268"/>
    <d v="2026-06-30T22:56:00"/>
    <x v="6"/>
    <x v="4"/>
    <s v="6Q5G79"/>
    <s v="TMS"/>
    <s v="FABIANO GIARETTA"/>
    <s v="Tms"/>
    <s v="Tms"/>
    <d v="2026-06-30T17:05:00"/>
    <n v="8009"/>
    <s v="Dourados / DOU"/>
    <s v="ON LINE"/>
    <s v="Invoice"/>
    <s v="Faturado"/>
    <x v="2"/>
    <s v="N"/>
    <x v="65"/>
    <s v="Hpe Automotores - Sao Paulo"/>
    <s v="-"/>
    <s v="-"/>
    <s v="-"/>
    <x v="2"/>
    <s v="-"/>
    <x v="237"/>
    <n v="0"/>
    <n v="0"/>
    <n v="0"/>
    <n v="0"/>
    <n v="0"/>
    <n v="0"/>
    <s v="Reserva importada do Sistema TMS. OS: 8009"/>
    <s v="Fornecedor não preenchido! (ACC01)"/>
    <x v="0"/>
    <x v="1"/>
    <s v="Campo Fornecedor"/>
    <x v="0"/>
    <s v="Qualidade dos dados"/>
    <s v="KONTIK BUSINESS TRAVEL"/>
    <x v="4"/>
  </r>
  <r>
    <n v="24860406"/>
    <n v="25698997"/>
    <s v="ACC01"/>
    <x v="269"/>
    <d v="2026-07-03T10:15:55"/>
    <x v="1"/>
    <x v="5"/>
    <n v="23523635"/>
    <s v="GOVER"/>
    <s v="Flavio Teixeira Neto"/>
    <s v="Gover"/>
    <s v="Gover"/>
    <d v="2026-06-30T13:24:00"/>
    <n v="4716540"/>
    <s v="-"/>
    <s v="ON LINE"/>
    <s v="Cartão de crédito"/>
    <s v="Cartão de crédito"/>
    <x v="1"/>
    <s v="N"/>
    <x v="25"/>
    <s v="Arcadis"/>
    <s v="-"/>
    <s v="-"/>
    <s v="-"/>
    <x v="23"/>
    <s v="-"/>
    <x v="124"/>
    <n v="0"/>
    <n v="0"/>
    <n v="0"/>
    <n v="0"/>
    <n v="0"/>
    <n v="0"/>
    <s v="Reserva importada do sistema Gover. Id: 4716540"/>
    <s v="Fornecedor não preenchido! (ACC01)"/>
    <x v="3"/>
    <x v="1"/>
    <s v="Campo Fornecedor"/>
    <x v="0"/>
    <s v="Sistêmico"/>
    <s v="GRUPO KONTIK"/>
    <x v="1"/>
  </r>
  <r>
    <n v="24852073"/>
    <n v="25689379"/>
    <s v="ACC01"/>
    <x v="270"/>
    <d v="2026-07-01T23:12:04"/>
    <x v="1"/>
    <x v="5"/>
    <s v="6R344Q"/>
    <s v="TMS"/>
    <s v="RODRIGO GALDINO"/>
    <s v="Tms"/>
    <s v="Tms"/>
    <d v="2026-07-01T17:01:00"/>
    <n v="6518"/>
    <s v="Belo Horizonte / CNF"/>
    <s v="ON LINE"/>
    <s v="Invoice"/>
    <s v="Faturado"/>
    <x v="2"/>
    <s v="N"/>
    <x v="66"/>
    <s v="Epson"/>
    <s v="-"/>
    <s v="-"/>
    <s v="-"/>
    <x v="2"/>
    <s v="-"/>
    <x v="238"/>
    <n v="0"/>
    <n v="0"/>
    <n v="0"/>
    <n v="0"/>
    <n v="0"/>
    <n v="0"/>
    <s v="Reserva importada do Sistema TMS. OS: 6518"/>
    <s v="Fornecedor não preenchido! (ACC01)"/>
    <x v="0"/>
    <x v="1"/>
    <s v="Campo Fornecedor"/>
    <x v="0"/>
    <s v="Qualidade dos dados"/>
    <s v="KONTIK BUSINESS TRAVEL"/>
    <x v="4"/>
  </r>
  <r>
    <n v="24862064"/>
    <n v="25700979"/>
    <s v="ACC01"/>
    <x v="271"/>
    <d v="2026-07-03T14:33:17"/>
    <x v="1"/>
    <x v="5"/>
    <s v="EZEMYBT"/>
    <s v="SABRE"/>
    <s v="PIRES FREIRE/ISADORA"/>
    <s v="MARIA CECILIA PEREIRA SILVA"/>
    <s v="MARIA CECILIA PEREIRA SILVA"/>
    <d v="2026-06-30T13:54:00"/>
    <s v="EZEMYB"/>
    <s v="-"/>
    <s v="ON LINE"/>
    <s v="Cartão de crédito"/>
    <s v="Cartão de crédito"/>
    <x v="1"/>
    <s v="N"/>
    <x v="16"/>
    <s v="Livanova Brasil"/>
    <s v="-"/>
    <s v="-"/>
    <s v="-"/>
    <x v="3"/>
    <s v="-"/>
    <x v="8"/>
    <n v="0"/>
    <n v="0"/>
    <n v="0"/>
    <n v="0"/>
    <n v="0"/>
    <n v="0"/>
    <s v="Reserva importada por HubTravel"/>
    <s v="Centro de custo não preenchido! (ACC01)"/>
    <x v="1"/>
    <x v="17"/>
    <s v="Falta de informação Gerencial"/>
    <x v="0"/>
    <s v="Qualidade dos dados"/>
    <s v="KONTIK BUSINESS TRAVEL"/>
    <x v="2"/>
  </r>
  <r>
    <n v="24861374"/>
    <n v="25700170"/>
    <s v="ACC02"/>
    <x v="272"/>
    <d v="2026-07-03T12:26:20"/>
    <x v="1"/>
    <x v="5"/>
    <s v="LPPJIVT"/>
    <s v="SABRE"/>
    <s v="PACHECO/FLAVIO"/>
    <s v="CT"/>
    <s v="CT"/>
    <d v="2026-07-03T09:16:00"/>
    <s v="LPPJIV"/>
    <s v="-"/>
    <s v="ON LINE"/>
    <s v="Cartão de crédito"/>
    <s v="Cartão de crédito"/>
    <x v="1"/>
    <s v="N"/>
    <x v="16"/>
    <s v="Livanova Brasil"/>
    <s v="-"/>
    <s v="-"/>
    <s v="-"/>
    <x v="3"/>
    <s v="-"/>
    <x v="239"/>
    <n v="84"/>
    <n v="0"/>
    <n v="0"/>
    <n v="0"/>
    <n v="0"/>
    <n v="0"/>
    <s v="Reserva importada por HubTravel"/>
    <s v="Fornecedor não preenchido! (ACC02)"/>
    <x v="1"/>
    <x v="1"/>
    <s v="Campo Fornecedor"/>
    <x v="0"/>
    <s v="Sistêmico"/>
    <s v="GRUPO KONTIK"/>
    <x v="1"/>
  </r>
  <r>
    <n v="24861377"/>
    <n v="25700176"/>
    <s v="ACC01"/>
    <x v="273"/>
    <d v="2026-07-03T12:26:22"/>
    <x v="1"/>
    <x v="5"/>
    <s v="NFZPEWC"/>
    <s v="SABRE"/>
    <s v="KIMURA SHIMURA/LILIAN YUKIKO MRS"/>
    <s v="CT"/>
    <s v="CT"/>
    <d v="2026-07-03T09:20:00"/>
    <s v="NFZPEW"/>
    <s v="PVH"/>
    <s v="ON LINE"/>
    <s v="Invoice"/>
    <s v="Faturado"/>
    <x v="2"/>
    <s v="N"/>
    <x v="16"/>
    <s v="Livanova Brasil"/>
    <s v="-"/>
    <s v="-"/>
    <s v="-"/>
    <x v="3"/>
    <s v="-"/>
    <x v="240"/>
    <n v="393.76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837386"/>
    <n v="25674046"/>
    <s v="ACC01"/>
    <x v="274"/>
    <d v="2026-06-29T17:52:45"/>
    <x v="6"/>
    <x v="4"/>
    <s v="6Q16WH"/>
    <s v="TMS"/>
    <s v="WANDERLEI FERNANDO BRUNHOLI"/>
    <s v="Tms"/>
    <s v="Tms"/>
    <d v="2026-06-29T13:11:00"/>
    <n v="44873"/>
    <s v="Presidente Prudente / PPB"/>
    <s v="ON LINE"/>
    <s v="Invoice"/>
    <s v="Faturado"/>
    <x v="2"/>
    <s v="N"/>
    <x v="44"/>
    <s v="Pagseguro Internet Instituicao de Pagamento S.a."/>
    <s v="-"/>
    <s v="-"/>
    <s v="-"/>
    <x v="37"/>
    <s v="-"/>
    <x v="241"/>
    <n v="0"/>
    <n v="0"/>
    <n v="0"/>
    <n v="0"/>
    <n v="0"/>
    <n v="0"/>
    <s v="Reserva importada do Sistema TMS. OS: 44873"/>
    <s v="Fornecedor não preenchido! (ACC01)"/>
    <x v="0"/>
    <x v="1"/>
    <s v="Campo Fornecedor"/>
    <x v="0"/>
    <s v="Qualidade dos dados"/>
    <s v="KONTIK BUSINESS TRAVEL"/>
    <x v="4"/>
  </r>
  <r>
    <n v="24862042"/>
    <n v="25700953"/>
    <s v="ACC01"/>
    <x v="275"/>
    <d v="2026-07-04T03:26:50"/>
    <x v="2"/>
    <x v="5"/>
    <n v="23564347"/>
    <s v="GOVER"/>
    <s v="Eder Machado Galvao"/>
    <s v="Gover"/>
    <s v="Gover"/>
    <d v="2026-07-02T15:55:00"/>
    <n v="4717990"/>
    <s v="-"/>
    <s v="OFF LINE"/>
    <s v="Cartão de crédito"/>
    <s v="Cartão de crédito"/>
    <x v="1"/>
    <s v="N"/>
    <x v="26"/>
    <s v="Bat | Souza Cruz - Matriz"/>
    <s v="-"/>
    <s v="-"/>
    <s v="-"/>
    <x v="24"/>
    <s v="-"/>
    <x v="242"/>
    <n v="0"/>
    <n v="0"/>
    <n v="0"/>
    <n v="0"/>
    <n v="0"/>
    <n v="0"/>
    <s v="Reserva importada do sistema Gover. Id: 4717990"/>
    <s v="Fornecedor não preenchido! (ACC01)"/>
    <x v="3"/>
    <x v="1"/>
    <s v="Campo Fornecedor"/>
    <x v="0"/>
    <s v="Sistêmico"/>
    <s v="GRUPO KONTIK"/>
    <x v="1"/>
  </r>
  <r>
    <n v="24854574"/>
    <n v="25692200"/>
    <s v="ACC02"/>
    <x v="276"/>
    <d v="2026-07-03T10:00:50"/>
    <x v="1"/>
    <x v="5"/>
    <s v="h4716838a"/>
    <s v="GOVER"/>
    <s v="Euton Ribeiro de Franca Junior"/>
    <s v="Gover"/>
    <s v="Gover"/>
    <d v="2026-07-02T11:53:00"/>
    <n v="4716838"/>
    <s v="-"/>
    <s v="OFF LINE"/>
    <s v="Invoice"/>
    <s v="Faturado"/>
    <x v="1"/>
    <s v="N"/>
    <x v="26"/>
    <s v="Bat | Souza Cruz - Matriz"/>
    <s v="-"/>
    <s v="-"/>
    <s v="-"/>
    <x v="24"/>
    <s v="-"/>
    <x v="243"/>
    <n v="0"/>
    <n v="0"/>
    <n v="0"/>
    <n v="0"/>
    <n v="0"/>
    <n v="0"/>
    <s v="Reserva importada do sistema Gover. Id: 4716838"/>
    <s v="Fornecedor não preenchido! (ACC02)"/>
    <x v="3"/>
    <x v="1"/>
    <s v="Campo Fornecedor"/>
    <x v="0"/>
    <s v="Sistêmico"/>
    <s v="GRUPO KONTIK"/>
    <x v="1"/>
  </r>
  <r>
    <n v="24854574"/>
    <n v="25692201"/>
    <s v="ACC03"/>
    <x v="276"/>
    <d v="2026-07-03T10:00:50"/>
    <x v="1"/>
    <x v="5"/>
    <s v="h4716838a"/>
    <s v="GOVER"/>
    <s v="Wanderson Gama da Silva"/>
    <s v="Gover"/>
    <s v="Gover"/>
    <d v="2026-07-02T11:53:00"/>
    <n v="4716838"/>
    <s v="-"/>
    <s v="OFF LINE"/>
    <s v="Invoice"/>
    <s v="Faturado"/>
    <x v="1"/>
    <s v="N"/>
    <x v="26"/>
    <s v="Bat | Souza Cruz - Matriz"/>
    <s v="-"/>
    <s v="-"/>
    <s v="-"/>
    <x v="24"/>
    <s v="-"/>
    <x v="243"/>
    <n v="0"/>
    <n v="0"/>
    <n v="0"/>
    <n v="0"/>
    <n v="0"/>
    <n v="0"/>
    <s v="Reserva importada do sistema Gover. Id: 4716838"/>
    <s v="Fornecedor não preenchido! (ACC02)"/>
    <x v="3"/>
    <x v="1"/>
    <s v="Campo Fornecedor"/>
    <x v="0"/>
    <s v="Sistêmico"/>
    <s v="GRUPO KONTIK"/>
    <x v="1"/>
  </r>
  <r>
    <n v="24861376"/>
    <n v="25700174"/>
    <s v="ACC02"/>
    <x v="277"/>
    <d v="2026-07-03T12:26:21"/>
    <x v="1"/>
    <x v="5"/>
    <s v="NFZPEWT"/>
    <s v="SABRE"/>
    <s v="KIMURA SHIMURA/LILIAN YUKIKO MRS"/>
    <s v="CT"/>
    <s v="CT"/>
    <d v="2026-07-03T09:20:00"/>
    <s v="NFZPEW"/>
    <s v="-"/>
    <s v="ON LINE"/>
    <s v="Cartão de crédito"/>
    <s v="Cartão de crédito"/>
    <x v="1"/>
    <s v="N"/>
    <x v="16"/>
    <s v="Livanova Brasil"/>
    <s v="-"/>
    <s v="-"/>
    <s v="-"/>
    <x v="3"/>
    <s v="-"/>
    <x v="239"/>
    <n v="84"/>
    <n v="0"/>
    <n v="0"/>
    <n v="0"/>
    <n v="0"/>
    <n v="0"/>
    <s v="Reserva importada por HubTravel"/>
    <s v="Fornecedor não preenchido! (ACC02)"/>
    <x v="1"/>
    <x v="1"/>
    <s v="Campo Fornecedor"/>
    <x v="0"/>
    <s v="Sistêmico"/>
    <s v="GRUPO KONTIK"/>
    <x v="1"/>
  </r>
  <r>
    <n v="24838187"/>
    <n v="25674931"/>
    <s v="ACC02"/>
    <x v="278"/>
    <d v="2026-07-03T09:59:01"/>
    <x v="1"/>
    <x v="4"/>
    <s v="h4715519a"/>
    <s v="GOVER"/>
    <s v="Mauricio Gabriel Souza Heinen"/>
    <s v="Gover"/>
    <s v="Gover"/>
    <d v="2026-06-29T18:41:00"/>
    <n v="4715519"/>
    <s v="-"/>
    <s v="OFF LINE"/>
    <s v="Cartão de crédito"/>
    <s v="Cartão de crédito"/>
    <x v="1"/>
    <s v="N"/>
    <x v="26"/>
    <s v="Bat | Souza Cruz - Matriz"/>
    <s v="-"/>
    <s v="-"/>
    <s v="-"/>
    <x v="24"/>
    <s v="-"/>
    <x v="63"/>
    <n v="0"/>
    <n v="0"/>
    <n v="0"/>
    <n v="0"/>
    <n v="0"/>
    <n v="0"/>
    <s v="Reserva importada do sistema Gover. Id: 4715519"/>
    <s v="Fornecedor não preenchido! (ACC02)"/>
    <x v="3"/>
    <x v="1"/>
    <s v="Campo Fornecedor"/>
    <x v="0"/>
    <s v="Sistêmico"/>
    <s v="GRUPO KONTIK"/>
    <x v="1"/>
  </r>
  <r>
    <n v="24860343"/>
    <n v="25698923"/>
    <s v="ACC01"/>
    <x v="279"/>
    <d v="2026-07-03T10:12:18"/>
    <x v="1"/>
    <x v="5"/>
    <n v="23571436"/>
    <s v="WOOBA"/>
    <s v="DOS REIS CALDERIM/CHARLY WASHINGTON"/>
    <s v="Fabiane de Souza Mantovani"/>
    <s v="Fabiane de Souza Mantovani"/>
    <d v="2026-07-03T09:41:00"/>
    <s v="-"/>
    <s v="-"/>
    <s v="OFF LINE"/>
    <s v="?"/>
    <s v="?"/>
    <x v="1"/>
    <s v="N"/>
    <x v="45"/>
    <s v="Constellation"/>
    <s v="-"/>
    <s v="-"/>
    <s v="-"/>
    <x v="38"/>
    <s v="-"/>
    <x v="244"/>
    <n v="0"/>
    <n v="0"/>
    <n v="0"/>
    <n v="0"/>
    <n v="30.55"/>
    <n v="0"/>
    <s v="Reserva importada do Sistema WOOBA. Id: 13790"/>
    <s v="Centro de custo não preenchido! (ACC01) Requisição não preenchida! (ACC01)"/>
    <x v="6"/>
    <x v="5"/>
    <s v="Falta de informação Gerencial"/>
    <x v="0"/>
    <s v="Qualidade dos dados"/>
    <s v="KONTIK BUSINESS TRAVEL"/>
    <x v="3"/>
  </r>
  <r>
    <n v="24860344"/>
    <n v="25698924"/>
    <s v="ACC01"/>
    <x v="280"/>
    <d v="2026-07-03T10:12:18"/>
    <x v="1"/>
    <x v="5"/>
    <n v="23571525"/>
    <s v="WOOBA"/>
    <s v="FRAGA GODOY/VALBER"/>
    <s v="Fabiane de Souza Mantovani"/>
    <s v="Fabiane de Souza Mantovani"/>
    <d v="2026-07-03T09:43:00"/>
    <s v="-"/>
    <s v="-"/>
    <s v="OFF LINE"/>
    <s v="?"/>
    <s v="?"/>
    <x v="1"/>
    <s v="N"/>
    <x v="45"/>
    <s v="Constellation"/>
    <s v="-"/>
    <s v="-"/>
    <s v="-"/>
    <x v="38"/>
    <s v="-"/>
    <x v="244"/>
    <n v="0"/>
    <n v="0"/>
    <n v="0"/>
    <n v="0"/>
    <n v="30.55"/>
    <n v="0"/>
    <s v="Reserva importada do Sistema WOOBA. Id: 13791"/>
    <s v="Centro de custo não preenchido! (ACC01) Requisição não preenchida! (ACC01)"/>
    <x v="6"/>
    <x v="5"/>
    <s v="Falta de informação Gerencial"/>
    <x v="0"/>
    <s v="Qualidade dos dados"/>
    <s v="KONTIK BUSINESS TRAVEL"/>
    <x v="3"/>
  </r>
  <r>
    <n v="24853504"/>
    <n v="25690986"/>
    <s v="ACC01"/>
    <x v="281"/>
    <d v="2026-07-02T09:54:11"/>
    <x v="1"/>
    <x v="5"/>
    <n v="23553743"/>
    <s v="WOOBA"/>
    <s v="DE MORAES/ELIO MASLOWSKI"/>
    <s v="Fabiane de Souza Mantovani"/>
    <s v="Fabiane de Souza Mantovani"/>
    <d v="2026-07-02T09:29:00"/>
    <s v="-"/>
    <s v="-"/>
    <s v="OFF LINE"/>
    <s v="?"/>
    <s v="?"/>
    <x v="1"/>
    <s v="N"/>
    <x v="45"/>
    <s v="Constellation"/>
    <s v="-"/>
    <s v="-"/>
    <s v="-"/>
    <x v="38"/>
    <s v="-"/>
    <x v="245"/>
    <n v="0"/>
    <n v="0"/>
    <n v="0"/>
    <n v="0"/>
    <n v="156.97"/>
    <n v="0"/>
    <s v="Reserva importada do Sistema WOOBA. Id: 13714"/>
    <s v="Centro de custo não preenchido! (ACC01) Requisição não preenchida! (ACC01)"/>
    <x v="6"/>
    <x v="5"/>
    <s v="Falta de informação Gerencial"/>
    <x v="0"/>
    <s v="Qualidade dos dados"/>
    <s v="KONTIK BUSINESS TRAVEL"/>
    <x v="3"/>
  </r>
  <r>
    <n v="24857056"/>
    <n v="25695032"/>
    <s v="ACC01"/>
    <x v="282"/>
    <d v="2026-07-02T17:51:16"/>
    <x v="1"/>
    <x v="5"/>
    <n v="23566997"/>
    <s v="WOOBA"/>
    <s v="FARIAS/MARCUS"/>
    <s v="Fabiane de Souza Mantovani"/>
    <s v="Fabiane de Souza Mantovani"/>
    <d v="2026-07-02T17:43:00"/>
    <s v="-"/>
    <s v="-"/>
    <s v="OFF LINE"/>
    <s v="?"/>
    <s v="?"/>
    <x v="1"/>
    <s v="N"/>
    <x v="45"/>
    <s v="Constellation"/>
    <s v="-"/>
    <s v="-"/>
    <s v="-"/>
    <x v="38"/>
    <s v="-"/>
    <x v="246"/>
    <n v="0"/>
    <n v="0"/>
    <n v="0"/>
    <n v="0"/>
    <n v="11.21"/>
    <n v="0"/>
    <s v="Reserva importada do Sistema WOOBA. Id: 13775"/>
    <s v="Centro de custo não preenchido! (ACC01) Requisição não preenchida! (ACC01)"/>
    <x v="6"/>
    <x v="5"/>
    <s v="Falta de informação Gerencial"/>
    <x v="0"/>
    <s v="Qualidade dos dados"/>
    <s v="KONTIK BUSINESS TRAVEL"/>
    <x v="3"/>
  </r>
  <r>
    <n v="24847429"/>
    <n v="25683887"/>
    <s v="ACC02"/>
    <x v="283"/>
    <d v="2026-07-03T10:12:22"/>
    <x v="1"/>
    <x v="5"/>
    <s v="HPSCOMT"/>
    <s v="SABRE"/>
    <s v="WOITECHEN/ANDERSON"/>
    <s v="WU"/>
    <s v="WU"/>
    <d v="2026-06-29T07:30:00"/>
    <s v="HPSCOM"/>
    <s v="-"/>
    <s v="ON LINE"/>
    <s v="Pagamento direto"/>
    <s v="Pagamento direto"/>
    <x v="1"/>
    <s v="N"/>
    <x v="27"/>
    <s v="Grupo Casas Bahia S.a."/>
    <s v="-"/>
    <s v="-"/>
    <s v="-"/>
    <x v="25"/>
    <s v="-"/>
    <x v="247"/>
    <n v="0"/>
    <n v="0"/>
    <n v="0"/>
    <n v="0"/>
    <n v="0"/>
    <n v="0"/>
    <s v="Reserva importada por HubTravel"/>
    <s v="Fornecedor não preenchido! (ACC02)"/>
    <x v="1"/>
    <x v="1"/>
    <s v="Campo Fornecedor"/>
    <x v="0"/>
    <s v="Qualidade dos dados"/>
    <s v="KONTIK BUSINESS TRAVEL"/>
    <x v="3"/>
  </r>
  <r>
    <n v="24847429"/>
    <n v="25683888"/>
    <s v="ACC03"/>
    <x v="283"/>
    <d v="2026-07-03T10:12:22"/>
    <x v="1"/>
    <x v="5"/>
    <s v="HPSCOMT"/>
    <s v="SABRE"/>
    <s v="WOITECHEN/ANDERSON"/>
    <s v="WU"/>
    <s v="WU"/>
    <d v="2026-06-29T07:30:00"/>
    <s v="HPSCOM"/>
    <s v="-"/>
    <s v="ON LINE"/>
    <s v="Pagamento direto"/>
    <s v="Pagamento direto"/>
    <x v="1"/>
    <s v="N"/>
    <x v="27"/>
    <s v="Grupo Casas Bahia S.a."/>
    <s v="-"/>
    <s v="-"/>
    <s v="-"/>
    <x v="25"/>
    <s v="-"/>
    <x v="248"/>
    <n v="0"/>
    <n v="0"/>
    <n v="0"/>
    <n v="0"/>
    <n v="0"/>
    <n v="0"/>
    <s v="Reserva importada por HubTravel"/>
    <s v="Fornecedor não preenchido! (ACC02)"/>
    <x v="1"/>
    <x v="1"/>
    <s v="Campo Fornecedor"/>
    <x v="0"/>
    <s v="Qualidade dos dados"/>
    <s v="KONTIK BUSINESS TRAVEL"/>
    <x v="3"/>
  </r>
  <r>
    <n v="24847429"/>
    <n v="25683889"/>
    <s v="ACC04"/>
    <x v="283"/>
    <d v="2026-07-03T10:12:22"/>
    <x v="1"/>
    <x v="5"/>
    <s v="HPSCOMT"/>
    <s v="SABRE"/>
    <s v="WOITECHEN/ANDERSON"/>
    <s v="WU"/>
    <s v="WU"/>
    <d v="2026-06-29T07:30:00"/>
    <s v="HPSCOM"/>
    <s v="-"/>
    <s v="ON LINE"/>
    <s v="Pagamento direto"/>
    <s v="Pagamento direto"/>
    <x v="1"/>
    <s v="N"/>
    <x v="27"/>
    <s v="Grupo Casas Bahia S.a."/>
    <s v="-"/>
    <s v="-"/>
    <s v="-"/>
    <x v="25"/>
    <s v="-"/>
    <x v="249"/>
    <n v="0"/>
    <n v="0"/>
    <n v="0"/>
    <n v="0"/>
    <n v="0"/>
    <n v="0"/>
    <s v="Reserva importada por HubTravel"/>
    <s v="Fornecedor não preenchido! (ACC02)"/>
    <x v="1"/>
    <x v="1"/>
    <s v="Campo Fornecedor"/>
    <x v="0"/>
    <s v="Qualidade dos dados"/>
    <s v="KONTIK BUSINESS TRAVEL"/>
    <x v="3"/>
  </r>
  <r>
    <n v="24840162"/>
    <n v="25676662"/>
    <s v="ACC01"/>
    <x v="284"/>
    <d v="2026-07-06T01:15:42"/>
    <x v="2"/>
    <x v="4"/>
    <s v="6Q3637"/>
    <s v="TMS"/>
    <s v="EDLEA ASSUNCAO"/>
    <s v="Tms"/>
    <s v="Tms"/>
    <d v="2026-06-29T09:58:00"/>
    <n v="16870"/>
    <s v="-"/>
    <s v="OFF LINE"/>
    <s v="Invoice"/>
    <s v="Faturado"/>
    <x v="3"/>
    <s v="N"/>
    <x v="67"/>
    <s v="Bernoulli Sistema de Ensino - Belo Horizonte"/>
    <s v="-"/>
    <s v="-"/>
    <s v="-"/>
    <x v="52"/>
    <s v="-"/>
    <x v="250"/>
    <n v="8.6199999999999992"/>
    <n v="0"/>
    <n v="0"/>
    <n v="0"/>
    <n v="0"/>
    <n v="0"/>
    <s v="Reserva importada do Sistema TMS. OS: 16870"/>
    <s v="Fornecedor não preenchido! (ACC01)"/>
    <x v="0"/>
    <x v="1"/>
    <s v="Campo Fornecedor"/>
    <x v="0"/>
    <s v="Qualidade dos dados"/>
    <s v="KONTIK BUSINESS TRAVEL"/>
    <x v="4"/>
  </r>
  <r>
    <n v="24860812"/>
    <n v="25699514"/>
    <s v="ACC01"/>
    <x v="285"/>
    <d v="2026-07-03T11:33:18"/>
    <x v="1"/>
    <x v="5"/>
    <s v="6RFUVD"/>
    <s v="TMS"/>
    <s v="JORGE EDUARDO SANTOS"/>
    <s v="Tms"/>
    <s v="Tms"/>
    <d v="2026-07-03T09:38:00"/>
    <n v="17121"/>
    <s v="Belo Horizonte / CNF"/>
    <s v="ON LINE"/>
    <s v="Invoice"/>
    <s v="Faturado"/>
    <x v="2"/>
    <s v="N"/>
    <x v="67"/>
    <s v="Bernoulli Sistema de Ensino - Belo Horizonte"/>
    <s v="-"/>
    <s v="-"/>
    <s v="-"/>
    <x v="52"/>
    <s v="-"/>
    <x v="251"/>
    <n v="0"/>
    <n v="0"/>
    <n v="0"/>
    <n v="0"/>
    <n v="0"/>
    <n v="0"/>
    <s v="Reserva importada do Sistema TMS. OS: 17121"/>
    <s v="Fornecedor não preenchido! (ACC01)"/>
    <x v="0"/>
    <x v="1"/>
    <s v="Campo Fornecedor"/>
    <x v="0"/>
    <s v="Qualidade dos dados"/>
    <s v="KONTIK BUSINESS TRAVEL"/>
    <x v="4"/>
  </r>
  <r>
    <n v="24839202"/>
    <n v="25675959"/>
    <s v="ACC01"/>
    <x v="286"/>
    <d v="2026-06-29T22:32:51"/>
    <x v="6"/>
    <x v="4"/>
    <s v="6QHQLY"/>
    <s v="TMS"/>
    <s v="LUCAS CENCI ARAGAO"/>
    <s v="Tms"/>
    <s v="Tms"/>
    <d v="2026-06-29T16:56:00"/>
    <n v="68466"/>
    <s v="São Paulo / CGH"/>
    <s v="ON LINE"/>
    <s v="Invoice"/>
    <s v="Faturado"/>
    <x v="2"/>
    <s v="N"/>
    <x v="47"/>
    <s v="Motiva Filial"/>
    <s v="-"/>
    <s v="-"/>
    <s v="-"/>
    <x v="40"/>
    <s v="-"/>
    <x v="252"/>
    <n v="0"/>
    <n v="0"/>
    <n v="0"/>
    <n v="0"/>
    <n v="0"/>
    <n v="0"/>
    <s v="Reserva importada do Sistema TMS. OS: 68466"/>
    <s v="Fornecedor não preenchido! (ACC01)"/>
    <x v="0"/>
    <x v="1"/>
    <s v="Campo Fornecedor"/>
    <x v="0"/>
    <s v="Qualidade dos dados"/>
    <s v="KONTIK BUSINESS TRAVEL"/>
    <x v="4"/>
  </r>
  <r>
    <n v="24849742"/>
    <n v="25686504"/>
    <s v="ACC01"/>
    <x v="287"/>
    <d v="2026-07-01T17:32:44"/>
    <x v="1"/>
    <x v="5"/>
    <s v="6R7SN0"/>
    <s v="TMS"/>
    <s v="ALEXANDRE APOSTOLOPOULOS"/>
    <s v="Tms"/>
    <s v="Tms"/>
    <d v="2026-07-01T15:02:00"/>
    <n v="68713"/>
    <s v="Sao Bernardo do Campo / SBC"/>
    <s v="ON LINE"/>
    <s v="Invoice"/>
    <s v="Faturado"/>
    <x v="2"/>
    <s v="N"/>
    <x v="47"/>
    <s v="Motiva Filial"/>
    <s v="-"/>
    <s v="-"/>
    <s v="-"/>
    <x v="40"/>
    <s v="-"/>
    <x v="253"/>
    <n v="0"/>
    <n v="0"/>
    <n v="0"/>
    <n v="0"/>
    <n v="0"/>
    <n v="0"/>
    <s v="Reserva importada do Sistema TMS. OS: 68713"/>
    <s v="Fornecedor não preenchido! (ACC01)"/>
    <x v="0"/>
    <x v="1"/>
    <s v="Campo Fornecedor"/>
    <x v="0"/>
    <s v="Qualidade dos dados"/>
    <s v="KONTIK BUSINESS TRAVEL"/>
    <x v="4"/>
  </r>
  <r>
    <n v="24856633"/>
    <n v="25694587"/>
    <s v="ACC01"/>
    <x v="288"/>
    <d v="2026-07-02T18:21:04"/>
    <x v="1"/>
    <x v="5"/>
    <s v="6RAWGW"/>
    <s v="TMS"/>
    <s v="RICARDO BERCOT GALA"/>
    <s v="Tms"/>
    <s v="Tms"/>
    <d v="2026-07-02T12:27:00"/>
    <n v="68820"/>
    <s v="Belo Horizonte / CNF"/>
    <s v="ON LINE"/>
    <s v="Invoice"/>
    <s v="Faturado"/>
    <x v="2"/>
    <s v="N"/>
    <x v="47"/>
    <s v="Bloco Central"/>
    <s v="-"/>
    <s v="-"/>
    <s v="-"/>
    <x v="40"/>
    <s v="-"/>
    <x v="254"/>
    <n v="0"/>
    <n v="0"/>
    <n v="0"/>
    <n v="0"/>
    <n v="0"/>
    <n v="0"/>
    <s v="Reserva importada do Sistema TMS. OS: 68820"/>
    <s v="Fornecedor não preenchido! (ACC01)"/>
    <x v="0"/>
    <x v="1"/>
    <s v="Campo Fornecedor"/>
    <x v="0"/>
    <s v="Qualidade dos dados"/>
    <s v="KONTIK BUSINESS TRAVEL"/>
    <x v="4"/>
  </r>
  <r>
    <n v="24846297"/>
    <n v="25682784"/>
    <s v="ACC01"/>
    <x v="289"/>
    <d v="2026-06-30T23:38:22"/>
    <x v="6"/>
    <x v="4"/>
    <s v="6Q13NN"/>
    <s v="TMS"/>
    <s v="SILVANA SILVA"/>
    <s v="Tms"/>
    <s v="Tms"/>
    <d v="2026-06-30T18:46:00"/>
    <n v="4799"/>
    <s v="Rio de Janeiro / SDU"/>
    <s v="ON LINE"/>
    <s v="Invoice"/>
    <s v="Faturado"/>
    <x v="2"/>
    <s v="N"/>
    <x v="48"/>
    <s v="Banco Yamaha Motor do Brasil Sa Cj"/>
    <s v="-"/>
    <s v="-"/>
    <s v="-"/>
    <x v="41"/>
    <s v="-"/>
    <x v="255"/>
    <n v="0"/>
    <n v="0"/>
    <n v="0"/>
    <n v="0"/>
    <n v="0"/>
    <n v="0"/>
    <s v="Reserva importada do Sistema TMS. OS: 4799"/>
    <s v="Fornecedor não preenchido! (ACC01)"/>
    <x v="0"/>
    <x v="1"/>
    <s v="Campo Fornecedor"/>
    <x v="0"/>
    <s v="Qualidade dos dados"/>
    <s v="KONTIK BUSINESS TRAVEL"/>
    <x v="4"/>
  </r>
  <r>
    <n v="24837414"/>
    <n v="25674074"/>
    <s v="ACC01"/>
    <x v="290"/>
    <d v="2026-06-29T17:57:59"/>
    <x v="6"/>
    <x v="4"/>
    <s v="6Q8J26"/>
    <s v="TMS"/>
    <s v="JEFERSON BEU"/>
    <s v="Tms"/>
    <s v="Tms"/>
    <d v="2026-06-29T11:33:00"/>
    <n v="4706"/>
    <s v="-"/>
    <s v="ON LINE"/>
    <s v="Cartão de crédito"/>
    <s v="Faturado"/>
    <x v="1"/>
    <s v="N"/>
    <x v="48"/>
    <s v="Yamaha Motor da Amazonia Ltda - Inativo"/>
    <s v="-"/>
    <s v="-"/>
    <s v="-"/>
    <x v="41"/>
    <s v="-"/>
    <x v="256"/>
    <n v="0"/>
    <n v="0"/>
    <n v="0"/>
    <n v="0"/>
    <n v="0"/>
    <n v="0"/>
    <s v="Reserva importada do Sistema TMS. OS: 4706"/>
    <s v="Fornecedor não preenchido! (ACC01)"/>
    <x v="0"/>
    <x v="1"/>
    <s v="Campo Fornecedor"/>
    <x v="0"/>
    <s v="Sistêmico"/>
    <s v="GRUPO KONTIK"/>
    <x v="1"/>
  </r>
  <r>
    <n v="24835145"/>
    <n v="25671912"/>
    <s v="ACC01"/>
    <x v="291"/>
    <d v="2026-06-29T10:44:06"/>
    <x v="6"/>
    <x v="4"/>
    <s v="6Q51C5"/>
    <s v="TMS"/>
    <s v="ERIKA PIOVEZAN"/>
    <s v="BRUNA SPOSITO SOUSA DA SILVA"/>
    <s v="BRUNA SPOSITO SOUSA DA SILVA"/>
    <d v="2026-06-29T09:43:00"/>
    <n v="4573"/>
    <s v="Belo Horizonte / CNF"/>
    <s v="OFF LINE"/>
    <s v="Invoice"/>
    <s v="Faturado"/>
    <x v="2"/>
    <s v="N"/>
    <x v="48"/>
    <s v="Yamaha Motor do Brasil Ltda"/>
    <s v="-"/>
    <s v="-"/>
    <s v="-"/>
    <x v="41"/>
    <s v="-"/>
    <x v="257"/>
    <n v="0"/>
    <n v="81.14"/>
    <n v="0"/>
    <n v="0"/>
    <n v="0"/>
    <n v="0"/>
    <s v="Reserva importada do Sistema TMS. OS: 4573"/>
    <s v="Fornecedor não preenchido! (ACC01)"/>
    <x v="0"/>
    <x v="1"/>
    <s v="Campo Fornecedor"/>
    <x v="0"/>
    <s v="Qualidade dos dados"/>
    <s v="KONTIK BUSINESS TRAVEL"/>
    <x v="4"/>
  </r>
  <r>
    <n v="24861500"/>
    <n v="25700302"/>
    <s v="ACC01"/>
    <x v="292"/>
    <d v="2026-07-03T12:48:58"/>
    <x v="1"/>
    <x v="5"/>
    <s v="6RQGUC"/>
    <s v="TMS"/>
    <s v="EVANIA PEREIRA DA SILVA"/>
    <s v="CORA TORLAI CIRINO"/>
    <s v="CORA TORLAI CIRINO"/>
    <d v="2026-07-03T10:14:00"/>
    <n v="9627"/>
    <s v="Londrina / PR, Brasil (LDB)"/>
    <s v="OFF LINE"/>
    <s v="Pagamento direto"/>
    <s v="Pagamento direto"/>
    <x v="2"/>
    <s v="N"/>
    <x v="68"/>
    <s v="Syngenta Seeds"/>
    <s v="-"/>
    <s v="-"/>
    <s v="-"/>
    <x v="53"/>
    <s v="-"/>
    <x v="258"/>
    <n v="0"/>
    <n v="0"/>
    <n v="0"/>
    <n v="0"/>
    <n v="0"/>
    <n v="0"/>
    <s v="Reserva importada do Sistema TMS. OS: 9627"/>
    <s v="Fornecedor não preenchido! (ACC01)"/>
    <x v="0"/>
    <x v="1"/>
    <s v="Campo Fornecedor"/>
    <x v="0"/>
    <s v="Qualidade dos dados"/>
    <s v="KONTIK BUSINESS TRAVEL"/>
    <x v="4"/>
  </r>
  <r>
    <n v="24843742"/>
    <n v="25680065"/>
    <s v="ACC01"/>
    <x v="293"/>
    <d v="2026-06-30T18:32:55"/>
    <x v="6"/>
    <x v="4"/>
    <s v="6Q8HOI"/>
    <s v="TMS"/>
    <s v="ERIC TORRES"/>
    <s v="Cintya Cocco Figueiredo"/>
    <s v="Cintya Cocco Figueiredo"/>
    <d v="2026-06-30T14:49:00"/>
    <n v="1451"/>
    <s v="-"/>
    <s v="OFF LINE"/>
    <s v="Cartão de crédito"/>
    <s v="Faturado"/>
    <x v="1"/>
    <s v="N"/>
    <x v="69"/>
    <s v="Tbsi"/>
    <s v="-"/>
    <s v="-"/>
    <s v="-"/>
    <x v="54"/>
    <s v="-"/>
    <x v="259"/>
    <n v="0"/>
    <n v="0"/>
    <n v="0"/>
    <n v="0"/>
    <n v="0"/>
    <n v="0"/>
    <s v="Reserva importada do Sistema TMS. OS: 1451"/>
    <s v="Fornecedor não preenchido! (ACC01)"/>
    <x v="0"/>
    <x v="1"/>
    <s v="Campo Fornecedor"/>
    <x v="0"/>
    <s v="Qualidade dos dados"/>
    <s v="KONTIK BUSINESS TRAVEL"/>
    <x v="4"/>
  </r>
  <r>
    <n v="24844411"/>
    <n v="25680797"/>
    <s v="ACC01"/>
    <x v="294"/>
    <d v="2026-06-30T19:26:35"/>
    <x v="6"/>
    <x v="4"/>
    <s v="6QRLSL"/>
    <s v="TMS"/>
    <s v="THAIS CARVALHO"/>
    <s v="Renata Claudia de Oliveira"/>
    <s v="Renata Claudia de Oliveira"/>
    <d v="2026-06-30T16:52:00"/>
    <n v="3784"/>
    <s v="Sao Bernardo do Campo / SBC"/>
    <s v="OFF LINE"/>
    <s v="Cartão de crédito"/>
    <s v="Faturado"/>
    <x v="2"/>
    <s v="N"/>
    <x v="70"/>
    <s v="Pwcsbc Strategy&amp; do Brasil"/>
    <s v="-"/>
    <s v="-"/>
    <s v="-"/>
    <x v="55"/>
    <s v="-"/>
    <x v="260"/>
    <n v="0"/>
    <n v="0"/>
    <n v="0"/>
    <n v="0"/>
    <n v="0"/>
    <n v="0"/>
    <s v="Reserva importada do Sistema TMS. OS: 3784"/>
    <s v="Fornecedor não preenchido! (ACC01)"/>
    <x v="0"/>
    <x v="1"/>
    <s v="Campo Fornecedor"/>
    <x v="0"/>
    <s v="Qualidade dos dados"/>
    <s v="KONTIK BUSINESS TRAVEL"/>
    <x v="4"/>
  </r>
  <r>
    <n v="24857213"/>
    <n v="25695210"/>
    <s v="ACC01"/>
    <x v="295"/>
    <d v="2026-07-02T19:48:41"/>
    <x v="1"/>
    <x v="5"/>
    <s v="6RNR82"/>
    <s v="TMS"/>
    <s v="JANAINA OLIVEIRA"/>
    <s v="Ercy Iwamoto"/>
    <s v="Ercy Iwamoto"/>
    <d v="2026-07-02T15:25:00"/>
    <n v="3828"/>
    <s v="-"/>
    <s v="OFF LINE"/>
    <s v="Cartão de crédito"/>
    <s v="Cartão de crédito"/>
    <x v="1"/>
    <s v="N"/>
    <x v="70"/>
    <s v="Pwcsbc Strategy&amp; do Brasil"/>
    <s v="-"/>
    <s v="-"/>
    <s v="-"/>
    <x v="55"/>
    <s v="-"/>
    <x v="261"/>
    <n v="0"/>
    <n v="0"/>
    <n v="0"/>
    <n v="0"/>
    <n v="0"/>
    <n v="0"/>
    <s v="Reserva importada do Sistema TMS. OS: 3828"/>
    <s v="Fornecedor não preenchido! (ACC01)"/>
    <x v="0"/>
    <x v="1"/>
    <s v="Campo Fornecedor"/>
    <x v="0"/>
    <s v="Qualidade dos dados"/>
    <s v="KONTIK BUSINESS TRAVEL"/>
    <x v="4"/>
  </r>
  <r>
    <n v="24862099"/>
    <n v="25701031"/>
    <s v="ACC01"/>
    <x v="296"/>
    <d v="2026-07-03T14:35:26"/>
    <x v="1"/>
    <x v="5"/>
    <s v="QBSTBX"/>
    <s v="GOVER"/>
    <s v="PAULO ROBERTO FILHO"/>
    <s v="Gover"/>
    <s v="Gover"/>
    <d v="2026-07-03T08:02:00"/>
    <n v="4718203"/>
    <s v="-"/>
    <s v="OFF LINE"/>
    <s v="Cartão de crédito"/>
    <s v="Cartão de crédito"/>
    <x v="1"/>
    <s v="N"/>
    <x v="71"/>
    <s v="Adm do Brasil Ltda"/>
    <s v="-"/>
    <s v="-"/>
    <s v="-"/>
    <x v="56"/>
    <s v="-"/>
    <x v="262"/>
    <n v="50.44"/>
    <n v="0"/>
    <n v="0"/>
    <n v="0"/>
    <n v="0"/>
    <n v="0"/>
    <s v="Reserva importada do sistema Gover. Id: 4718203"/>
    <s v="Fornecedor não preenchido! (ACC01)"/>
    <x v="3"/>
    <x v="1"/>
    <s v="Campo Fornecedor"/>
    <x v="0"/>
    <s v="Sistêmico"/>
    <s v="GRUPO KONTIK"/>
    <x v="1"/>
  </r>
  <r>
    <n v="24861750"/>
    <n v="25700590"/>
    <s v="ACC01"/>
    <x v="297"/>
    <d v="2026-07-03T13:42:27"/>
    <x v="1"/>
    <x v="5"/>
    <s v="ADUYNHT"/>
    <s v="SABRE"/>
    <s v="YUKUYAMA/MEGUMI NISHITANI DR"/>
    <s v="Felipe Anderson da Silva"/>
    <s v="Felipe Anderson da Silva"/>
    <d v="2026-07-03T07:21:00"/>
    <s v="3NVH"/>
    <s v="-"/>
    <s v="OFF LINE"/>
    <s v="Pagamento direto"/>
    <s v="Pagamento direto"/>
    <x v="1"/>
    <s v="N"/>
    <x v="72"/>
    <s v="Ingredion Br"/>
    <s v="-"/>
    <s v="-"/>
    <s v="-"/>
    <x v="57"/>
    <s v="-"/>
    <x v="263"/>
    <n v="358.08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861750"/>
    <n v="25700591"/>
    <s v="ACC02"/>
    <x v="297"/>
    <d v="2026-07-03T13:42:27"/>
    <x v="1"/>
    <x v="5"/>
    <s v="ADUYNHT"/>
    <s v="SABRE"/>
    <s v="YUKUYAMA/MEGUMI NISHITANI DR"/>
    <s v="Felipe Anderson da Silva"/>
    <s v="Felipe Anderson da Silva"/>
    <d v="2026-07-03T07:21:00"/>
    <s v="3NVH"/>
    <s v="-"/>
    <s v="OFF LINE"/>
    <s v="Pagamento direto"/>
    <s v="Pagamento direto"/>
    <x v="1"/>
    <s v="N"/>
    <x v="72"/>
    <s v="Ingredion Br"/>
    <s v="-"/>
    <s v="-"/>
    <s v="-"/>
    <x v="57"/>
    <s v="-"/>
    <x v="264"/>
    <n v="93.98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861753"/>
    <n v="25700598"/>
    <s v="ACC01"/>
    <x v="298"/>
    <d v="2026-07-03T13:42:27"/>
    <x v="1"/>
    <x v="5"/>
    <s v="WTBGYAT"/>
    <s v="SABRE"/>
    <s v="LEVARD/NICOLAS HUBERT MARIE"/>
    <s v="Felipe Anderson da Silva"/>
    <s v="Felipe Anderson da Silva"/>
    <d v="2026-07-02T14:21:00"/>
    <n v="9999"/>
    <s v="-"/>
    <s v="OFF LINE"/>
    <s v="Cartão de crédito"/>
    <s v="Cartão de crédito"/>
    <x v="1"/>
    <s v="N"/>
    <x v="72"/>
    <s v="Ingredion Br"/>
    <s v="-"/>
    <s v="-"/>
    <s v="-"/>
    <x v="57"/>
    <s v="-"/>
    <x v="265"/>
    <n v="18810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843401"/>
    <n v="25679692"/>
    <s v="ACC01"/>
    <x v="299"/>
    <d v="2026-06-30T16:56:35"/>
    <x v="6"/>
    <x v="4"/>
    <s v="UXWOYR1"/>
    <s v="TMS"/>
    <s v="JULIANA ROMAO ROMERO"/>
    <s v="Jeane Alencar Pereira"/>
    <s v="Jeane Alencar Pereira"/>
    <d v="2026-06-30T16:03:00"/>
    <n v="68609"/>
    <s v="-"/>
    <s v="OFF LINE"/>
    <s v="Invoice"/>
    <s v="Faturado"/>
    <x v="0"/>
    <s v="N"/>
    <x v="47"/>
    <s v="Metro Bahia"/>
    <s v="-"/>
    <s v="Gol Linhas Aereas"/>
    <n v="2306872786"/>
    <x v="40"/>
    <s v="-"/>
    <x v="8"/>
    <n v="0"/>
    <n v="0"/>
    <n v="0"/>
    <n v="0"/>
    <n v="0"/>
    <n v="0"/>
    <s v="Reserva importada do Sistema TMS. OS: 68609"/>
    <s v="Tarifa mínima não preenchida! (ACC01)"/>
    <x v="0"/>
    <x v="10"/>
    <s v="Falta de informação Gerencial"/>
    <x v="0"/>
    <s v="Qualidade dos dados"/>
    <s v="KONTIK BUSINESS TRAVEL"/>
    <x v="3"/>
  </r>
  <r>
    <n v="24859111"/>
    <n v="25697597"/>
    <s v="ACC01"/>
    <x v="300"/>
    <d v="2026-07-02T23:17:24"/>
    <x v="1"/>
    <x v="5"/>
    <s v="WTMGVG"/>
    <s v="TMS"/>
    <s v="SERGIO SCHWARTZ"/>
    <s v="Nathalia dos Santos Batista"/>
    <s v="Tms"/>
    <d v="2026-07-02T17:43:00"/>
    <n v="3829"/>
    <s v="-"/>
    <s v="ON LINE"/>
    <s v="Invoice"/>
    <s v="Faturado"/>
    <x v="0"/>
    <s v="N"/>
    <x v="33"/>
    <s v="Genial Consig"/>
    <s v="-"/>
    <s v="Gol Linhas Aereas"/>
    <n v="2307046706"/>
    <x v="2"/>
    <s v="-"/>
    <x v="266"/>
    <n v="116.1"/>
    <n v="0"/>
    <n v="0"/>
    <n v="0"/>
    <n v="0"/>
    <n v="0"/>
    <s v="Reserva importada do Sistema TMS. OS: 3829"/>
    <s v="Finalidade não preenchida! (ACC01) Convidado não preenchido! (ACC01) Solicitante não preenchido! (ACC01)"/>
    <x v="0"/>
    <x v="6"/>
    <s v="Caractere invalido em campo gerencial"/>
    <x v="1"/>
    <s v="Qualidade dos dados"/>
    <s v="KONTIK BUSINESS TRAVEL"/>
    <x v="3"/>
  </r>
  <r>
    <n v="24856495"/>
    <n v="25694442"/>
    <s v="ACC01"/>
    <x v="301"/>
    <d v="2026-07-03T17:15:48"/>
    <x v="1"/>
    <x v="5"/>
    <s v="GFXXYX"/>
    <s v="SABRE"/>
    <s v="MACHADO/JULIANA"/>
    <s v="BRUNA SEBBEN"/>
    <s v="BRUNA SEBBEN"/>
    <d v="2026-07-02T08:11:00"/>
    <s v="CQVLQE"/>
    <s v="-"/>
    <s v="OFF LINE"/>
    <s v="Cartão de crédito"/>
    <s v="Cartão de crédito"/>
    <x v="0"/>
    <s v="N"/>
    <x v="51"/>
    <s v="Baker Mckenzie - Brasillia"/>
    <s v="-"/>
    <s v="Gol Linhas Aereas"/>
    <n v="2307002353"/>
    <x v="3"/>
    <s v="-"/>
    <x v="267"/>
    <n v="32.869999999999997"/>
    <n v="0"/>
    <n v="0"/>
    <n v="0"/>
    <n v="0"/>
    <n v="0"/>
    <s v="Reserva importada por HubTravel"/>
    <s v="Projeto não preenchido! (ACC01)"/>
    <x v="1"/>
    <x v="20"/>
    <s v="Falta de informação Gerencial"/>
    <x v="0"/>
    <s v="Qualidade dos dados"/>
    <s v="KONTIK BUSINESS TRAVEL"/>
    <x v="2"/>
  </r>
  <r>
    <n v="24849116"/>
    <n v="25685835"/>
    <s v="ACC01"/>
    <x v="302"/>
    <d v="2026-07-03T17:10:41"/>
    <x v="1"/>
    <x v="5"/>
    <s v="ASWBTE"/>
    <s v="SABRE"/>
    <s v="MORAIS DO NASCIMENTO DE VILA/FERNANDA MS"/>
    <s v="SHARON STONE RODRIGUES MARQUES"/>
    <s v="SHARON STONE RODRIGUES MARQUES"/>
    <d v="2026-07-01T11:42:00"/>
    <s v="ASWBTE"/>
    <s v="-"/>
    <s v="ON LINE"/>
    <s v="Cartão de crédito"/>
    <s v="Cartão AMEX"/>
    <x v="0"/>
    <s v="N"/>
    <x v="53"/>
    <s v="Chanel"/>
    <s v="-"/>
    <s v="Gol Linhas Aereas"/>
    <n v="7700090211"/>
    <x v="45"/>
    <s v="-"/>
    <x v="8"/>
    <n v="0"/>
    <n v="0"/>
    <n v="0"/>
    <n v="0"/>
    <n v="0"/>
    <n v="0"/>
    <s v="Reserva importada por HubTravel"/>
    <s v="Centro de custo não preenchido! (ACC01) Matrícula não preenchida! (ACC01)"/>
    <x v="1"/>
    <x v="5"/>
    <s v="Falta de informação Gerencial"/>
    <x v="0"/>
    <s v="Qualidade dos dados"/>
    <s v="KONTIK BUSINESS TRAVEL"/>
    <x v="2"/>
  </r>
  <r>
    <n v="24844802"/>
    <n v="25681177"/>
    <s v="ACC01"/>
    <x v="303"/>
    <d v="2026-07-03T17:10:39"/>
    <x v="1"/>
    <x v="4"/>
    <s v="WPRSXE"/>
    <s v="SABRE"/>
    <s v="MACHADO/RENATA"/>
    <s v="WS"/>
    <s v="WS"/>
    <d v="2026-06-11T11:19:00"/>
    <s v="WPRSXE"/>
    <s v="-"/>
    <s v="ON LINE"/>
    <s v="Cartão de crédito"/>
    <s v="Cartão de crédito"/>
    <x v="0"/>
    <s v="N"/>
    <x v="4"/>
    <s v="Ihs Informacoes Rio de Janeiro"/>
    <s v="Cliente FEE no POS"/>
    <s v="Gol Linhas Aereas"/>
    <n v="7700090179"/>
    <x v="4"/>
    <s v="-"/>
    <x v="8"/>
    <n v="0"/>
    <n v="0"/>
    <n v="0"/>
    <n v="0"/>
    <n v="0"/>
    <n v="0"/>
    <s v="Reserva importada por HubTravel"/>
    <s v="Tarifa mínima não preenchida! (ACC01)"/>
    <x v="1"/>
    <x v="10"/>
    <s v="Falta de informação Gerencial"/>
    <x v="0"/>
    <s v="Qualidade dos dados"/>
    <s v="KONTIK BUSINESS TRAVEL"/>
    <x v="4"/>
  </r>
  <r>
    <n v="24840905"/>
    <n v="25677067"/>
    <s v="ACC01"/>
    <x v="304"/>
    <d v="2026-07-03T17:10:38"/>
    <x v="1"/>
    <x v="4"/>
    <s v="GJIYKI"/>
    <s v="SABRE"/>
    <s v="NOGUEIRA DA SILVA/CARLA PRISCILLA"/>
    <s v="WS"/>
    <s v="WS"/>
    <d v="2026-06-29T16:04:00"/>
    <s v="IXLSGH"/>
    <s v="-"/>
    <s v="ON LINE"/>
    <s v="Cartão de crédito"/>
    <s v="Cartão de crédito"/>
    <x v="0"/>
    <s v="N"/>
    <x v="73"/>
    <s v="Visao Mundial"/>
    <s v="Cliente FEE no POS"/>
    <s v="Gol Linhas Aereas"/>
    <n v="2306812869"/>
    <x v="58"/>
    <s v="-"/>
    <x v="8"/>
    <n v="64.56"/>
    <n v="0"/>
    <n v="0"/>
    <n v="0"/>
    <n v="0"/>
    <n v="31.02"/>
    <s v="Reserva importada por HubTravel"/>
    <s v="Tarifa mínima não preenchida! (ACC01)"/>
    <x v="1"/>
    <x v="10"/>
    <s v="Falta de informação Gerencial"/>
    <x v="0"/>
    <s v="Qualidade dos dados"/>
    <s v="KONTIK BUSINESS TRAVEL"/>
    <x v="4"/>
  </r>
  <r>
    <n v="24856886"/>
    <n v="25694855"/>
    <s v="ACC01"/>
    <x v="305"/>
    <d v="2026-07-06T05:40:27"/>
    <x v="2"/>
    <x v="5"/>
    <s v="GHHFID"/>
    <s v="TMS"/>
    <s v="LEONARDO SCHLEINSTEIN"/>
    <s v="Claudia Lucia Stella"/>
    <s v="Claudia Lucia Stella"/>
    <d v="2026-07-02T15:52:00"/>
    <n v="18084"/>
    <s v="-"/>
    <s v="OFF LINE"/>
    <s v="Cartão de crédito"/>
    <s v="Cartão AMEX"/>
    <x v="0"/>
    <s v="N"/>
    <x v="42"/>
    <s v="Odontoprev Servicos Ltda"/>
    <s v="-"/>
    <s v="Gol Linhas Aereas"/>
    <n v="2307035035"/>
    <x v="42"/>
    <s v="-"/>
    <x v="268"/>
    <n v="114.86"/>
    <n v="0"/>
    <n v="0"/>
    <n v="0"/>
    <n v="0"/>
    <n v="0"/>
    <s v="Reserva importada do Sistema TMS. OS: 18084"/>
    <s v="A venda possui enriquecimento de dados pendente. Aguarde a conclusão antes de prosseguir"/>
    <x v="0"/>
    <x v="21"/>
    <s v="Validação de Dados"/>
    <x v="0"/>
    <s v="Qualidade dos dados"/>
    <s v="GRUPO KONTIK"/>
    <x v="0"/>
  </r>
  <r>
    <n v="24859345"/>
    <n v="25697837"/>
    <s v="ACC01"/>
    <x v="306"/>
    <d v="2026-07-06T05:40:27"/>
    <x v="2"/>
    <x v="5"/>
    <s v="GFNAUO"/>
    <s v="TMS"/>
    <s v="CARLOS AMERICO CAMILO DE CARVALHO"/>
    <s v="SAMANTHA OLIVEIRA NASCIMENTO"/>
    <s v="Tms"/>
    <d v="2026-07-02T17:40:00"/>
    <n v="116398"/>
    <s v="-"/>
    <s v="ON LINE"/>
    <s v="Cartão de crédito"/>
    <s v="Cartão AMEX"/>
    <x v="0"/>
    <s v="N"/>
    <x v="35"/>
    <s v="Ultragaz-matriz"/>
    <s v="-"/>
    <s v="Gol Linhas Aereas"/>
    <n v="2307040774"/>
    <x v="2"/>
    <s v="-"/>
    <x v="269"/>
    <n v="38.39"/>
    <n v="0"/>
    <n v="0"/>
    <n v="0"/>
    <n v="0"/>
    <n v="0"/>
    <s v="Reserva importada do Sistema TMS. OS: 116398"/>
    <s v="A venda possui enriquecimento de dados pendente. Aguarde a conclusão antes de prosseguir"/>
    <x v="0"/>
    <x v="21"/>
    <s v="Validação de Dados"/>
    <x v="0"/>
    <s v="Qualidade dos dados"/>
    <s v="GRUPO KONTIK"/>
    <x v="0"/>
  </r>
  <r>
    <n v="24849633"/>
    <n v="25686398"/>
    <s v="ACC01"/>
    <x v="307"/>
    <d v="2026-07-01T17:10:51"/>
    <x v="1"/>
    <x v="5"/>
    <s v="UCYZQS0"/>
    <s v="TMS"/>
    <s v="EDMUNDO MOCHENSKI"/>
    <s v="Adriana Dias de Grano"/>
    <s v="Adriana Dias de Grano"/>
    <d v="2026-07-01T13:42:00"/>
    <n v="133718"/>
    <s v="-"/>
    <s v="OFF LINE"/>
    <s v="Cartão de crédito"/>
    <s v="Cartão AMEX"/>
    <x v="0"/>
    <s v="N"/>
    <x v="32"/>
    <s v="Deloitte Outsourcing - Curitiba"/>
    <s v="-"/>
    <s v="Gol Linhas Aereas"/>
    <n v="2306940987"/>
    <x v="30"/>
    <s v="-"/>
    <x v="8"/>
    <n v="0"/>
    <n v="0"/>
    <n v="0"/>
    <n v="0"/>
    <n v="0"/>
    <n v="0"/>
    <s v="Reserva importada do Sistema TMS. OS: 133718"/>
    <s v="Autorização do cartão da forma de pagamento não preenchida! (ACC01) Autorização do cartão da forma de recebimento não preenchida! (ACC01) Tarifa "/>
    <x v="0"/>
    <x v="5"/>
    <s v="Falta de informação Gerencial"/>
    <x v="0"/>
    <s v="Qualidade dos dados"/>
    <s v="KONTIK BUSINESS TRAVEL"/>
    <x v="3"/>
  </r>
  <r>
    <n v="24861024"/>
    <n v="25699766"/>
    <s v="ACC"/>
    <x v="308"/>
    <d v="2026-07-03T11:36:38"/>
    <x v="1"/>
    <x v="5"/>
    <s v="UABIJI"/>
    <s v="MANUAL"/>
    <s v="JOAO VITOR SILVA MOREIRA"/>
    <s v="Loizy Lima de Oliveira"/>
    <s v="Loizy Lima de Oliveira"/>
    <d v="2026-07-03T11:22:00"/>
    <s v="-"/>
    <s v="-"/>
    <s v="OFF LINE"/>
    <s v="Cartão de crédito"/>
    <s v="Cartão de crédito"/>
    <x v="0"/>
    <s v="N"/>
    <x v="60"/>
    <s v="Petroreconcavo"/>
    <s v="-"/>
    <s v="Gol Linhas Aereas"/>
    <n v="2305901266"/>
    <x v="49"/>
    <s v="-"/>
    <x v="270"/>
    <n v="0"/>
    <n v="0"/>
    <n v="0"/>
    <n v="0"/>
    <n v="0"/>
    <n v="0"/>
    <s v="-"/>
    <s v="Necessário cadastrar um contrato para o cliente &quot;&quot;"/>
    <x v="2"/>
    <x v="9"/>
    <s v="Análise Cadastro"/>
    <x v="0"/>
    <s v="Qualidade dos dados"/>
    <s v="KONTIK BUSINESS TRAVEL"/>
    <x v="3"/>
  </r>
  <r>
    <n v="24846348"/>
    <n v="25682826"/>
    <s v="ACC01"/>
    <x v="309"/>
    <d v="2026-07-06T05:40:27"/>
    <x v="2"/>
    <x v="4"/>
    <s v="DUFXJZ"/>
    <s v="TMS"/>
    <s v="SERGIO SOUZA"/>
    <s v="Wilson Jose Araujo de Gusmao Junior"/>
    <s v="Wilson Jose Araujo de Gusmao Junior"/>
    <d v="2026-06-30T17:58:00"/>
    <n v="21460"/>
    <s v="-"/>
    <s v="OFF LINE"/>
    <s v="Cartão de crédito"/>
    <s v="Cartão AMEX"/>
    <x v="0"/>
    <s v="N"/>
    <x v="36"/>
    <s v="Braskem - Camacari"/>
    <s v="-"/>
    <s v="Gol Linhas Aereas"/>
    <n v="2306883099"/>
    <x v="32"/>
    <s v="-"/>
    <x v="271"/>
    <n v="124.76"/>
    <n v="0"/>
    <n v="0"/>
    <n v="0"/>
    <n v="0"/>
    <n v="0"/>
    <s v="Reserva importada do Sistema TMS. OS: 21460"/>
    <s v="A venda possui enriquecimento de dados pendente. Aguarde a conclusão antes de prosseguir"/>
    <x v="0"/>
    <x v="21"/>
    <s v="Validação de Dados"/>
    <x v="0"/>
    <s v="Qualidade dos dados"/>
    <s v="GRUPO KONTIK"/>
    <x v="0"/>
  </r>
  <r>
    <n v="24849273"/>
    <n v="25686023"/>
    <s v="ACC01"/>
    <x v="310"/>
    <d v="2026-07-01T17:04:29"/>
    <x v="1"/>
    <x v="5"/>
    <s v="AYBDMU"/>
    <s v="WOOBA"/>
    <s v="MORAES/MARCELLO MR"/>
    <s v="Toou"/>
    <s v="Toou"/>
    <d v="2026-07-01T16:07:00"/>
    <n v="8993"/>
    <s v="-"/>
    <s v="OFF LINE"/>
    <s v="Cartão de crédito"/>
    <s v="Cartão AMEX"/>
    <x v="0"/>
    <s v="N"/>
    <x v="74"/>
    <s v="Tv Gazeta"/>
    <s v="-"/>
    <s v="Gol Linhas Aereas"/>
    <n v="2306954624"/>
    <x v="35"/>
    <s v="-"/>
    <x v="272"/>
    <n v="90"/>
    <n v="0"/>
    <n v="0"/>
    <n v="0"/>
    <n v="0"/>
    <n v="82"/>
    <s v="Reserva importada do Sistema WOOBA. Id: 16424"/>
    <s v="Empenho/departamento não preenchido! (ACC01) Matrícula não preenchida! (ACC01)"/>
    <x v="4"/>
    <x v="5"/>
    <s v="Falta de informação Gerencial"/>
    <x v="0"/>
    <s v="Qualidade dos dados"/>
    <s v="KONTRIP VIAGENS"/>
    <x v="5"/>
  </r>
  <r>
    <n v="24844144"/>
    <n v="25680519"/>
    <s v="ACC01"/>
    <x v="311"/>
    <d v="2026-06-30T18:04:50"/>
    <x v="6"/>
    <x v="4"/>
    <s v="QCPWDW"/>
    <s v="WOOBA"/>
    <s v="DUBOIS/VINCENT MR"/>
    <s v="Toou"/>
    <s v="Toou"/>
    <d v="2026-06-30T17:18:00"/>
    <n v="8741"/>
    <s v="-"/>
    <s v="OFF LINE"/>
    <s v="Cartão de crédito"/>
    <s v="Cartão AMEX"/>
    <x v="0"/>
    <s v="N"/>
    <x v="74"/>
    <s v="Tv Gazeta"/>
    <s v="-"/>
    <s v="Gol Linhas Aereas"/>
    <n v="2306880302"/>
    <x v="35"/>
    <s v="-"/>
    <x v="273"/>
    <n v="54.09"/>
    <n v="0"/>
    <n v="0"/>
    <n v="0"/>
    <n v="0"/>
    <n v="34.369999999999997"/>
    <s v="Reserva importada do Sistema WOOBA. Id: 15953"/>
    <s v="Empenho/departamento não preenchido! (ACC01) Matrícula não preenchida! (ACC01)"/>
    <x v="4"/>
    <x v="5"/>
    <s v="Falta de informação Gerencial"/>
    <x v="0"/>
    <s v="Qualidade dos dados"/>
    <s v="KONTRIP VIAGENS"/>
    <x v="5"/>
  </r>
  <r>
    <n v="24847778"/>
    <n v="25684263"/>
    <s v="ACC01"/>
    <x v="312"/>
    <d v="2026-07-06T05:40:27"/>
    <x v="2"/>
    <x v="5"/>
    <s v="JYXDIJ"/>
    <s v="TMS"/>
    <s v="JOSE BULHOES"/>
    <s v="Wilson Jose Araujo de Gusmao Junior"/>
    <s v="Tms"/>
    <d v="2026-07-01T08:16:00"/>
    <n v="21520"/>
    <s v="-"/>
    <s v="ON LINE"/>
    <s v="Cartão de crédito"/>
    <s v="Cartão AMEX"/>
    <x v="0"/>
    <s v="N"/>
    <x v="36"/>
    <s v="Braskem - Camacari"/>
    <s v="-"/>
    <s v="Gol Linhas Aereas"/>
    <n v="2306918177"/>
    <x v="32"/>
    <s v="-"/>
    <x v="274"/>
    <n v="88.63"/>
    <n v="0"/>
    <n v="0"/>
    <n v="0"/>
    <n v="0"/>
    <n v="0"/>
    <s v="Reserva importada do Sistema TMS. OS: 21520"/>
    <s v="A venda possui enriquecimento de dados pendente. Aguarde a conclusão antes de prosseguir"/>
    <x v="0"/>
    <x v="21"/>
    <s v="Validação de Dados"/>
    <x v="0"/>
    <s v="Qualidade dos dados"/>
    <s v="GRUPO KONTIK"/>
    <x v="0"/>
  </r>
  <r>
    <n v="24855614"/>
    <n v="25693470"/>
    <s v="ACC01"/>
    <x v="313"/>
    <d v="2026-07-02T16:18:42"/>
    <x v="1"/>
    <x v="5"/>
    <s v="WVHKCO"/>
    <s v="EBOOKING"/>
    <s v=" ROBERTO ALVAREZ/MARCIO"/>
    <s v="Kontrip"/>
    <s v="Kontrip"/>
    <d v="2026-07-02T04:07:00"/>
    <s v="-"/>
    <s v="-"/>
    <s v="OFF LINE"/>
    <s v="Invoice"/>
    <s v="Faturado"/>
    <x v="0"/>
    <s v="N"/>
    <x v="50"/>
    <s v="Tap Air Portugal"/>
    <s v="-"/>
    <s v="Gol Linhas Aereas"/>
    <n v="2307037530"/>
    <x v="35"/>
    <s v="-"/>
    <x v="275"/>
    <n v="66.510000000000005"/>
    <n v="0"/>
    <n v="0"/>
    <n v="0"/>
    <n v="0"/>
    <n v="386.12"/>
    <s v="obs"/>
    <s v="Centro de custo não preenchido! (ACC01)"/>
    <x v="4"/>
    <x v="17"/>
    <s v="Falta de informação Gerencial"/>
    <x v="0"/>
    <s v="Qualidade dos dados"/>
    <s v="KONTRIP VIAGENS"/>
    <x v="5"/>
  </r>
  <r>
    <n v="24856257"/>
    <n v="25694200"/>
    <s v="ACC01"/>
    <x v="314"/>
    <d v="2026-07-02T17:10:23"/>
    <x v="1"/>
    <x v="5"/>
    <s v="AHTYEY"/>
    <s v="EBOOKING"/>
    <s v="HENRIQUE ALBUQUERQUE/SAULO"/>
    <s v="Kontrip"/>
    <s v="Kontrip"/>
    <d v="2026-07-02T04:43:00"/>
    <s v="-"/>
    <s v="-"/>
    <s v="OFF LINE"/>
    <s v="Invoice"/>
    <s v="Faturado"/>
    <x v="0"/>
    <s v="N"/>
    <x v="50"/>
    <s v="Tap Air Portugal"/>
    <s v="-"/>
    <s v="Gol Linhas Aereas"/>
    <n v="2307042884"/>
    <x v="35"/>
    <s v="-"/>
    <x v="276"/>
    <n v="35.909999999999997"/>
    <n v="0"/>
    <n v="0"/>
    <n v="0"/>
    <n v="0"/>
    <n v="63.72"/>
    <s v="obs"/>
    <s v="Centro de custo não preenchido! (ACC01)"/>
    <x v="4"/>
    <x v="17"/>
    <s v="Falta de informação Gerencial"/>
    <x v="0"/>
    <s v="Qualidade dos dados"/>
    <s v="KONTRIP VIAGENS"/>
    <x v="5"/>
  </r>
  <r>
    <n v="24837359"/>
    <n v="25674017"/>
    <s v="ACC01"/>
    <x v="315"/>
    <d v="2026-06-29T16:39:47"/>
    <x v="6"/>
    <x v="4"/>
    <s v="GEZLPB"/>
    <s v="EBOOKING"/>
    <s v="HENRIQUE ALBUQUERQUE/SAULO"/>
    <s v="Kontrip"/>
    <s v="Kontrip"/>
    <d v="2026-06-29T04:32:00"/>
    <s v="-"/>
    <s v="-"/>
    <s v="OFF LINE"/>
    <s v="Invoice"/>
    <s v="Faturado"/>
    <x v="0"/>
    <s v="N"/>
    <x v="50"/>
    <s v="Tap Air Portugal"/>
    <s v="-"/>
    <s v="Gol Linhas Aereas"/>
    <n v="2306806810"/>
    <x v="35"/>
    <s v="-"/>
    <x v="277"/>
    <n v="35.909999999999997"/>
    <n v="0"/>
    <n v="0"/>
    <n v="0"/>
    <n v="0"/>
    <n v="95.19"/>
    <s v="obs"/>
    <s v="Centro de custo não preenchido! (ACC01)"/>
    <x v="4"/>
    <x v="17"/>
    <s v="Falta de informação Gerencial"/>
    <x v="0"/>
    <s v="Qualidade dos dados"/>
    <s v="KONTRIP VIAGENS"/>
    <x v="5"/>
  </r>
  <r>
    <n v="24837401"/>
    <n v="25674061"/>
    <s v="ACC01"/>
    <x v="316"/>
    <d v="2026-06-29T16:42:27"/>
    <x v="6"/>
    <x v="4"/>
    <s v="YES2JM"/>
    <s v="EBOOKING"/>
    <s v="HENRIQUE ALBUQUERQUE/SAULO"/>
    <s v="Kontrip"/>
    <s v="Kontrip"/>
    <d v="2026-06-24T12:18:00"/>
    <s v="-"/>
    <s v="-"/>
    <s v="OFF LINE"/>
    <s v="Invoice"/>
    <s v="Faturado"/>
    <x v="0"/>
    <s v="N"/>
    <x v="50"/>
    <s v="Tap Air Portugal"/>
    <s v="-"/>
    <s v="Gol Linhas Aereas"/>
    <n v="901870"/>
    <x v="35"/>
    <s v="-"/>
    <x v="278"/>
    <n v="35.909999999999997"/>
    <n v="0"/>
    <n v="0"/>
    <n v="0"/>
    <n v="0"/>
    <n v="90.98"/>
    <s v="obs"/>
    <s v="Centro de custo não preenchido! (ACC01)"/>
    <x v="4"/>
    <x v="17"/>
    <s v="Falta de informação Gerencial"/>
    <x v="0"/>
    <s v="Qualidade dos dados"/>
    <s v="KONTRIP VIAGENS"/>
    <x v="5"/>
  </r>
  <r>
    <n v="24842491"/>
    <n v="25678798"/>
    <s v="ACC01"/>
    <x v="317"/>
    <d v="2026-06-30T15:03:16"/>
    <x v="6"/>
    <x v="4"/>
    <s v="CMDXLP"/>
    <s v="EBOOKING"/>
    <s v="DAMASCENO/SÓSTENES"/>
    <s v="Kontrip"/>
    <s v="Kontrip"/>
    <d v="2026-06-30T01:25:00"/>
    <s v="-"/>
    <s v="-"/>
    <s v="OFF LINE"/>
    <s v="Invoice"/>
    <s v="Faturado"/>
    <x v="0"/>
    <s v="N"/>
    <x v="50"/>
    <s v="Tap Air Portugal"/>
    <s v="-"/>
    <s v="Gol Linhas Aereas"/>
    <n v="2306866126"/>
    <x v="35"/>
    <s v="-"/>
    <x v="279"/>
    <n v="35.909999999999997"/>
    <n v="0"/>
    <n v="0"/>
    <n v="0"/>
    <n v="0"/>
    <n v="145.99"/>
    <s v="obs"/>
    <s v="Centro de custo não preenchido! (ACC01)"/>
    <x v="4"/>
    <x v="17"/>
    <s v="Falta de informação Gerencial"/>
    <x v="0"/>
    <s v="Qualidade dos dados"/>
    <s v="KONTRIP VIAGENS"/>
    <x v="5"/>
  </r>
  <r>
    <n v="24842492"/>
    <n v="25678799"/>
    <s v="ACC01"/>
    <x v="318"/>
    <d v="2026-06-30T15:04:27"/>
    <x v="6"/>
    <x v="4"/>
    <s v="NHYBJP"/>
    <s v="EBOOKING"/>
    <s v="DAMASCENO/SÓSTENES"/>
    <s v="Kontrip"/>
    <s v="Kontrip"/>
    <d v="2026-06-30T01:25:00"/>
    <s v="-"/>
    <s v="-"/>
    <s v="OFF LINE"/>
    <s v="Invoice"/>
    <s v="Faturado"/>
    <x v="0"/>
    <s v="N"/>
    <x v="50"/>
    <s v="Tap Air Portugal"/>
    <s v="-"/>
    <s v="Gol Linhas Aereas"/>
    <n v="2306865805"/>
    <x v="35"/>
    <s v="-"/>
    <x v="279"/>
    <n v="35.15"/>
    <n v="0"/>
    <n v="0"/>
    <n v="0"/>
    <n v="0"/>
    <n v="145.99"/>
    <s v="obs"/>
    <s v="Centro de custo não preenchido! (ACC01)"/>
    <x v="4"/>
    <x v="17"/>
    <s v="Falta de informação Gerencial"/>
    <x v="0"/>
    <s v="Qualidade dos dados"/>
    <s v="KONTRIP VIAGENS"/>
    <x v="5"/>
  </r>
  <r>
    <n v="24848986"/>
    <n v="25685688"/>
    <s v="ACC01"/>
    <x v="319"/>
    <d v="2026-07-01T15:18:03"/>
    <x v="1"/>
    <x v="5"/>
    <s v="YIGHFH"/>
    <s v="WOOBA"/>
    <s v="BRITO DA SILVA/FERNANDO CARLOS"/>
    <s v="Kontrip"/>
    <s v="Kontrip"/>
    <d v="2026-07-01T14:56:00"/>
    <s v="-"/>
    <s v="-"/>
    <s v="OFF LINE"/>
    <s v="Invoice"/>
    <s v="Faturado"/>
    <x v="0"/>
    <s v="N"/>
    <x v="50"/>
    <s v="Tap Air Portugal"/>
    <s v="-"/>
    <s v="Gol Linhas Aereas"/>
    <n v="2306427883"/>
    <x v="35"/>
    <s v="-"/>
    <x v="280"/>
    <n v="92.33"/>
    <n v="0"/>
    <n v="0"/>
    <n v="0"/>
    <n v="0"/>
    <n v="0"/>
    <s v="Reserva importada do Sistema WOOBA. Id: 16377"/>
    <s v="Centro de custo não preenchido! (ACC01)"/>
    <x v="4"/>
    <x v="17"/>
    <s v="Falta de informação Gerencial"/>
    <x v="0"/>
    <s v="Qualidade dos dados"/>
    <s v="KONTRIP VIAGENS"/>
    <x v="5"/>
  </r>
  <r>
    <n v="24848987"/>
    <n v="25685689"/>
    <s v="ACC01"/>
    <x v="320"/>
    <d v="2026-07-01T15:18:04"/>
    <x v="1"/>
    <x v="5"/>
    <s v="YIGHFH-3"/>
    <s v="WOOBA"/>
    <s v="BRITO DA SILVA/FERNANDO CARLOS"/>
    <s v="Kontrip"/>
    <s v="Kontrip"/>
    <d v="2026-07-01T14:56:00"/>
    <s v="-"/>
    <s v="-"/>
    <s v="OFF LINE"/>
    <s v="Múltiplos"/>
    <s v="Múltiplos"/>
    <x v="0"/>
    <s v="N"/>
    <x v="50"/>
    <s v="Tap Air Portugal"/>
    <s v="-"/>
    <s v="Gol Linhas Aereas"/>
    <n v="2306946271"/>
    <x v="35"/>
    <s v="-"/>
    <x v="281"/>
    <n v="92.33"/>
    <n v="475"/>
    <n v="0"/>
    <n v="0"/>
    <n v="0"/>
    <n v="0"/>
    <s v="Reserva importada do Sistema WOOBA. Id: 16378"/>
    <s v="Centro de custo não preenchido! (ACC01)"/>
    <x v="4"/>
    <x v="17"/>
    <s v="Falta de informação Gerencial"/>
    <x v="0"/>
    <s v="Qualidade dos dados"/>
    <s v="KONTRIP VIAGENS"/>
    <x v="5"/>
  </r>
  <r>
    <n v="24848783"/>
    <n v="25685431"/>
    <s v="ACC01"/>
    <x v="321"/>
    <d v="2026-07-01T14:31:26"/>
    <x v="1"/>
    <x v="5"/>
    <s v="EPQYIN"/>
    <s v="EBOOKING"/>
    <s v="Alessandro Vitorino/Marcelo"/>
    <s v="Kontrip"/>
    <s v="Kontrip"/>
    <d v="2026-07-01T02:02:00"/>
    <s v="-"/>
    <s v="-"/>
    <s v="OFF LINE"/>
    <s v="Invoice"/>
    <s v="Faturado"/>
    <x v="0"/>
    <s v="N"/>
    <x v="50"/>
    <s v="Tap Air Portugal"/>
    <s v="-"/>
    <s v="Gol Linhas Aereas"/>
    <n v="2306944395"/>
    <x v="35"/>
    <s v="-"/>
    <x v="282"/>
    <n v="82.27"/>
    <n v="0"/>
    <n v="0"/>
    <n v="0"/>
    <n v="0"/>
    <n v="256.08999999999997"/>
    <s v="obs"/>
    <s v="Centro de custo não preenchido! (ACC01)"/>
    <x v="4"/>
    <x v="17"/>
    <s v="Falta de informação Gerencial"/>
    <x v="0"/>
    <s v="Qualidade dos dados"/>
    <s v="KONTRIP VIAGENS"/>
    <x v="5"/>
  </r>
  <r>
    <n v="24862063"/>
    <n v="25700975"/>
    <s v="ACC01"/>
    <x v="322"/>
    <d v="2026-07-03T17:20:31"/>
    <x v="1"/>
    <x v="5"/>
    <s v="EZEMYB"/>
    <s v="SABRE"/>
    <s v="PIRES FREIRE/ISADORA"/>
    <s v="V7"/>
    <s v="MARIA CECILIA PEREIRA SILVA"/>
    <d v="2026-07-03T00:00:00"/>
    <s v="EZEMYB"/>
    <s v="-"/>
    <s v="ON LINE"/>
    <s v="Invoice"/>
    <s v="Faturado"/>
    <x v="0"/>
    <s v="N"/>
    <x v="16"/>
    <s v="Livanova Brasil"/>
    <s v="-"/>
    <s v="Avianca Internacional"/>
    <n v="5232184638"/>
    <x v="3"/>
    <s v="-"/>
    <x v="283"/>
    <n v="0"/>
    <n v="1067.74"/>
    <n v="0"/>
    <n v="0"/>
    <n v="0"/>
    <n v="0"/>
    <s v="Reserva importada por HubTravel"/>
    <s v="Centro de custo não preenchido! (ACC01) Matrícula não preenchida! (ACC01) Finalidade não preenchida! (ACC01)"/>
    <x v="1"/>
    <x v="5"/>
    <s v="Falta de informação Gerencial"/>
    <x v="0"/>
    <s v="Qualidade dos dados"/>
    <s v="KONTIK BUSINESS TRAVEL"/>
    <x v="2"/>
  </r>
  <r>
    <n v="24864721"/>
    <n v="25703982"/>
    <s v="ACC01"/>
    <x v="323"/>
    <d v="2026-07-03T19:10:55"/>
    <x v="1"/>
    <x v="5"/>
    <s v="AHD55B"/>
    <s v="TMS"/>
    <s v="VANESSA LOBATO PIVA AZEVEDO"/>
    <s v="MARIA CECILIA PEREIRA SILVA"/>
    <s v="MARIA CECILIA PEREIRA SILVA"/>
    <d v="2026-07-03T17:06:00"/>
    <n v="1590"/>
    <s v="-"/>
    <s v="ON LINE"/>
    <s v="Invoice"/>
    <s v="Faturado"/>
    <x v="0"/>
    <s v="N"/>
    <x v="22"/>
    <s v="-"/>
    <s v="-"/>
    <s v="Aeromexico"/>
    <n v="9285676876"/>
    <x v="9"/>
    <s v="-"/>
    <x v="284"/>
    <n v="358.46"/>
    <n v="0"/>
    <n v="0"/>
    <n v="0"/>
    <n v="0"/>
    <n v="0"/>
    <s v="Reserva importada do Sistema TMS. OS: 1590"/>
    <s v="Cliente não preenchido! (ACC01)"/>
    <x v="0"/>
    <x v="13"/>
    <s v="Falta de informação Gerencial"/>
    <x v="0"/>
    <s v="Qualidade dos dados"/>
    <s v="KONTIK BUSINESS TRAVEL"/>
    <x v="3"/>
  </r>
  <r>
    <n v="24864722"/>
    <n v="25703983"/>
    <s v="ACC01"/>
    <x v="324"/>
    <d v="2026-07-03T19:10:55"/>
    <x v="1"/>
    <x v="5"/>
    <s v="AHGXIZ"/>
    <s v="TMS"/>
    <s v="VANESSA LOBATO PIVA AZEVEDO"/>
    <s v="MARIA CECILIA PEREIRA SILVA"/>
    <s v="MARIA CECILIA PEREIRA SILVA"/>
    <d v="2026-07-03T17:06:00"/>
    <n v="1590"/>
    <s v="-"/>
    <s v="ON LINE"/>
    <s v="Invoice"/>
    <s v="Faturado"/>
    <x v="0"/>
    <s v="N"/>
    <x v="22"/>
    <s v="-"/>
    <s v="-"/>
    <s v="Aeromexico"/>
    <n v="9285676877"/>
    <x v="9"/>
    <s v="-"/>
    <x v="285"/>
    <n v="469.65"/>
    <n v="0"/>
    <n v="0"/>
    <n v="0"/>
    <n v="0"/>
    <n v="0"/>
    <s v="Reserva importada do Sistema TMS. OS: 1590"/>
    <s v="Cliente não preenchido! (ACC01)"/>
    <x v="0"/>
    <x v="13"/>
    <s v="Falta de informação Gerencial"/>
    <x v="0"/>
    <s v="Qualidade dos dados"/>
    <s v="KONTIK BUSINESS TRAVEL"/>
    <x v="3"/>
  </r>
  <r>
    <n v="24860693"/>
    <n v="25699382"/>
    <s v="ACC01"/>
    <x v="325"/>
    <d v="2026-07-03T11:12:40"/>
    <x v="1"/>
    <x v="5"/>
    <s v="KQHYCZ"/>
    <s v="GOVER"/>
    <s v="Marcio Wilson Manchini"/>
    <s v="Gover"/>
    <s v="Gover"/>
    <d v="2026-03-27T18:38:00"/>
    <n v="4678428"/>
    <s v="-"/>
    <s v="ON LINE"/>
    <s v="Invoice"/>
    <s v="Cartão convênio"/>
    <x v="0"/>
    <s v="N"/>
    <x v="58"/>
    <s v="Hypera S.a."/>
    <s v="-"/>
    <s v="Latam Airlines Brasil"/>
    <n v="2279912122"/>
    <x v="59"/>
    <s v="-"/>
    <x v="286"/>
    <n v="0"/>
    <n v="0"/>
    <n v="0"/>
    <n v="0"/>
    <n v="0"/>
    <n v="0"/>
    <s v="Reserva importada do sistema Gover. Id: 4678428"/>
    <s v="Accouting aérea não possui trechos (Bilhete: 2279912122)"/>
    <x v="3"/>
    <x v="16"/>
    <s v="Atualização de Trechos"/>
    <x v="0"/>
    <s v="Qualidade dos dados"/>
    <s v="GRUPO KONTIK"/>
    <x v="0"/>
  </r>
  <r>
    <n v="24854771"/>
    <n v="25692455"/>
    <s v="ACC01"/>
    <x v="326"/>
    <d v="2026-07-02T13:01:38"/>
    <x v="1"/>
    <x v="5"/>
    <s v="LA9578885OOLD"/>
    <s v="EBOOKING"/>
    <s v="OLIVEIRA/MIZAEL"/>
    <s v="Kontrip"/>
    <s v="Kontrip"/>
    <d v="2026-07-02T12:15:00"/>
    <s v="-"/>
    <s v="-"/>
    <s v="OFF LINE"/>
    <s v="Invoice"/>
    <s v="Faturado"/>
    <x v="0"/>
    <s v="N"/>
    <x v="50"/>
    <s v="Tap Air Portugal"/>
    <s v="-"/>
    <s v="Latam Airlines Brasil"/>
    <n v="2294250068"/>
    <x v="35"/>
    <s v="-"/>
    <x v="287"/>
    <n v="60.54"/>
    <n v="0"/>
    <n v="0"/>
    <n v="0"/>
    <n v="0"/>
    <n v="65.03"/>
    <s v="obs"/>
    <s v="Centro de custo não preenchido! (ACC01)"/>
    <x v="4"/>
    <x v="17"/>
    <s v="Falta de informação Gerencial"/>
    <x v="0"/>
    <s v="Qualidade dos dados"/>
    <s v="KONTRIP VIAGENS"/>
    <x v="5"/>
  </r>
  <r>
    <n v="24847780"/>
    <n v="25684265"/>
    <s v="ACC01"/>
    <x v="327"/>
    <d v="2026-07-06T05:40:27"/>
    <x v="2"/>
    <x v="5"/>
    <s v="LUQDAO"/>
    <s v="TMS"/>
    <s v="LUCIANA FERNANDES"/>
    <s v="Wilson Jose Araujo de Gusmao Junior"/>
    <s v="Wilson Jose Araujo de Gusmao Junior"/>
    <d v="2026-07-01T09:49:00"/>
    <n v="21518"/>
    <s v="-"/>
    <s v="OFF LINE"/>
    <s v="Cartão de crédito"/>
    <s v="Cartão AMEX"/>
    <x v="0"/>
    <s v="N"/>
    <x v="36"/>
    <s v="Braskem - Camacari"/>
    <s v="-"/>
    <s v="Latam Airlines Brasil"/>
    <n v="2294045086"/>
    <x v="32"/>
    <s v="-"/>
    <x v="288"/>
    <n v="110.77"/>
    <n v="0"/>
    <n v="0"/>
    <n v="0"/>
    <n v="0"/>
    <n v="0"/>
    <s v="Reserva importada do Sistema TMS. OS: 21518"/>
    <s v="A venda possui enriquecimento de dados pendente. Aguarde a conclusão antes de prosseguir"/>
    <x v="0"/>
    <x v="21"/>
    <s v="Validação de Dados"/>
    <x v="0"/>
    <s v="Qualidade dos dados"/>
    <s v="GRUPO KONTIK"/>
    <x v="0"/>
  </r>
  <r>
    <n v="24850328"/>
    <n v="25687116"/>
    <s v="ACC01"/>
    <x v="328"/>
    <d v="2026-07-06T05:40:27"/>
    <x v="2"/>
    <x v="5"/>
    <s v="KHIPQN"/>
    <s v="TMS"/>
    <s v="RAPHAEL CAMPOS"/>
    <s v="Wilson Jose Araujo de Gusmao Junior"/>
    <s v="Wilson Jose Araujo de Gusmao Junior"/>
    <d v="2026-07-01T15:42:00"/>
    <n v="21551"/>
    <s v="-"/>
    <s v="OFF LINE"/>
    <s v="Cartão de crédito"/>
    <s v="Cartão AMEX"/>
    <x v="0"/>
    <s v="N"/>
    <x v="36"/>
    <s v="Braskem - Camacari"/>
    <s v="-"/>
    <s v="Latam Airlines Brasil"/>
    <n v="2294097251"/>
    <x v="32"/>
    <s v="-"/>
    <x v="289"/>
    <n v="62.14"/>
    <n v="0"/>
    <n v="0"/>
    <n v="0"/>
    <n v="0"/>
    <n v="0"/>
    <s v="Reserva importada do Sistema TMS. OS: 21551"/>
    <s v="A venda possui enriquecimento de dados pendente. Aguarde a conclusão antes de prosseguir"/>
    <x v="0"/>
    <x v="21"/>
    <s v="Validação de Dados"/>
    <x v="0"/>
    <s v="Qualidade dos dados"/>
    <s v="GRUPO KONTIK"/>
    <x v="0"/>
  </r>
  <r>
    <n v="24850329"/>
    <n v="25687117"/>
    <s v="ACC01"/>
    <x v="329"/>
    <d v="2026-07-06T05:40:27"/>
    <x v="2"/>
    <x v="5"/>
    <s v="KGKWHC"/>
    <s v="TMS"/>
    <s v="RAPHAEL CAMPOS"/>
    <s v="Wilson Jose Araujo de Gusmao Junior"/>
    <s v="Wilson Jose Araujo de Gusmao Junior"/>
    <d v="2026-07-01T15:42:00"/>
    <n v="21551"/>
    <s v="-"/>
    <s v="OFF LINE"/>
    <s v="Cartão de crédito"/>
    <s v="Cartão AMEX"/>
    <x v="0"/>
    <s v="N"/>
    <x v="36"/>
    <s v="Braskem - Camacari"/>
    <s v="-"/>
    <s v="Latam Airlines Brasil"/>
    <n v="2294100581"/>
    <x v="32"/>
    <s v="-"/>
    <x v="290"/>
    <n v="52.72"/>
    <n v="0"/>
    <n v="0"/>
    <n v="0"/>
    <n v="0"/>
    <n v="0"/>
    <s v="Reserva importada do Sistema TMS. OS: 21551"/>
    <s v="A venda possui enriquecimento de dados pendente. Aguarde a conclusão antes de prosseguir"/>
    <x v="0"/>
    <x v="21"/>
    <s v="Validação de Dados"/>
    <x v="0"/>
    <s v="Qualidade dos dados"/>
    <s v="GRUPO KONTIK"/>
    <x v="0"/>
  </r>
  <r>
    <n v="24844029"/>
    <n v="25680387"/>
    <s v="ACC01"/>
    <x v="330"/>
    <d v="2026-07-06T05:40:27"/>
    <x v="2"/>
    <x v="4"/>
    <s v="NEVLNP"/>
    <s v="TMS"/>
    <s v="DIEGO ZEOLLA"/>
    <s v="Wilson Jose Araujo de Gusmao Junior"/>
    <s v="Wilson Jose Araujo de Gusmao Junior"/>
    <d v="2026-06-30T15:21:00"/>
    <n v="21509"/>
    <s v="-"/>
    <s v="OFF LINE"/>
    <s v="Cartão de crédito"/>
    <s v="Cartão AMEX"/>
    <x v="0"/>
    <s v="N"/>
    <x v="36"/>
    <s v="Braskem - Camacari"/>
    <s v="-"/>
    <s v="Latam Airlines Brasil"/>
    <n v="2615432896"/>
    <x v="32"/>
    <s v="-"/>
    <x v="291"/>
    <n v="529.55999999999995"/>
    <n v="0"/>
    <n v="0"/>
    <n v="0"/>
    <n v="0"/>
    <n v="0"/>
    <s v="Reserva importada do Sistema TMS. OS: 21509"/>
    <s v="A venda possui enriquecimento de dados pendente. Aguarde a conclusão antes de prosseguir"/>
    <x v="0"/>
    <x v="21"/>
    <s v="Validação de Dados"/>
    <x v="0"/>
    <s v="Qualidade dos dados"/>
    <s v="GRUPO KONTIK"/>
    <x v="0"/>
  </r>
  <r>
    <n v="24844059"/>
    <n v="25680416"/>
    <s v="ACC01"/>
    <x v="331"/>
    <d v="2026-07-06T05:40:27"/>
    <x v="2"/>
    <x v="4"/>
    <s v="UXUDRL"/>
    <s v="TMS"/>
    <s v="MARCIO PITZER"/>
    <s v="Wilson Jose Araujo de Gusmao Junior"/>
    <s v="Wilson Jose Araujo de Gusmao Junior"/>
    <d v="2026-06-30T11:48:00"/>
    <n v="21490"/>
    <s v="-"/>
    <s v="OFF LINE"/>
    <s v="Cartão de crédito"/>
    <s v="Cartão AMEX"/>
    <x v="0"/>
    <s v="N"/>
    <x v="36"/>
    <s v="Braskem - Camacari"/>
    <s v="-"/>
    <s v="Latam Airlines Brasil"/>
    <n v="2293895098"/>
    <x v="32"/>
    <s v="-"/>
    <x v="292"/>
    <n v="62.62"/>
    <n v="0"/>
    <n v="0"/>
    <n v="0"/>
    <n v="0"/>
    <n v="0"/>
    <s v="Reserva importada do Sistema TMS. OS: 21490"/>
    <s v="A venda possui enriquecimento de dados pendente. Aguarde a conclusão antes de prosseguir"/>
    <x v="0"/>
    <x v="21"/>
    <s v="Validação de Dados"/>
    <x v="0"/>
    <s v="Qualidade dos dados"/>
    <s v="GRUPO KONTIK"/>
    <x v="0"/>
  </r>
  <r>
    <n v="24852459"/>
    <n v="25689797"/>
    <s v="ACC01"/>
    <x v="332"/>
    <d v="2026-07-06T05:40:27"/>
    <x v="2"/>
    <x v="5"/>
    <s v="JKRRJL"/>
    <s v="TMS"/>
    <s v="CAMILLA TAPIAS"/>
    <s v="Wilson Jose Araujo de Gusmao Junior"/>
    <s v="Wilson Jose Araujo de Gusmao Junior"/>
    <d v="2026-07-01T18:23:00"/>
    <n v="21569"/>
    <s v="-"/>
    <s v="OFF LINE"/>
    <s v="Cartão de crédito"/>
    <s v="Cartão AMEX"/>
    <x v="0"/>
    <s v="N"/>
    <x v="36"/>
    <s v="Braskem - Camacari"/>
    <s v="-"/>
    <s v="Latam Airlines Brasil"/>
    <n v="5232211050"/>
    <x v="32"/>
    <s v="-"/>
    <x v="293"/>
    <n v="505.71"/>
    <n v="0"/>
    <n v="0"/>
    <n v="0"/>
    <n v="0"/>
    <n v="0"/>
    <s v="Reserva importada do Sistema TMS. OS: 21569"/>
    <s v="A venda possui enriquecimento de dados pendente. Aguarde a conclusão antes de prosseguir"/>
    <x v="0"/>
    <x v="21"/>
    <s v="Validação de Dados"/>
    <x v="0"/>
    <s v="Qualidade dos dados"/>
    <s v="GRUPO KONTIK"/>
    <x v="0"/>
  </r>
  <r>
    <n v="24861366"/>
    <n v="25700157"/>
    <s v="ACC01"/>
    <x v="333"/>
    <d v="2026-07-03T17:16:04"/>
    <x v="1"/>
    <x v="5"/>
    <s v="NEZKRT"/>
    <s v="SABRE"/>
    <s v="MELO/RENATA FRANCO DE ALMEIDA MS"/>
    <s v="WS"/>
    <s v="WS"/>
    <d v="2026-07-03T08:53:00"/>
    <s v="NEZKRT"/>
    <s v="-"/>
    <s v="ON LINE"/>
    <s v="Cartão de crédito"/>
    <s v="Cartão de crédito"/>
    <x v="0"/>
    <s v="N"/>
    <x v="75"/>
    <s v="Vertex Farmaceutica do Brasil"/>
    <s v="-"/>
    <s v="Latam Airlines Brasil"/>
    <s v="-"/>
    <x v="7"/>
    <s v="-"/>
    <x v="294"/>
    <n v="56.88"/>
    <n v="0"/>
    <n v="0"/>
    <n v="0"/>
    <n v="0"/>
    <n v="0"/>
    <s v="Reserva importada por HubTravel"/>
    <s v="Necessário informar o bilhete"/>
    <x v="1"/>
    <x v="15"/>
    <s v="Validação de Dados"/>
    <x v="0"/>
    <s v="Qualidade dos dados"/>
    <s v="KONTIK BUSINESS TRAVEL"/>
    <x v="4"/>
  </r>
  <r>
    <n v="24862054"/>
    <n v="25700966"/>
    <s v="ACC01"/>
    <x v="334"/>
    <d v="2026-07-03T17:16:30"/>
    <x v="1"/>
    <x v="5"/>
    <s v="NRYODP"/>
    <s v="SABRE"/>
    <s v="COREZOLA/EDUARDO FAGGION"/>
    <s v="DS"/>
    <s v="WS"/>
    <d v="2026-07-03T00:00:00"/>
    <s v="NRYODP"/>
    <s v="-"/>
    <s v="ON LINE"/>
    <s v="?"/>
    <s v="TKT"/>
    <x v="0"/>
    <s v="N"/>
    <x v="75"/>
    <s v="Vertex Farmaceutica do Brasil"/>
    <s v="-"/>
    <s v="Latam Airlines Brasil"/>
    <n v="5232184628"/>
    <x v="7"/>
    <s v="-"/>
    <x v="8"/>
    <n v="0"/>
    <n v="500"/>
    <n v="0"/>
    <n v="28.78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2"/>
    <s v="Forma PG. e REC."/>
    <x v="0"/>
    <s v="Qualidade dos dados"/>
    <s v="KONTIK BUSINESS TRAVEL"/>
    <x v="2"/>
  </r>
  <r>
    <n v="24847777"/>
    <n v="25684262"/>
    <s v="ACC01"/>
    <x v="335"/>
    <d v="2026-07-06T05:40:27"/>
    <x v="2"/>
    <x v="5"/>
    <s v="GZCSIV"/>
    <s v="TMS"/>
    <s v="JULIO HENRIQUE LOTTERMANN"/>
    <s v="Wilson Jose Araujo de Gusmao Junior"/>
    <s v="Wilson Jose Araujo de Gusmao Junior"/>
    <d v="2026-07-01T09:52:00"/>
    <n v="21521"/>
    <s v="-"/>
    <s v="OFF LINE"/>
    <s v="Cartão de crédito"/>
    <s v="Cartão AMEX"/>
    <x v="0"/>
    <s v="N"/>
    <x v="36"/>
    <s v="Braskem - Camacari"/>
    <s v="-"/>
    <s v="Latam Airlines Brasil"/>
    <n v="5232211049"/>
    <x v="32"/>
    <s v="-"/>
    <x v="295"/>
    <n v="429.87"/>
    <n v="0"/>
    <n v="0"/>
    <n v="0"/>
    <n v="0"/>
    <n v="0"/>
    <s v="Reserva importada do Sistema TMS. OS: 21521"/>
    <s v="A venda possui enriquecimento de dados pendente. Aguarde a conclusão antes de prosseguir"/>
    <x v="0"/>
    <x v="21"/>
    <s v="Validação de Dados"/>
    <x v="0"/>
    <s v="Qualidade dos dados"/>
    <s v="GRUPO KONTIK"/>
    <x v="0"/>
  </r>
  <r>
    <n v="24862055"/>
    <n v="25700967"/>
    <s v="ACC01"/>
    <x v="336"/>
    <d v="2026-07-03T17:16:30"/>
    <x v="1"/>
    <x v="5"/>
    <s v="YTRYVI"/>
    <s v="SABRE"/>
    <s v="LOPES/MATHEUS GOMES"/>
    <s v="Beatrys Ferreira Rocha"/>
    <s v="WS"/>
    <d v="2026-07-03T09:24:00"/>
    <s v="YTRYVI"/>
    <s v="-"/>
    <s v="ON LINE"/>
    <s v="?"/>
    <s v="TKT"/>
    <x v="0"/>
    <s v="N"/>
    <x v="61"/>
    <s v="Elanco - Morumbi"/>
    <s v="-"/>
    <s v="Latam Airlines Brasil"/>
    <n v="5232184632"/>
    <x v="7"/>
    <s v="-"/>
    <x v="8"/>
    <n v="0"/>
    <n v="500"/>
    <n v="0"/>
    <n v="4.67"/>
    <n v="0"/>
    <n v="0"/>
    <s v="Reserva importada por HubTravel"/>
    <s v="Este cliente não possui permissão para usar este tipo de pagamento e recebimento para este produto."/>
    <x v="1"/>
    <x v="2"/>
    <s v="Forma PG. e REC."/>
    <x v="0"/>
    <s v="Qualidade dos dados"/>
    <s v="GRUPO KONTIK"/>
    <x v="0"/>
  </r>
  <r>
    <n v="24862058"/>
    <n v="25700970"/>
    <s v="ACC01"/>
    <x v="337"/>
    <d v="2026-07-03T17:16:32"/>
    <x v="1"/>
    <x v="5"/>
    <s v="QBPAYX"/>
    <s v="SABRE"/>
    <s v="LOPES/MATHEUS GOMES"/>
    <s v="Beatrys Ferreira Rocha"/>
    <s v="WS"/>
    <d v="2026-07-03T09:37:00"/>
    <s v="QBPAYX"/>
    <s v="-"/>
    <s v="ON LINE"/>
    <s v="?"/>
    <s v="TKT"/>
    <x v="0"/>
    <s v="N"/>
    <x v="61"/>
    <s v="Elanco - Morumbi"/>
    <s v="-"/>
    <s v="Latam Airlines Brasil"/>
    <n v="5232184637"/>
    <x v="7"/>
    <s v="-"/>
    <x v="8"/>
    <n v="0"/>
    <n v="500"/>
    <n v="0"/>
    <n v="7.83"/>
    <n v="0"/>
    <n v="0"/>
    <s v="Reserva importada por HubTravel"/>
    <s v="Este cliente não possui permissão para usar este tipo de pagamento e recebimento para este produto."/>
    <x v="1"/>
    <x v="2"/>
    <s v="Forma PG. e REC."/>
    <x v="0"/>
    <s v="Qualidade dos dados"/>
    <s v="GRUPO KONTIK"/>
    <x v="0"/>
  </r>
  <r>
    <n v="24860639"/>
    <n v="25699297"/>
    <s v="ACC01"/>
    <x v="338"/>
    <d v="2026-07-03T11:05:32"/>
    <x v="1"/>
    <x v="5"/>
    <s v="MUDYRV"/>
    <s v="TMS"/>
    <s v="ROGERIO ESTRELA CAMPOS"/>
    <s v="Herbert Amancio de Santana"/>
    <s v="Tms"/>
    <d v="2026-03-27T14:58:00"/>
    <n v="135792"/>
    <s v="-"/>
    <s v="ON LINE"/>
    <s v="Invoice"/>
    <s v="Faturado"/>
    <x v="0"/>
    <s v="N"/>
    <x v="9"/>
    <s v="Claro Sao Paulo (santo Amaro)"/>
    <s v="-"/>
    <s v="Latam Airlines Brasil"/>
    <n v="2279868353"/>
    <x v="10"/>
    <s v="-"/>
    <x v="296"/>
    <n v="96.73"/>
    <n v="0"/>
    <n v="0"/>
    <n v="0"/>
    <n v="0"/>
    <n v="0"/>
    <s v="Reserva importada do Sistema TMS. OS: 135792"/>
    <s v="Matrícula não preenchida! (ACC01)"/>
    <x v="0"/>
    <x v="4"/>
    <s v="Falta de informação Gerencial"/>
    <x v="0"/>
    <s v="Qualidade dos dados"/>
    <s v="KONTIK BUSINESS TRAVEL"/>
    <x v="3"/>
  </r>
  <r>
    <n v="24859364"/>
    <n v="25697858"/>
    <s v="ACC01"/>
    <x v="339"/>
    <d v="2026-07-06T05:40:27"/>
    <x v="2"/>
    <x v="5"/>
    <s v="LDIPDU"/>
    <s v="TMS"/>
    <s v="PEDRO SOUZA ALVES"/>
    <s v="Beatrys Ferreira Rocha"/>
    <s v="Beatrys Ferreira Rocha"/>
    <d v="2026-07-02T17:44:00"/>
    <n v="116313"/>
    <s v="-"/>
    <s v="ON LINE"/>
    <s v="Cartão de crédito"/>
    <s v="Cartão AMEX"/>
    <x v="0"/>
    <s v="N"/>
    <x v="35"/>
    <s v="Ultragaz-matriz"/>
    <s v="-"/>
    <s v="Latam Airlines Brasil"/>
    <n v="2294306326"/>
    <x v="2"/>
    <s v="-"/>
    <x v="297"/>
    <n v="88.09"/>
    <n v="0"/>
    <n v="0"/>
    <n v="0"/>
    <n v="0"/>
    <n v="0"/>
    <s v="Reserva importada do Sistema TMS. OS: 116313"/>
    <s v="A venda possui enriquecimento de dados pendente. Aguarde a conclusão antes de prosseguir"/>
    <x v="0"/>
    <x v="21"/>
    <s v="Validação de Dados"/>
    <x v="0"/>
    <s v="Qualidade dos dados"/>
    <s v="GRUPO KONTIK"/>
    <x v="0"/>
  </r>
  <r>
    <n v="24857184"/>
    <n v="25695177"/>
    <s v="ACC01"/>
    <x v="340"/>
    <d v="2026-07-06T05:40:27"/>
    <x v="2"/>
    <x v="5"/>
    <s v="HWEJWW"/>
    <s v="TMS"/>
    <s v="FABIO VIEIRA"/>
    <s v="Beatrys Ferreira Rocha"/>
    <s v="Beatrys Ferreira Rocha"/>
    <d v="2026-07-02T13:56:00"/>
    <n v="116266"/>
    <s v="-"/>
    <s v="ON LINE"/>
    <s v="Cartão de crédito"/>
    <s v="Cartão AMEX"/>
    <x v="0"/>
    <s v="N"/>
    <x v="35"/>
    <s v="Ultragaz-matriz"/>
    <s v="-"/>
    <s v="Latam Airlines Brasil"/>
    <n v="2294261418"/>
    <x v="2"/>
    <s v="-"/>
    <x v="298"/>
    <n v="108.09"/>
    <n v="0"/>
    <n v="0"/>
    <n v="0"/>
    <n v="0"/>
    <n v="0"/>
    <s v="Reserva importada do Sistema TMS. OS: 116266"/>
    <s v="A venda possui enriquecimento de dados pendente. Aguarde a conclusão antes de prosseguir"/>
    <x v="0"/>
    <x v="21"/>
    <s v="Validação de Dados"/>
    <x v="0"/>
    <s v="Qualidade dos dados"/>
    <s v="GRUPO KONTIK"/>
    <x v="0"/>
  </r>
  <r>
    <n v="24859344"/>
    <n v="25697836"/>
    <s v="ACC01"/>
    <x v="341"/>
    <d v="2026-07-06T05:40:27"/>
    <x v="2"/>
    <x v="5"/>
    <s v="KCBILV"/>
    <s v="TMS"/>
    <s v="CARLOS AMERICO CAMILO DE CARVALHO"/>
    <s v="Beatrys Ferreira Rocha"/>
    <s v="Beatrys Ferreira Rocha"/>
    <d v="2026-07-02T17:40:00"/>
    <n v="116398"/>
    <s v="-"/>
    <s v="ON LINE"/>
    <s v="Cartão de crédito"/>
    <s v="Cartão AMEX"/>
    <x v="0"/>
    <s v="N"/>
    <x v="35"/>
    <s v="Ultragaz-matriz"/>
    <s v="-"/>
    <s v="Latam Airlines Brasil"/>
    <n v="2294304745"/>
    <x v="2"/>
    <s v="-"/>
    <x v="299"/>
    <n v="33.64"/>
    <n v="0"/>
    <n v="0"/>
    <n v="0"/>
    <n v="0"/>
    <n v="0"/>
    <s v="Reserva importada do Sistema TMS. OS: 116398"/>
    <s v="A venda possui enriquecimento de dados pendente. Aguarde a conclusão antes de prosseguir"/>
    <x v="0"/>
    <x v="21"/>
    <s v="Validação de Dados"/>
    <x v="0"/>
    <s v="Qualidade dos dados"/>
    <s v="GRUPO KONTIK"/>
    <x v="0"/>
  </r>
  <r>
    <n v="24858270"/>
    <n v="25696523"/>
    <s v="ACC01"/>
    <x v="342"/>
    <d v="2026-07-03T17:16:00"/>
    <x v="1"/>
    <x v="5"/>
    <s v="SLRLBI"/>
    <s v="SABRE"/>
    <s v="BUTTON/PAULO ALVARO NANTES"/>
    <s v="V7"/>
    <s v="WS"/>
    <d v="2026-07-02T15:28:00"/>
    <s v="SLRLBI"/>
    <s v="-"/>
    <s v="ON LINE"/>
    <s v="Cartão de crédito"/>
    <s v="Cartão de crédito"/>
    <x v="0"/>
    <s v="N"/>
    <x v="21"/>
    <s v="Axa Cs - Inativo"/>
    <s v="Cliente FEE no POS"/>
    <s v="Latam Airlines Brasil"/>
    <n v="5232184627"/>
    <x v="21"/>
    <s v="-"/>
    <x v="300"/>
    <n v="0"/>
    <n v="443.53"/>
    <n v="0"/>
    <n v="0"/>
    <n v="0"/>
    <n v="0"/>
    <s v="Reserva importada por HubTravel"/>
    <s v="Centro de custo não preenchido! (ACC01) Empenho/departamento não preenchido! (ACC01)"/>
    <x v="1"/>
    <x v="5"/>
    <s v="Falta de informação Gerencial"/>
    <x v="0"/>
    <s v="Qualidade dos dados"/>
    <s v="KONTIK BUSINESS TRAVEL"/>
    <x v="2"/>
  </r>
  <r>
    <n v="24862056"/>
    <n v="25700968"/>
    <s v="ACC01"/>
    <x v="343"/>
    <d v="2026-07-03T17:16:32"/>
    <x v="1"/>
    <x v="5"/>
    <s v="LNJVWC"/>
    <s v="SABRE"/>
    <s v="SILVA/KARINE ARRUDA MS"/>
    <s v="Beatrys Ferreira Rocha"/>
    <s v="CT"/>
    <d v="2026-07-03T08:17:00"/>
    <s v="LNJVWC"/>
    <s v="-"/>
    <s v="ON LINE"/>
    <s v="?"/>
    <s v="TKT"/>
    <x v="0"/>
    <s v="N"/>
    <x v="16"/>
    <s v="Livanova Brasil"/>
    <s v="-"/>
    <s v="Latam Airlines Brasil"/>
    <n v="5232184633"/>
    <x v="3"/>
    <s v="-"/>
    <x v="8"/>
    <n v="0"/>
    <n v="471.06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2"/>
    <s v="Forma PG. e REC."/>
    <x v="0"/>
    <s v="Qualidade dos dados"/>
    <s v="GRUPO KONTIK"/>
    <x v="0"/>
  </r>
  <r>
    <n v="24861401"/>
    <n v="25700198"/>
    <s v="ACC01"/>
    <x v="344"/>
    <d v="2026-07-03T12:35:12"/>
    <x v="1"/>
    <x v="5"/>
    <s v="FNUJOM"/>
    <s v="TMS"/>
    <s v="WILLIAM NEVER"/>
    <s v="Tms"/>
    <s v="Tms"/>
    <d v="2026-06-05T17:57:22"/>
    <n v="38726"/>
    <s v="-"/>
    <s v="ON LINE"/>
    <s v="Invoice"/>
    <s v="Faturado"/>
    <x v="0"/>
    <s v="S"/>
    <x v="76"/>
    <s v="Taesa Servicos"/>
    <s v="-"/>
    <s v="Latam Airlines Brasil"/>
    <n v="3025700198"/>
    <x v="60"/>
    <s v="-"/>
    <x v="301"/>
    <n v="33.64"/>
    <n v="0"/>
    <n v="0"/>
    <n v="0"/>
    <n v="0"/>
    <n v="0"/>
    <s v="Reserva importada do Sistema TMS. OS: 38726"/>
    <s v="Tarifa mínima não preenchida! (ACC01)"/>
    <x v="0"/>
    <x v="10"/>
    <s v="Falta de informação Gerencial"/>
    <x v="0"/>
    <s v="Qualidade dos dados"/>
    <s v="GRUPO KONTIK"/>
    <x v="0"/>
  </r>
  <r>
    <n v="24844803"/>
    <n v="25681178"/>
    <s v="ACC01"/>
    <x v="345"/>
    <d v="2026-07-03T17:10:39"/>
    <x v="1"/>
    <x v="4"/>
    <s v="FMDCAU"/>
    <s v="SABRE"/>
    <s v="RODRIGUES DE MORAES/PEDRO IVO"/>
    <s v="DS"/>
    <s v="SHARON STONE RODRIGUES MARQUES"/>
    <d v="2026-06-26T15:19:00"/>
    <s v="SP06041982"/>
    <s v="-"/>
    <s v="ON LINE"/>
    <s v="Invoice"/>
    <s v="Faturado"/>
    <x v="0"/>
    <s v="N"/>
    <x v="4"/>
    <s v="Sep Global Informacoes do Brasil Ltda"/>
    <s v="Cliente FEE no POS"/>
    <s v="Latam Airlines Brasil"/>
    <n v="2615540228"/>
    <x v="3"/>
    <s v="-"/>
    <x v="302"/>
    <n v="95.01"/>
    <n v="0"/>
    <n v="0"/>
    <n v="95.01"/>
    <n v="0"/>
    <n v="0"/>
    <s v="Reserva importada por HubTravel"/>
    <s v="Centro de custo não preenchido! (ACC01) Departamento não preenchido! (ACC01) Finalidade não preenchida! (ACC01)"/>
    <x v="1"/>
    <x v="5"/>
    <s v="Falta de informação Gerencial"/>
    <x v="0"/>
    <s v="Qualidade dos dados"/>
    <s v="KONTIK BUSINESS TRAVEL"/>
    <x v="2"/>
  </r>
  <r>
    <n v="24861203"/>
    <n v="25699971"/>
    <s v="ACC01"/>
    <x v="346"/>
    <d v="2026-07-03T12:11:23"/>
    <x v="1"/>
    <x v="5"/>
    <s v="WEISTR"/>
    <s v="TMS"/>
    <s v="WILLIAM GONZALES"/>
    <s v="Tms"/>
    <s v="Tms"/>
    <d v="2026-06-15T12:17:40"/>
    <n v="6364"/>
    <s v="-"/>
    <s v="ON LINE"/>
    <s v="Outros"/>
    <s v="Cartão convênio"/>
    <x v="0"/>
    <s v="S"/>
    <x v="66"/>
    <s v="Epson"/>
    <s v="-"/>
    <s v="Latam Airlines Brasil"/>
    <n v="3025699971"/>
    <x v="2"/>
    <s v="-"/>
    <x v="303"/>
    <n v="33.64"/>
    <n v="0"/>
    <n v="0"/>
    <n v="0"/>
    <n v="0"/>
    <n v="0"/>
    <s v="Reserva importada do Sistema TMS. OS: 6364"/>
    <s v="Tarifa mínima não preenchida! (ACC01)"/>
    <x v="0"/>
    <x v="10"/>
    <s v="Falta de informação Gerencial"/>
    <x v="0"/>
    <s v="Qualidade dos dados"/>
    <s v="GRUPO KONTIK"/>
    <x v="0"/>
  </r>
  <r>
    <n v="24861208"/>
    <n v="25699976"/>
    <s v="ACC01"/>
    <x v="347"/>
    <d v="2026-07-03T12:16:09"/>
    <x v="1"/>
    <x v="5"/>
    <s v="DGXVFQ"/>
    <s v="TMS"/>
    <s v="WILLIAM GONZALES"/>
    <s v="Tms"/>
    <s v="Tms"/>
    <d v="2026-06-15T15:38:10"/>
    <n v="7867"/>
    <s v="-"/>
    <s v="ON LINE"/>
    <s v="Outros"/>
    <s v="Cartão convênio"/>
    <x v="0"/>
    <s v="S"/>
    <x v="65"/>
    <s v="Hpe Automotores - Catalao"/>
    <s v="-"/>
    <s v="Latam Airlines Brasil"/>
    <n v="3025699976"/>
    <x v="2"/>
    <s v="-"/>
    <x v="303"/>
    <n v="33.64"/>
    <n v="0"/>
    <n v="0"/>
    <n v="0"/>
    <n v="0"/>
    <n v="0"/>
    <s v="Reserva importada do Sistema TMS. OS: 7867"/>
    <s v="Tarifa mínima não preenchida! (ACC01)"/>
    <x v="0"/>
    <x v="10"/>
    <s v="Falta de informação Gerencial"/>
    <x v="0"/>
    <s v="Qualidade dos dados"/>
    <s v="GRUPO KONTIK"/>
    <x v="0"/>
  </r>
  <r>
    <n v="24845303"/>
    <n v="25688696"/>
    <s v="ACC02"/>
    <x v="348"/>
    <d v="2026-07-03T17:10:40"/>
    <x v="1"/>
    <x v="4"/>
    <s v="NHYVVQ"/>
    <s v="SABRE"/>
    <s v="FLAVIA MIGUEL BEDRAN"/>
    <s v="V7"/>
    <s v="SHARON STONE RODRIGUES MARQUES"/>
    <d v="2026-06-30T14:43:00"/>
    <s v="NHYVVQ"/>
    <s v="-"/>
    <s v="ON LINE"/>
    <s v="Cartão de crédito"/>
    <s v="Cartão de crédito"/>
    <x v="0"/>
    <s v="N"/>
    <x v="4"/>
    <s v="Standard And Poors Ratings do Brasil Ltda"/>
    <s v="Cliente FEE no POS"/>
    <s v="Latam Airlines Brasil"/>
    <s v="-"/>
    <x v="4"/>
    <s v="-"/>
    <x v="304"/>
    <n v="64.56"/>
    <n v="129.29"/>
    <n v="0"/>
    <n v="0"/>
    <n v="0"/>
    <n v="0"/>
    <s v="Reserva importada por HubTravel"/>
    <s v="Centro de custo não preenchido! (ACC02) Email do passageiro não preenchido! (ACC02) Departamento não preenchido! (ACC02) Finalidade não "/>
    <x v="1"/>
    <x v="5"/>
    <s v="Falta de informação Gerencial"/>
    <x v="0"/>
    <s v="Qualidade dos dados"/>
    <s v="KONTIK BUSINESS TRAVEL"/>
    <x v="2"/>
  </r>
  <r>
    <n v="24847682"/>
    <n v="25684161"/>
    <s v="ACC01"/>
    <x v="349"/>
    <d v="2026-07-06T05:40:27"/>
    <x v="2"/>
    <x v="5"/>
    <s v="EZGQGO"/>
    <s v="TMS"/>
    <s v="HUGO FERREIRA"/>
    <s v="Beatrys Ferreira Rocha"/>
    <s v="Beatrys Ferreira Rocha"/>
    <d v="2026-07-01T10:10:00"/>
    <n v="18069"/>
    <s v="-"/>
    <s v="ON LINE"/>
    <s v="Cartão de crédito"/>
    <s v="Cartão AMEX"/>
    <x v="0"/>
    <s v="N"/>
    <x v="42"/>
    <s v="Odontoprev Servicos Ltda"/>
    <s v="-"/>
    <s v="Latam Airlines Brasil"/>
    <n v="2294047808"/>
    <x v="42"/>
    <s v="-"/>
    <x v="305"/>
    <n v="42.88"/>
    <n v="0"/>
    <n v="0"/>
    <n v="0"/>
    <n v="0"/>
    <n v="0"/>
    <s v="Reserva importada do Sistema TMS. OS: 18069"/>
    <s v="A venda possui enriquecimento de dados pendente. Aguarde a conclusão antes de prosseguir"/>
    <x v="0"/>
    <x v="21"/>
    <s v="Validação de Dados"/>
    <x v="0"/>
    <s v="Qualidade dos dados"/>
    <s v="GRUPO KONTIK"/>
    <x v="0"/>
  </r>
  <r>
    <n v="24862085"/>
    <n v="25701020"/>
    <s v="ACC01"/>
    <x v="350"/>
    <d v="2026-07-03T17:20:35"/>
    <x v="1"/>
    <x v="5"/>
    <s v="NHIIFN"/>
    <s v="SABRE"/>
    <s v="LIMA/BRUNO GUSTAVO"/>
    <s v="DS"/>
    <s v="Luciene Carvalho Santos"/>
    <d v="2026-07-03T09:15:00"/>
    <s v="NHIIFN"/>
    <s v="-"/>
    <s v="ON LINE"/>
    <s v="?"/>
    <s v="TKT"/>
    <x v="0"/>
    <s v="N"/>
    <x v="24"/>
    <s v="Basf Sa"/>
    <s v="-"/>
    <s v="Latam Airlines Brasil"/>
    <n v="5232211797"/>
    <x v="22"/>
    <s v="-"/>
    <x v="8"/>
    <n v="0"/>
    <n v="500"/>
    <n v="0"/>
    <n v="71.52"/>
    <n v="0"/>
    <n v="0"/>
    <s v="Reserva importada por HubTravel"/>
    <s v="Finalidade não preenchida! (ACC01)"/>
    <x v="1"/>
    <x v="14"/>
    <s v="Falta de informação Gerencial"/>
    <x v="0"/>
    <s v="Qualidade dos dados"/>
    <s v="KONTIK BUSINESS TRAVEL"/>
    <x v="2"/>
  </r>
  <r>
    <n v="24862050"/>
    <n v="25700961"/>
    <s v="ACC01"/>
    <x v="351"/>
    <d v="2026-07-03T17:16:27"/>
    <x v="1"/>
    <x v="5"/>
    <s v="NTLUTU"/>
    <s v="SABRE"/>
    <s v="SANTOS/MARIO"/>
    <s v="5I"/>
    <s v="BRUNA SEBBEN"/>
    <d v="2026-07-02T15:50:00"/>
    <s v="NTLUTU"/>
    <s v="-"/>
    <s v="ON LINE"/>
    <s v="Cartão de crédito"/>
    <s v="Cartão de crédito"/>
    <x v="0"/>
    <s v="N"/>
    <x v="11"/>
    <s v="Jti Distribuidora - Sao Paulo - Vila Nova Conceicao"/>
    <s v="-"/>
    <s v="Latam Airlines Brasil"/>
    <n v="9552144193"/>
    <x v="12"/>
    <s v="-"/>
    <x v="306"/>
    <n v="54.45"/>
    <n v="0"/>
    <n v="0"/>
    <n v="54.45"/>
    <n v="0"/>
    <n v="0"/>
    <s v="Reserva importada por HubTravel"/>
    <s v="Empenho/departamento não preenchido! (ACC01) Finalidade não preenchida! (ACC01)"/>
    <x v="1"/>
    <x v="5"/>
    <s v="Falta de informação Gerencial"/>
    <x v="0"/>
    <s v="Qualidade dos dados"/>
    <s v="KONTIK BUSINESS TRAVEL"/>
    <x v="2"/>
  </r>
  <r>
    <n v="24861093"/>
    <n v="25699833"/>
    <s v="ACC01"/>
    <x v="352"/>
    <d v="2026-07-03T17:16:03"/>
    <x v="1"/>
    <x v="5"/>
    <s v="UFTYBA"/>
    <s v="SABRE"/>
    <s v="DE MORAES SOUZA/FELIPE"/>
    <s v="DS"/>
    <s v="CT"/>
    <d v="2026-07-03T05:13:00"/>
    <s v="UFTYBA"/>
    <s v="-"/>
    <s v="ON LINE"/>
    <s v="?"/>
    <s v="TKT"/>
    <x v="0"/>
    <s v="N"/>
    <x v="24"/>
    <s v="Basf Sa"/>
    <s v="-"/>
    <s v="Latam Airlines Brasil"/>
    <n v="5232211790"/>
    <x v="22"/>
    <s v="-"/>
    <x v="8"/>
    <n v="0"/>
    <n v="500"/>
    <n v="0"/>
    <n v="2.78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2"/>
    <s v="Forma PG. e REC."/>
    <x v="0"/>
    <s v="Qualidade dos dados"/>
    <s v="KONTIK BUSINESS TRAVEL"/>
    <x v="2"/>
  </r>
  <r>
    <n v="24854627"/>
    <n v="25692270"/>
    <s v="ACC01"/>
    <x v="353"/>
    <d v="2026-07-03T17:10:44"/>
    <x v="1"/>
    <x v="5"/>
    <s v="IVTOLF"/>
    <s v="SABRE"/>
    <s v="MAZZONI/PAULO"/>
    <s v="DS"/>
    <s v="Luciene Carvalho Santos"/>
    <d v="2026-06-29T15:08:00"/>
    <s v="IVTOLF"/>
    <s v="-"/>
    <s v="ON LINE"/>
    <s v="Invoice"/>
    <s v="Faturado"/>
    <x v="0"/>
    <s v="N"/>
    <x v="24"/>
    <s v="Basf Sa"/>
    <s v="-"/>
    <s v="Latam Airlines Brasil"/>
    <n v="5232169522"/>
    <x v="22"/>
    <s v="-"/>
    <x v="307"/>
    <n v="50.42"/>
    <n v="0"/>
    <n v="0"/>
    <n v="50.42"/>
    <n v="0"/>
    <n v="0"/>
    <s v="Reserva importada por HubTravel"/>
    <s v="Finalidade não preenchida! (ACC01)"/>
    <x v="1"/>
    <x v="14"/>
    <s v="Falta de informação Gerencial"/>
    <x v="0"/>
    <s v="Qualidade dos dados"/>
    <s v="KONTIK BUSINESS TRAVEL"/>
    <x v="2"/>
  </r>
  <r>
    <n v="24861760"/>
    <n v="25700607"/>
    <s v="ACC01"/>
    <x v="354"/>
    <d v="2026-07-03T17:16:12"/>
    <x v="1"/>
    <x v="5"/>
    <s v="QCSVLN"/>
    <s v="SABRE"/>
    <s v="ALDRIGHI/WILLIAM BORGES"/>
    <s v="DS"/>
    <s v="Luciene Carvalho Santos"/>
    <d v="2026-07-03T08:55:00"/>
    <s v="QCSVLN"/>
    <s v="-"/>
    <s v="ON LINE"/>
    <s v="?"/>
    <s v="TKT"/>
    <x v="0"/>
    <s v="N"/>
    <x v="24"/>
    <s v="Basf Sa"/>
    <s v="-"/>
    <s v="Latam Airlines Brasil"/>
    <n v="5232211794"/>
    <x v="22"/>
    <s v="-"/>
    <x v="8"/>
    <n v="0"/>
    <n v="500"/>
    <n v="0"/>
    <n v="0"/>
    <n v="0"/>
    <n v="0"/>
    <s v="Reserva importada por HubTravel"/>
    <s v="Finalidade não preenchida! (ACC01)"/>
    <x v="1"/>
    <x v="14"/>
    <s v="Falta de informação Gerencial"/>
    <x v="0"/>
    <s v="Qualidade dos dados"/>
    <s v="KONTIK BUSINESS TRAVEL"/>
    <x v="2"/>
  </r>
  <r>
    <n v="24861763"/>
    <n v="25700610"/>
    <s v="ACC01"/>
    <x v="355"/>
    <d v="2026-07-03T17:16:14"/>
    <x v="1"/>
    <x v="5"/>
    <s v="YVQYYO"/>
    <s v="SABRE"/>
    <s v="JUNIOR/EGIDIO VIEIRA BATISTA"/>
    <s v="DS"/>
    <s v="CT"/>
    <d v="2026-07-03T09:42:00"/>
    <s v="YVQYYO"/>
    <s v="-"/>
    <s v="ON LINE"/>
    <s v="?"/>
    <s v="TKT"/>
    <x v="0"/>
    <s v="N"/>
    <x v="24"/>
    <s v="Basf Sa"/>
    <s v="-"/>
    <s v="Latam Airlines Brasil"/>
    <n v="5232211795"/>
    <x v="22"/>
    <s v="-"/>
    <x v="8"/>
    <n v="0"/>
    <n v="500"/>
    <n v="0"/>
    <n v="82.59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2"/>
    <s v="Forma PG. e REC."/>
    <x v="0"/>
    <s v="Qualidade dos dados"/>
    <s v="KONTIK BUSINESS TRAVEL"/>
    <x v="2"/>
  </r>
  <r>
    <n v="24861204"/>
    <n v="25699972"/>
    <s v="ACC01"/>
    <x v="356"/>
    <d v="2026-07-03T12:11:23"/>
    <x v="1"/>
    <x v="5"/>
    <s v="ODVJGD"/>
    <s v="TMS"/>
    <s v="WILLIAM GONZALES"/>
    <s v="Tms"/>
    <s v="Tms"/>
    <d v="2026-06-16T16:03:56"/>
    <n v="7789"/>
    <s v="-"/>
    <s v="ON LINE"/>
    <s v="Outros"/>
    <s v="Cartão convênio"/>
    <x v="0"/>
    <s v="S"/>
    <x v="77"/>
    <s v="Ferreira Costa - Filial Garanhuns"/>
    <s v="-"/>
    <s v="Latam Airlines Brasil"/>
    <n v="3025699972"/>
    <x v="61"/>
    <s v="-"/>
    <x v="308"/>
    <n v="33.64"/>
    <n v="0"/>
    <n v="0"/>
    <n v="0"/>
    <n v="0"/>
    <n v="0"/>
    <s v="Reserva importada do Sistema TMS. OS: 7789"/>
    <s v="Tarifa mínima não preenchida! (ACC01)"/>
    <x v="0"/>
    <x v="10"/>
    <s v="Falta de informação Gerencial"/>
    <x v="0"/>
    <s v="Qualidade dos dados"/>
    <s v="GRUPO KONTIK"/>
    <x v="0"/>
  </r>
  <r>
    <n v="24862066"/>
    <n v="25700985"/>
    <s v="ACC01"/>
    <x v="357"/>
    <d v="2026-07-03T17:20:34"/>
    <x v="1"/>
    <x v="5"/>
    <s v="HKAYSM"/>
    <s v="SABRE"/>
    <s v="RODRIGUES/FILIPE"/>
    <s v="DS"/>
    <s v="WS"/>
    <d v="2026-07-03T00:00:00"/>
    <s v="CONCUR"/>
    <s v="-"/>
    <s v="ON LINE"/>
    <s v="?"/>
    <s v="TKT"/>
    <x v="0"/>
    <s v="N"/>
    <x v="63"/>
    <s v="Shell"/>
    <s v="-"/>
    <s v="Latam Airlines Brasil"/>
    <n v="2615588576"/>
    <x v="50"/>
    <s v="-"/>
    <x v="8"/>
    <n v="0"/>
    <n v="500"/>
    <n v="0"/>
    <n v="18.72"/>
    <n v="0"/>
    <n v="0"/>
    <s v="Reserva importada por HubTravel"/>
    <s v=" Módulo Operações    -&gt; Configurações      -&gt; Configurações do sistema turismo        -&gt; Importação das vendas          -&gt; Entradas/Saídas  Para o "/>
    <x v="1"/>
    <x v="2"/>
    <s v="Forma PG. e REC."/>
    <x v="0"/>
    <s v="Qualidade dos dados"/>
    <s v="KONTIK BUSINESS TRAVEL"/>
    <x v="2"/>
  </r>
  <r>
    <n v="24861319"/>
    <n v="25700102"/>
    <s v="ACC01"/>
    <x v="358"/>
    <d v="2026-07-03T12:35:08"/>
    <x v="1"/>
    <x v="5"/>
    <s v="OCCKPI"/>
    <s v="TMS"/>
    <s v="WILLIAM GONZALES"/>
    <s v="Tms"/>
    <s v="Tms"/>
    <d v="2026-06-16T16:28:24"/>
    <n v="2489"/>
    <s v="-"/>
    <s v="ON LINE"/>
    <s v="Outros"/>
    <s v="Cartão convênio"/>
    <x v="0"/>
    <s v="S"/>
    <x v="78"/>
    <s v="Sompo Seguros S.a."/>
    <s v="-"/>
    <s v="Latam Airlines Brasil"/>
    <n v="3025700102"/>
    <x v="0"/>
    <s v="-"/>
    <x v="309"/>
    <n v="33.64"/>
    <n v="0"/>
    <n v="0"/>
    <n v="0"/>
    <n v="0"/>
    <n v="0"/>
    <s v="Reserva importada do Sistema TMS. OS: 2489"/>
    <s v="Tarifa mínima não preenchida! (ACC01)"/>
    <x v="0"/>
    <x v="10"/>
    <s v="Falta de informação Gerencial"/>
    <x v="0"/>
    <s v="Qualidade dos dados"/>
    <s v="GRUPO KONTIK"/>
    <x v="0"/>
  </r>
  <r>
    <n v="24861375"/>
    <n v="25700172"/>
    <s v="ACC01"/>
    <x v="359"/>
    <d v="2026-07-03T17:16:11"/>
    <x v="1"/>
    <x v="5"/>
    <s v="NFZPEW"/>
    <s v="SABRE"/>
    <s v="KIMURA SHIMURA/LILIAN YUKIKO"/>
    <s v="CT"/>
    <s v="CT"/>
    <d v="2026-07-03T09:20:00"/>
    <s v="NFZPEW"/>
    <s v="-"/>
    <s v="ON LINE"/>
    <s v="Cartão de crédito"/>
    <s v="Cartão AMEX"/>
    <x v="0"/>
    <s v="N"/>
    <x v="16"/>
    <s v="Livanova Brasil"/>
    <s v="-"/>
    <s v="Latam Airlines Brasil"/>
    <s v="-"/>
    <x v="3"/>
    <s v="-"/>
    <x v="310"/>
    <n v="90.42"/>
    <n v="0"/>
    <n v="0"/>
    <n v="0"/>
    <n v="0"/>
    <n v="0"/>
    <s v="Reserva importada por HubTravel"/>
    <s v="Necessário informar o bilhete"/>
    <x v="1"/>
    <x v="15"/>
    <s v="Validação de Dados"/>
    <x v="0"/>
    <s v="Qualidade dos dados"/>
    <s v="KONTIK BUSINESS TRAVEL"/>
    <x v="4"/>
  </r>
  <r>
    <n v="24861368"/>
    <n v="25700163"/>
    <s v="ACC01"/>
    <x v="360"/>
    <d v="2026-07-03T17:16:06"/>
    <x v="1"/>
    <x v="5"/>
    <s v="LORFOE"/>
    <s v="SABRE"/>
    <s v="PACHECO/FLAVIO"/>
    <s v="CT"/>
    <s v="CT"/>
    <d v="2026-07-03T08:54:00"/>
    <s v="LORFOE"/>
    <s v="-"/>
    <s v="ON LINE"/>
    <s v="Cartão de crédito"/>
    <s v="Cartão AMEX"/>
    <x v="0"/>
    <s v="N"/>
    <x v="16"/>
    <s v="Livanova Brasil"/>
    <s v="-"/>
    <s v="Latam Airlines Brasil"/>
    <s v="-"/>
    <x v="3"/>
    <s v="-"/>
    <x v="311"/>
    <n v="175.18"/>
    <n v="0"/>
    <n v="0"/>
    <n v="0"/>
    <n v="0"/>
    <n v="0"/>
    <s v="Reserva importada por HubTravel"/>
    <s v="Necessário informar o bilhete"/>
    <x v="1"/>
    <x v="15"/>
    <s v="Validação de Dados"/>
    <x v="0"/>
    <s v="Qualidade dos dados"/>
    <s v="KONTIK BUSINESS TRAVEL"/>
    <x v="4"/>
  </r>
  <r>
    <n v="24861370"/>
    <n v="25700165"/>
    <s v="ACC01"/>
    <x v="361"/>
    <d v="2026-07-03T17:16:08"/>
    <x v="1"/>
    <x v="5"/>
    <s v="NFAHXN"/>
    <s v="SABRE"/>
    <s v="KIMURA SHIMURA/LILIAN YUKIKO"/>
    <s v="CT"/>
    <s v="CT"/>
    <d v="2026-07-03T08:52:00"/>
    <s v="NFAHXN"/>
    <s v="-"/>
    <s v="ON LINE"/>
    <s v="Cartão de crédito"/>
    <s v="Cartão AMEX"/>
    <x v="0"/>
    <s v="N"/>
    <x v="16"/>
    <s v="Livanova Brasil"/>
    <s v="-"/>
    <s v="Latam Airlines Brasil"/>
    <s v="-"/>
    <x v="3"/>
    <s v="-"/>
    <x v="311"/>
    <n v="175.18"/>
    <n v="0"/>
    <n v="0"/>
    <n v="0"/>
    <n v="0"/>
    <n v="0"/>
    <s v="Reserva importada por HubTravel"/>
    <s v="Necessário informar o bilhete"/>
    <x v="1"/>
    <x v="15"/>
    <s v="Validação de Dados"/>
    <x v="0"/>
    <s v="Qualidade dos dados"/>
    <s v="KONTIK BUSINESS TRAVEL"/>
    <x v="4"/>
  </r>
  <r>
    <n v="24861373"/>
    <n v="25700168"/>
    <s v="ACC01"/>
    <x v="362"/>
    <d v="2026-07-03T17:16:09"/>
    <x v="1"/>
    <x v="5"/>
    <s v="LPPJIV"/>
    <s v="SABRE"/>
    <s v="PACHECO/FLAVIO"/>
    <s v="CT"/>
    <s v="CT"/>
    <d v="2026-07-03T09:16:00"/>
    <s v="LPPJIV"/>
    <s v="-"/>
    <s v="ON LINE"/>
    <s v="Cartão de crédito"/>
    <s v="Cartão AMEX"/>
    <x v="0"/>
    <s v="N"/>
    <x v="16"/>
    <s v="Livanova Brasil"/>
    <s v="-"/>
    <s v="Latam Airlines Brasil"/>
    <s v="-"/>
    <x v="3"/>
    <s v="-"/>
    <x v="310"/>
    <n v="90.42"/>
    <n v="0"/>
    <n v="0"/>
    <n v="0"/>
    <n v="0"/>
    <n v="0"/>
    <s v="Reserva importada por HubTravel"/>
    <s v="Necessário informar o bilhete"/>
    <x v="1"/>
    <x v="15"/>
    <s v="Validação de Dados"/>
    <x v="0"/>
    <s v="Qualidade dos dados"/>
    <s v="KONTIK BUSINESS TRAVEL"/>
    <x v="4"/>
  </r>
  <r>
    <n v="24839186"/>
    <n v="25675942"/>
    <s v="ACC01"/>
    <x v="363"/>
    <d v="2026-06-29T22:16:26"/>
    <x v="6"/>
    <x v="4"/>
    <s v="FDCQKV"/>
    <s v="TMS"/>
    <s v="BEATRIZ ARAUJO JOBIM STUDART"/>
    <s v="Jeane Alencar Pereira"/>
    <s v="Jeane Alencar Pereira"/>
    <d v="2026-06-29T17:08:00"/>
    <n v="68534"/>
    <s v="-"/>
    <s v="OFF LINE"/>
    <s v="Invoice"/>
    <s v="Faturado"/>
    <x v="0"/>
    <s v="N"/>
    <x v="47"/>
    <s v="Metro Bahia"/>
    <s v="-"/>
    <s v="Latam Airlines Brasil"/>
    <n v="2293809345"/>
    <x v="40"/>
    <s v="-"/>
    <x v="8"/>
    <n v="0"/>
    <n v="0"/>
    <n v="0"/>
    <n v="0"/>
    <n v="0"/>
    <n v="0"/>
    <s v="Reserva importada do Sistema TMS. OS: 68534"/>
    <s v="Tarifa mínima não preenchida! (ACC01)"/>
    <x v="0"/>
    <x v="10"/>
    <s v="Falta de informação Gerencial"/>
    <x v="0"/>
    <s v="Qualidade dos dados"/>
    <s v="KONTIK BUSINESS TRAVEL"/>
    <x v="3"/>
  </r>
  <r>
    <n v="24861318"/>
    <n v="25700101"/>
    <s v="ACC01"/>
    <x v="364"/>
    <d v="2026-07-03T12:35:08"/>
    <x v="1"/>
    <x v="5"/>
    <s v="MBXYZM"/>
    <s v="TMS"/>
    <s v="WILLIAM GONZALES"/>
    <s v="Tms"/>
    <s v="Tms"/>
    <d v="2026-06-15T16:23:42"/>
    <n v="690"/>
    <s v="-"/>
    <s v="ON LINE"/>
    <s v="Outros"/>
    <s v="Cartão convênio"/>
    <x v="0"/>
    <s v="S"/>
    <x v="79"/>
    <s v="Santo Antonio Energia S.a."/>
    <s v="-"/>
    <s v="Latam Airlines Brasil"/>
    <n v="3025700101"/>
    <x v="0"/>
    <s v="-"/>
    <x v="308"/>
    <n v="33.64"/>
    <n v="0"/>
    <n v="0"/>
    <n v="0"/>
    <n v="0"/>
    <n v="0"/>
    <s v="Reserva importada do Sistema TMS. OS: 690"/>
    <s v="Tarifa mínima não preenchida! (ACC01)"/>
    <x v="0"/>
    <x v="10"/>
    <s v="Falta de informação Gerencial"/>
    <x v="0"/>
    <s v="Qualidade dos dados"/>
    <s v="GRUPO KONTIK"/>
    <x v="0"/>
  </r>
  <r>
    <n v="24862065"/>
    <n v="25700980"/>
    <s v="ACC01"/>
    <x v="365"/>
    <d v="2026-07-03T17:20:32"/>
    <x v="1"/>
    <x v="5"/>
    <s v="LNPTMK"/>
    <s v="SABRE"/>
    <s v="FULEKI JUNIOR/FERNANDO"/>
    <s v="V7"/>
    <s v="SHARON STONE RODRIGUES MARQUES"/>
    <d v="2026-07-03T09:21:00"/>
    <s v="3TF7"/>
    <s v="-"/>
    <s v="ON LINE"/>
    <s v="Cartão de crédito"/>
    <s v="Cartão AMEX"/>
    <x v="0"/>
    <s v="N"/>
    <x v="54"/>
    <s v="Atento Brasil S/a"/>
    <s v="-"/>
    <s v="Latam Airlines Brasil"/>
    <n v="2615339924"/>
    <x v="46"/>
    <s v="-"/>
    <x v="312"/>
    <n v="64.56"/>
    <n v="337.63"/>
    <n v="0"/>
    <n v="64.56"/>
    <n v="0"/>
    <n v="0"/>
    <s v="Reserva importada por HubTravel"/>
    <s v="Centro de custo não preenchido! (ACC01) Projeto não preenchido! (ACC01)"/>
    <x v="1"/>
    <x v="5"/>
    <s v="Falta de informação Gerencial"/>
    <x v="0"/>
    <s v="Qualidade dos dados"/>
    <s v="KONTIK BUSINESS TRAVEL"/>
    <x v="2"/>
  </r>
  <r>
    <n v="24852460"/>
    <n v="25689798"/>
    <s v="ACC01"/>
    <x v="366"/>
    <d v="2026-07-06T05:40:27"/>
    <x v="2"/>
    <x v="5"/>
    <s v="GYVKJO"/>
    <s v="TMS"/>
    <s v="CAMILLA TAPIAS"/>
    <s v="Wilson Jose Araujo de Gusmao Junior"/>
    <s v="Wilson Jose Araujo de Gusmao Junior"/>
    <d v="2026-07-01T18:23:00"/>
    <n v="21569"/>
    <s v="-"/>
    <s v="OFF LINE"/>
    <s v="Cartão de crédito"/>
    <s v="Cartão AMEX"/>
    <x v="0"/>
    <s v="N"/>
    <x v="36"/>
    <s v="Braskem - Camacari"/>
    <s v="-"/>
    <s v="American Airlines"/>
    <n v="5232211051"/>
    <x v="32"/>
    <s v="-"/>
    <x v="313"/>
    <n v="163.12"/>
    <n v="0"/>
    <n v="0"/>
    <n v="0"/>
    <n v="0"/>
    <n v="0"/>
    <s v="Reserva importada do Sistema TMS. OS: 21569"/>
    <s v="A venda possui enriquecimento de dados pendente. Aguarde a conclusão antes de prosseguir"/>
    <x v="0"/>
    <x v="21"/>
    <s v="Validação de Dados"/>
    <x v="0"/>
    <s v="Qualidade dos dados"/>
    <s v="GRUPO KONTIK"/>
    <x v="0"/>
  </r>
  <r>
    <n v="24857769"/>
    <n v="25695857"/>
    <s v="ACC01"/>
    <x v="367"/>
    <d v="2026-07-03T17:15:48"/>
    <x v="1"/>
    <x v="5"/>
    <s v="YBEJOG"/>
    <s v="SABRE"/>
    <s v="LUCAS CUNHA BELTRAME"/>
    <s v="5I"/>
    <s v="Felipe Anderson da Silva"/>
    <d v="2026-06-24T06:42:00"/>
    <n v="60255"/>
    <s v="-"/>
    <s v="OFF LINE"/>
    <s v="Invoice"/>
    <s v="Faturado"/>
    <x v="0"/>
    <s v="N"/>
    <x v="72"/>
    <s v="Ingredion Br"/>
    <s v="-"/>
    <s v="United"/>
    <n v="5232171649"/>
    <x v="57"/>
    <s v="-"/>
    <x v="314"/>
    <n v="64.56"/>
    <n v="388.7"/>
    <n v="0"/>
    <n v="64.56"/>
    <n v="0"/>
    <n v="0"/>
    <s v="Reserva importada por HubTravel"/>
    <s v="Departamento não preenchido! (ACC01) Projeto não preenchido! (ACC01)"/>
    <x v="1"/>
    <x v="5"/>
    <s v="Falta de informação Gerencial"/>
    <x v="0"/>
    <s v="Qualidade dos dados"/>
    <s v="KONTIK BUSINESS TRAVEL"/>
    <x v="2"/>
  </r>
  <r>
    <n v="24862003"/>
    <n v="25700906"/>
    <s v="ACC01"/>
    <x v="368"/>
    <d v="2026-07-03T17:16:15"/>
    <x v="1"/>
    <x v="5"/>
    <s v="OIJPOT"/>
    <s v="SABRE"/>
    <s v="VITALIS/CHARLES"/>
    <s v="V7"/>
    <s v="WY"/>
    <d v="2026-07-02T00:00:00"/>
    <s v="OIJPOT"/>
    <s v="-"/>
    <s v="ON LINE"/>
    <s v="Cartão de crédito"/>
    <s v="Cartão de crédito"/>
    <x v="0"/>
    <s v="N"/>
    <x v="11"/>
    <s v="Jti Processadora"/>
    <s v="-"/>
    <s v="Swiss"/>
    <n v="9552144191"/>
    <x v="12"/>
    <s v="-"/>
    <x v="315"/>
    <n v="159.93"/>
    <n v="692.51"/>
    <n v="0"/>
    <n v="159.93"/>
    <n v="0"/>
    <n v="0"/>
    <s v="Reserva importada por HubTravel"/>
    <s v="Centro de custo não preenchido! (ACC01) Empenho/departamento não preenchido! (ACC01) Finalidade não preenchida! (ACC01)"/>
    <x v="1"/>
    <x v="5"/>
    <s v="Falta de informação Gerencial"/>
    <x v="0"/>
    <s v="Qualidade dos dados"/>
    <s v="KONTIK BUSINESS TRAVEL"/>
    <x v="2"/>
  </r>
  <r>
    <n v="24858268"/>
    <n v="25696521"/>
    <s v="ACC01"/>
    <x v="369"/>
    <d v="2026-07-03T17:18:35"/>
    <x v="1"/>
    <x v="5"/>
    <s v="WUOJKNT"/>
    <s v="SABRE"/>
    <s v="ASAPU/NAMASIVAYA  MR"/>
    <s v="VANESSA ARAUJO ALVES"/>
    <s v="VANESSA ARAUJO ALVES"/>
    <d v="2026-07-02T14:35:00"/>
    <s v="WUOJKN"/>
    <s v="-"/>
    <s v="ON LINE"/>
    <s v="Invoice"/>
    <s v="Faturado"/>
    <x v="1"/>
    <s v="N"/>
    <x v="3"/>
    <s v="Innomotics Motores e Grandes Conversores Ltda"/>
    <s v="-"/>
    <s v="Ibis Sao Paulo Paulista"/>
    <s v="-"/>
    <x v="3"/>
    <s v="-"/>
    <x v="316"/>
    <n v="0"/>
    <n v="0"/>
    <n v="0"/>
    <n v="0"/>
    <n v="0"/>
    <n v="0"/>
    <s v="Reserva importada por HubTravel"/>
    <s v="Centro de custo não preenchido! (ACC01) Matrícula não preenchida! (ACC01)"/>
    <x v="1"/>
    <x v="5"/>
    <s v="Falta de informação Gerencial"/>
    <x v="0"/>
    <s v="Qualidade dos dados"/>
    <s v="KONTIK BUSINESS TRAVEL"/>
    <x v="2"/>
  </r>
  <r>
    <n v="24858269"/>
    <n v="25696522"/>
    <s v="ACC01"/>
    <x v="370"/>
    <d v="2026-07-03T17:18:35"/>
    <x v="1"/>
    <x v="5"/>
    <s v="KYUNAXT"/>
    <s v="SABRE"/>
    <s v="ZANDER/MATHIAS MR"/>
    <s v="VANESSA ARAUJO ALVES"/>
    <s v="VANESSA ARAUJO ALVES"/>
    <d v="2026-07-02T14:42:00"/>
    <s v="KYUNAX"/>
    <s v="-"/>
    <s v="ON LINE"/>
    <s v="Invoice"/>
    <s v="Faturado"/>
    <x v="1"/>
    <s v="N"/>
    <x v="3"/>
    <s v="Innomotics Motores e Grandes Conversores Ltda"/>
    <s v="-"/>
    <s v="Ibis Sao Paulo Paulista"/>
    <s v="-"/>
    <x v="3"/>
    <s v="-"/>
    <x v="316"/>
    <n v="0"/>
    <n v="0"/>
    <n v="0"/>
    <n v="0"/>
    <n v="0"/>
    <n v="0"/>
    <s v="Reserva importada por HubTravel"/>
    <s v="Centro de custo não preenchido! (ACC01) Matrícula não preenchida! (ACC01)"/>
    <x v="1"/>
    <x v="5"/>
    <s v="Falta de informação Gerencial"/>
    <x v="0"/>
    <s v="Qualidade dos dados"/>
    <s v="KONTIK BUSINESS TRAVEL"/>
    <x v="2"/>
  </r>
  <r>
    <n v="24848232"/>
    <n v="25684783"/>
    <s v="ACC01"/>
    <x v="371"/>
    <d v="2026-07-02T03:15:58"/>
    <x v="1"/>
    <x v="5"/>
    <s v="EVWTJA"/>
    <s v="GOVER"/>
    <s v="N/I"/>
    <s v="Jose Luiz Lace Rodrigues"/>
    <s v="Jose Luiz Lace Rodrigues"/>
    <d v="2026-07-01T00:00:00"/>
    <n v="4716891"/>
    <s v="-"/>
    <s v="OFF LINE"/>
    <s v="Cartão de crédito"/>
    <s v="Cartão de crédito"/>
    <x v="1"/>
    <s v="N"/>
    <x v="26"/>
    <s v="Bat | Souza Cruz - Matriz"/>
    <s v="-"/>
    <s v="Hotel Deville Prime Porto Alegre"/>
    <s v="-"/>
    <x v="24"/>
    <s v="-"/>
    <x v="317"/>
    <n v="266.39999999999998"/>
    <n v="0"/>
    <n v="0"/>
    <n v="0"/>
    <n v="0"/>
    <n v="0"/>
    <s v="Reserva importada do sistema Gover. Id: 4716891"/>
    <s v="Centro de custo não preenchido! (ACC01)"/>
    <x v="3"/>
    <x v="17"/>
    <s v="Falta de informação Gerencial"/>
    <x v="0"/>
    <s v="Qualidade dos dados"/>
    <s v="KONTIK BUSINESS TRAVEL"/>
    <x v="2"/>
  </r>
  <r>
    <n v="24838052"/>
    <n v="25674779"/>
    <s v="ACC01"/>
    <x v="372"/>
    <d v="2026-06-30T04:03:21"/>
    <x v="6"/>
    <x v="4"/>
    <s v="H4716282"/>
    <s v="GOVER"/>
    <s v="N/I"/>
    <s v="Jose Luiz Lace Rodrigues"/>
    <s v="Jose Luiz Lace Rodrigues"/>
    <d v="2026-06-29T00:00:00"/>
    <n v="4716282"/>
    <s v="-"/>
    <s v="OFF LINE"/>
    <s v="Cartão de crédito"/>
    <s v="Cartão de crédito"/>
    <x v="1"/>
    <s v="N"/>
    <x v="26"/>
    <s v="Bat | Souza Cruz - Matriz"/>
    <s v="-"/>
    <s v="Hotel Deville Prime Porto Alegre"/>
    <s v="-"/>
    <x v="24"/>
    <s v="-"/>
    <x v="318"/>
    <n v="726.75"/>
    <n v="0"/>
    <n v="0"/>
    <n v="0"/>
    <n v="0"/>
    <n v="0"/>
    <s v="Reserva importada do sistema Gover. Id: 4716282"/>
    <s v="Centro de custo não preenchido! (ACC01)"/>
    <x v="3"/>
    <x v="17"/>
    <s v="Falta de informação Gerencial"/>
    <x v="0"/>
    <s v="Qualidade dos dados"/>
    <s v="KONTIK BUSINESS TRAVEL"/>
    <x v="2"/>
  </r>
  <r>
    <n v="24849121"/>
    <n v="25685840"/>
    <s v="ACC01"/>
    <x v="373"/>
    <d v="2026-07-03T17:14:11"/>
    <x v="1"/>
    <x v="5"/>
    <s v="ASWBTET"/>
    <s v="SABRE"/>
    <s v="MORAIS DO NASCIMENTO DE VILA/FERNANDA MS"/>
    <s v="SHARON STONE RODRIGUES MARQUES"/>
    <s v="SHARON STONE RODRIGUES MARQUES"/>
    <d v="2026-07-01T11:42:00"/>
    <s v="ASWBTE"/>
    <s v="-"/>
    <s v="OFF LINE"/>
    <s v="Invoice"/>
    <s v="Faturado"/>
    <x v="1"/>
    <s v="N"/>
    <x v="53"/>
    <s v="Chanel"/>
    <s v="-"/>
    <s v="Quality Faria Lima"/>
    <s v="-"/>
    <x v="45"/>
    <s v="-"/>
    <x v="319"/>
    <n v="0"/>
    <n v="0"/>
    <n v="0"/>
    <n v="0"/>
    <n v="0"/>
    <n v="0"/>
    <s v="Reserva importada por HubTravel"/>
    <s v="Centro de custo não preenchido! (ACC01) Matrícula não preenchida! (ACC01)"/>
    <x v="1"/>
    <x v="5"/>
    <s v="Falta de informação Gerencial"/>
    <x v="0"/>
    <s v="Qualidade dos dados"/>
    <s v="KONTIK BUSINESS TRAVEL"/>
    <x v="2"/>
  </r>
  <r>
    <n v="24834863"/>
    <n v="25671646"/>
    <s v="ACC01"/>
    <x v="374"/>
    <d v="2026-06-29T09:57:40"/>
    <x v="6"/>
    <x v="4"/>
    <s v="6Q7IMT"/>
    <s v="MANUAL"/>
    <s v="CASAGRANDE/PAULO LEONARDO"/>
    <s v="BRUNA SEBBEN"/>
    <s v="BRUNA SEBBEN"/>
    <d v="2026-06-29T09:52:00"/>
    <s v="-"/>
    <s v="-"/>
    <s v="OFF LINE"/>
    <s v="Outros"/>
    <s v="Cartão de crédito"/>
    <x v="3"/>
    <s v="N"/>
    <x v="51"/>
    <s v="Baker Mckenzie - Sao Paulo"/>
    <s v="-"/>
    <s v="Tt Operadora"/>
    <s v="-"/>
    <x v="3"/>
    <s v="-"/>
    <x v="320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2"/>
    <x v="2"/>
    <s v="Forma PG. e REC."/>
    <x v="0"/>
    <s v="Qualidade dos dados"/>
    <s v="KONTIK BUSINESS TRAVEL"/>
    <x v="2"/>
  </r>
  <r>
    <n v="24854875"/>
    <n v="25692575"/>
    <s v="ACC01"/>
    <x v="375"/>
    <d v="2026-07-02T13:16:21"/>
    <x v="1"/>
    <x v="5"/>
    <n v="23559154"/>
    <s v="GOVER"/>
    <s v="Matheus Gayer do Amaral"/>
    <s v="DANIELLE RIZZETO BEZERRA ALVES"/>
    <s v="DANIELLE RIZZETO BEZERRA ALVES"/>
    <d v="2026-07-03T13:05:00"/>
    <n v="4717665"/>
    <s v="-"/>
    <s v="OFF LINE"/>
    <s v="Cartão de crédito"/>
    <s v="Cartão de crédito"/>
    <x v="1"/>
    <s v="N"/>
    <x v="39"/>
    <s v="Intercement Nacoes Unidas"/>
    <s v="-"/>
    <s v="Intercity Premium Berrini"/>
    <s v="-"/>
    <x v="34"/>
    <s v="-"/>
    <x v="321"/>
    <n v="55.1"/>
    <n v="0"/>
    <n v="0"/>
    <n v="0"/>
    <n v="0"/>
    <n v="0"/>
    <s v="Reserva importada do sistema Gover. Id: 4717665"/>
    <s v=" Configurações        -&gt; Configurações do sistema turismo          -&gt; Importação das vendas            -&gt; Impedir vendas com data superior à atual"/>
    <x v="3"/>
    <x v="2"/>
    <s v="Forma PG. e REC."/>
    <x v="0"/>
    <s v="Qualidade dos dados"/>
    <s v="KONTIK BUSINESS TRAVEL"/>
    <x v="3"/>
  </r>
  <r>
    <n v="24853806"/>
    <n v="25691357"/>
    <s v="ACC01"/>
    <x v="376"/>
    <d v="2026-07-02T10:55:11"/>
    <x v="1"/>
    <x v="5"/>
    <s v="h4716872"/>
    <s v="GOVER"/>
    <s v="João  Vitor Valcarenghi"/>
    <s v="Valeria Aparecida Civitate"/>
    <s v="Valeria Aparecida Civitate"/>
    <d v="2026-07-02T00:00:00"/>
    <n v="4716872"/>
    <s v="-"/>
    <s v="OFF LINE"/>
    <s v="Cartão de crédito"/>
    <s v="Cartão de crédito"/>
    <x v="1"/>
    <s v="N"/>
    <x v="80"/>
    <s v="Atlas Copco Brasil"/>
    <s v="-"/>
    <s v="Hotel Coroados - Nova Prata - Inativo"/>
    <s v="-"/>
    <x v="3"/>
    <s v="-"/>
    <x v="322"/>
    <n v="0"/>
    <n v="0"/>
    <n v="0"/>
    <n v="0"/>
    <n v="0"/>
    <n v="0"/>
    <s v="Reserva importada do sistema Gover. Id: 4716872"/>
    <s v="Não foi possível encontrar um contrato válido para o fornecedor 15455 (Código fornecedor) "/>
    <x v="3"/>
    <x v="9"/>
    <s v="Análise Cadastro"/>
    <x v="0"/>
    <s v="Qualidade dos dados"/>
    <s v="KONTIK BUSINESS TRAVEL"/>
    <x v="4"/>
  </r>
  <r>
    <n v="24861202"/>
    <n v="25699970"/>
    <s v="ACC01"/>
    <x v="346"/>
    <d v="2026-07-03T12:11:22"/>
    <x v="1"/>
    <x v="5"/>
    <s v="JRVB4R"/>
    <s v="TMS"/>
    <s v="WILLIAM GONZALES"/>
    <s v="Tms"/>
    <s v="Tms"/>
    <d v="2026-06-15T12:17:40"/>
    <n v="6364"/>
    <s v="-"/>
    <s v="ON LINE"/>
    <s v="Outros"/>
    <s v="Cartão convênio"/>
    <x v="0"/>
    <s v="S"/>
    <x v="66"/>
    <s v="Epson"/>
    <s v="-"/>
    <s v="Azul Linhas Aereas"/>
    <n v="3025699970"/>
    <x v="2"/>
    <s v="-"/>
    <x v="323"/>
    <n v="35.15"/>
    <n v="0"/>
    <n v="0"/>
    <n v="0"/>
    <n v="0"/>
    <n v="0"/>
    <s v="Reserva importada do Sistema TMS. OS: 6364"/>
    <s v="Tarifa mínima não preenchida! (ACC01)"/>
    <x v="0"/>
    <x v="10"/>
    <s v="Falta de informação Gerencial"/>
    <x v="0"/>
    <s v="Qualidade dos dados"/>
    <s v="GRUPO KONTIK"/>
    <x v="0"/>
  </r>
  <r>
    <n v="24861207"/>
    <n v="25699975"/>
    <s v="ACC01"/>
    <x v="377"/>
    <d v="2026-07-03T12:16:09"/>
    <x v="1"/>
    <x v="5"/>
    <s v="KR2VXX"/>
    <s v="TMS"/>
    <s v="WILLIAM GONZALES"/>
    <s v="Tms"/>
    <s v="Tms"/>
    <d v="2026-06-15T15:38:10"/>
    <n v="7867"/>
    <s v="-"/>
    <s v="ON LINE"/>
    <s v="Outros"/>
    <s v="Cartão convênio"/>
    <x v="0"/>
    <s v="S"/>
    <x v="65"/>
    <s v="Hpe Automotores - Catalao"/>
    <s v="-"/>
    <s v="Azul Linhas Aereas"/>
    <n v="3025699975"/>
    <x v="2"/>
    <s v="-"/>
    <x v="324"/>
    <n v="35.15"/>
    <n v="0"/>
    <n v="0"/>
    <n v="0"/>
    <n v="0"/>
    <n v="0"/>
    <s v="Reserva importada do Sistema TMS. OS: 7867"/>
    <s v="Tarifa mínima não preenchida! (ACC01)"/>
    <x v="0"/>
    <x v="10"/>
    <s v="Falta de informação Gerencial"/>
    <x v="0"/>
    <s v="Qualidade dos dados"/>
    <s v="GRUPO KONTIK"/>
    <x v="0"/>
  </r>
  <r>
    <n v="24853839"/>
    <n v="25691393"/>
    <s v="ACC01"/>
    <x v="378"/>
    <d v="2026-07-02T10:56:39"/>
    <x v="1"/>
    <x v="5"/>
    <s v="6RLM81"/>
    <s v="TMS"/>
    <s v="PAZ/LUIS HENRIQUE"/>
    <s v="Jessica Soares Teixeira"/>
    <s v="Jessica Soares Teixeira"/>
    <d v="2026-07-02T09:43:00"/>
    <n v="128601"/>
    <s v="-"/>
    <s v="OFF LINE"/>
    <s v="Cartão de crédito"/>
    <s v="Cartão de crédito"/>
    <x v="0"/>
    <s v="N"/>
    <x v="10"/>
    <s v="Ache Laboratorios Farmaceuticos Sa"/>
    <s v="-"/>
    <s v="Azul Linhas Aereas"/>
    <n v="3025691393"/>
    <x v="11"/>
    <s v="-"/>
    <x v="8"/>
    <n v="175"/>
    <n v="0"/>
    <n v="0"/>
    <n v="0"/>
    <n v="0"/>
    <n v="0"/>
    <s v="Reserva importada do Sistema TMS. OS: 128601"/>
    <s v="Empenho/departamento não preenchido! (ACC01)"/>
    <x v="0"/>
    <x v="7"/>
    <s v="Falta de informação Gerencial"/>
    <x v="0"/>
    <s v="Qualidade dos dados"/>
    <s v="KONTIK BUSINESS TRAVEL"/>
    <x v="3"/>
  </r>
  <r>
    <n v="24853840"/>
    <n v="25691394"/>
    <s v="ACC01"/>
    <x v="379"/>
    <d v="2026-07-02T10:56:39"/>
    <x v="1"/>
    <x v="5"/>
    <s v="6R11KQ"/>
    <s v="TMS"/>
    <s v="PAZ/LUIS HENRIQUE"/>
    <s v="Jessica Soares Teixeira"/>
    <s v="Jessica Soares Teixeira"/>
    <d v="2026-07-02T09:43:00"/>
    <n v="128601"/>
    <s v="-"/>
    <s v="OFF LINE"/>
    <s v="Cartão de crédito"/>
    <s v="Cartão de crédito"/>
    <x v="0"/>
    <s v="N"/>
    <x v="10"/>
    <s v="Ache Laboratorios Farmaceuticos Sa"/>
    <s v="-"/>
    <s v="Azul Linhas Aereas"/>
    <n v="3025691394"/>
    <x v="11"/>
    <s v="-"/>
    <x v="8"/>
    <n v="175"/>
    <n v="0"/>
    <n v="0"/>
    <n v="0"/>
    <n v="0"/>
    <n v="0"/>
    <s v="Reserva importada do Sistema TMS. OS: 128601"/>
    <s v="Empenho/departamento não preenchido! (ACC01)"/>
    <x v="0"/>
    <x v="7"/>
    <s v="Falta de informação Gerencial"/>
    <x v="0"/>
    <s v="Qualidade dos dados"/>
    <s v="KONTIK BUSINESS TRAVEL"/>
    <x v="3"/>
  </r>
  <r>
    <n v="24843269"/>
    <n v="25679578"/>
    <s v="ACC01"/>
    <x v="380"/>
    <d v="2026-06-30T16:51:35"/>
    <x v="6"/>
    <x v="4"/>
    <s v="TR664H"/>
    <s v="TMS"/>
    <s v="MATHEUS MAIA"/>
    <s v="SAMANTHA OLIVEIRA NASCIMENTO"/>
    <s v="SAMANTHA OLIVEIRA NASCIMENTO"/>
    <d v="2026-06-30T11:37:00"/>
    <n v="133667"/>
    <s v="-"/>
    <s v="OFF LINE"/>
    <s v="Cartão de crédito"/>
    <s v="Cartão de crédito"/>
    <x v="0"/>
    <s v="N"/>
    <x v="32"/>
    <s v="Deloitte Auditores - Fortaleza"/>
    <s v="-"/>
    <s v="Azul Linhas Aereas"/>
    <n v="3025679577"/>
    <x v="30"/>
    <s v="-"/>
    <x v="325"/>
    <n v="55.17"/>
    <n v="0"/>
    <n v="0"/>
    <n v="0"/>
    <n v="0"/>
    <n v="0"/>
    <s v="Reserva importada do Sistema TMS. OS: 133667"/>
    <s v="Autorização do cartão da forma de pagamento não preenchida! (ACC01) Autorização do cartão da forma de recebimento não preenchida! (ACC01)"/>
    <x v="0"/>
    <x v="5"/>
    <s v="Falta de informação Gerencial"/>
    <x v="0"/>
    <s v="Qualidade dos dados"/>
    <s v="KONTIK BUSINESS TRAVEL"/>
    <x v="3"/>
  </r>
  <r>
    <n v="24849618"/>
    <n v="25686384"/>
    <s v="ACC01"/>
    <x v="381"/>
    <d v="2026-07-01T16:56:17"/>
    <x v="1"/>
    <x v="5"/>
    <s v="QKDQ5M1"/>
    <s v="TMS"/>
    <s v="CLAUDIA GOMES"/>
    <s v="Adriana Dias de Grano"/>
    <s v="Adriana Dias de Grano"/>
    <d v="2026-07-01T13:51:00"/>
    <n v="133746"/>
    <s v="-"/>
    <s v="OFF LINE"/>
    <s v="Cartão de crédito"/>
    <s v="Cartão AMEX"/>
    <x v="0"/>
    <s v="N"/>
    <x v="32"/>
    <s v="Deloitte Consultores - Sao Paulo"/>
    <s v="-"/>
    <s v="Azul Linhas Aereas"/>
    <n v="3025686384"/>
    <x v="30"/>
    <s v="-"/>
    <x v="8"/>
    <n v="0"/>
    <n v="0"/>
    <n v="0"/>
    <n v="0"/>
    <n v="0"/>
    <n v="0"/>
    <s v="Reserva importada do Sistema TMS. OS: 133746"/>
    <s v="Autorização do cartão da forma de pagamento não preenchida! (ACC01) Autorização do cartão da forma de recebimento não preenchida! (ACC01)"/>
    <x v="0"/>
    <x v="5"/>
    <s v="Falta de informação Gerencial"/>
    <x v="0"/>
    <s v="Qualidade dos dados"/>
    <s v="KONTIK BUSINESS TRAVEL"/>
    <x v="3"/>
  </r>
  <r>
    <n v="24860441"/>
    <n v="25699034"/>
    <s v="ACC01"/>
    <x v="382"/>
    <d v="2026-07-03T17:16:00"/>
    <x v="1"/>
    <x v="5"/>
    <s v="UUQKKQ"/>
    <s v="SABRE"/>
    <s v="ALVES/GLEYCE"/>
    <s v="Valeria Domingues Cavalcante"/>
    <s v="Valeria Domingues Cavalcante"/>
    <d v="2026-07-03T06:19:00"/>
    <s v="UUQKKQ"/>
    <s v="-"/>
    <s v="OFF LINE"/>
    <s v="?"/>
    <s v="?"/>
    <x v="0"/>
    <s v="N"/>
    <x v="15"/>
    <s v="Bosch Home Comfort do Brasil Ltda"/>
    <s v="-"/>
    <s v="Azul Linhas Aereas"/>
    <s v="-"/>
    <x v="16"/>
    <s v="-"/>
    <x v="8"/>
    <n v="0"/>
    <n v="0"/>
    <n v="0"/>
    <n v="0"/>
    <n v="0"/>
    <n v="0"/>
    <s v="Reserva importada por HubTravel"/>
    <s v="Tarifa mínima não preenchida! (ACC01)"/>
    <x v="1"/>
    <x v="10"/>
    <s v="Falta de informação Gerencial"/>
    <x v="0"/>
    <s v="Qualidade dos dados"/>
    <s v="KONTIK BUSINESS TRAVEL"/>
    <x v="2"/>
  </r>
  <r>
    <n v="24836416"/>
    <n v="25673088"/>
    <s v="ACC01"/>
    <x v="383"/>
    <d v="2026-07-03T05:18:46"/>
    <x v="1"/>
    <x v="4"/>
    <s v="SYJGTY01"/>
    <s v="MANUAL"/>
    <s v="MONTEIRO/MANUELA CHEQUER"/>
    <s v="Ernani Afranio dos Santos"/>
    <s v="Ernani Afranio dos Santos"/>
    <d v="2026-02-06T16:18:00"/>
    <s v="XIS8GS"/>
    <s v="-"/>
    <s v="OFF LINE"/>
    <s v="Cartão de crédito"/>
    <s v="Cartão AMEX"/>
    <x v="0"/>
    <s v="N"/>
    <x v="15"/>
    <s v="Robert Bosch Limitada - 908a"/>
    <s v="Cliente FEE no POS"/>
    <s v="Azul Linhas Aereas"/>
    <n v="3025673094"/>
    <x v="16"/>
    <s v="-"/>
    <x v="326"/>
    <n v="56.52"/>
    <n v="1424.09"/>
    <n v="0"/>
    <n v="0"/>
    <n v="0"/>
    <n v="21.9"/>
    <s v="Reserva importada por HubTravel"/>
    <s v="Validação do documento: Documento está dentro de um período financeiro já fechado!"/>
    <x v="2"/>
    <x v="11"/>
    <s v="Financeiro Conciliado"/>
    <x v="1"/>
    <s v="Qualidade dos dados"/>
    <s v="KONTIK BUSINESS TRAVEL"/>
    <x v="2"/>
  </r>
  <r>
    <n v="24861317"/>
    <n v="25700100"/>
    <s v="ACC01"/>
    <x v="364"/>
    <d v="2026-07-03T12:35:07"/>
    <x v="1"/>
    <x v="5"/>
    <s v="QJLW6P"/>
    <s v="TMS"/>
    <s v="WILLIAM GONZALES"/>
    <s v="Tms"/>
    <s v="Tms"/>
    <d v="2026-06-15T16:23:42"/>
    <n v="690"/>
    <s v="-"/>
    <s v="ON LINE"/>
    <s v="Outros"/>
    <s v="Cartão convênio"/>
    <x v="0"/>
    <s v="S"/>
    <x v="79"/>
    <s v="Santo Antonio Energia S.a."/>
    <s v="-"/>
    <s v="Azul Linhas Aereas"/>
    <n v="3025700100"/>
    <x v="0"/>
    <s v="-"/>
    <x v="327"/>
    <n v="62.62"/>
    <n v="0"/>
    <n v="0"/>
    <n v="0"/>
    <n v="0"/>
    <n v="0"/>
    <s v="Reserva importada do Sistema TMS. OS: 690"/>
    <s v="Tarifa mínima não preenchida! (ACC01)"/>
    <x v="0"/>
    <x v="10"/>
    <s v="Falta de informação Gerencial"/>
    <x v="0"/>
    <s v="Qualidade dos dados"/>
    <s v="GRUPO KONTIK"/>
    <x v="0"/>
  </r>
  <r>
    <n v="24858271"/>
    <n v="25696524"/>
    <s v="ACC01"/>
    <x v="384"/>
    <d v="2026-07-03T17:18:36"/>
    <x v="1"/>
    <x v="5"/>
    <s v="SLRLBIT"/>
    <s v="SABRE"/>
    <s v="BUTTON/PAULO ALVARO NANTES MR"/>
    <s v="WS"/>
    <s v="WS"/>
    <d v="2026-07-02T15:28:00"/>
    <s v="SLRLBI"/>
    <s v="-"/>
    <s v="ON LINE"/>
    <s v="Cartão de crédito"/>
    <s v="Cartão de crédito"/>
    <x v="1"/>
    <s v="N"/>
    <x v="21"/>
    <s v="Axa Cs - Inativo"/>
    <s v="Cliente FEE no POS"/>
    <s v="Ibis Buenos Aires Obelisco"/>
    <s v="-"/>
    <x v="21"/>
    <s v="-"/>
    <x v="328"/>
    <n v="56.48"/>
    <n v="0"/>
    <n v="0"/>
    <n v="0"/>
    <n v="0"/>
    <n v="39"/>
    <s v="Reserva importada por HubTravel"/>
    <s v="Centro de custo não preenchido! (ACC01) Empenho/departamento não preenchido! (ACC01)"/>
    <x v="1"/>
    <x v="5"/>
    <s v="Falta de informação Gerencial"/>
    <x v="0"/>
    <s v="Qualidade dos dados"/>
    <s v="KONTIK BUSINESS TRAVEL"/>
    <x v="4"/>
  </r>
  <r>
    <n v="24844568"/>
    <n v="25680936"/>
    <s v="ACC01"/>
    <x v="385"/>
    <d v="2026-07-03T17:13:29"/>
    <x v="1"/>
    <x v="4"/>
    <s v="LOJURET"/>
    <s v="SABRE"/>
    <s v="IZZO/JULIA"/>
    <s v="VANESSA ARAUJO ALVES"/>
    <s v="VANESSA ARAUJO ALVES"/>
    <d v="2026-06-30T14:39:00"/>
    <s v="LOJURE"/>
    <s v="-"/>
    <s v="OFF LINE"/>
    <s v="Invoice"/>
    <s v="Faturado"/>
    <x v="1"/>
    <s v="N"/>
    <x v="81"/>
    <s v="Schulman"/>
    <s v="-"/>
    <s v="Nh Panorama Classic"/>
    <s v="-"/>
    <x v="12"/>
    <s v="-"/>
    <x v="329"/>
    <n v="0"/>
    <n v="0"/>
    <n v="0"/>
    <n v="0"/>
    <n v="0"/>
    <n v="0"/>
    <s v="Reserva importada por HubTravel"/>
    <s v="Centro de custo não preenchido! (ACC01)"/>
    <x v="1"/>
    <x v="17"/>
    <s v="Falta de informação Gerencial"/>
    <x v="0"/>
    <s v="Qualidade dos dados"/>
    <s v="KONTIK BUSINESS TRAVEL"/>
    <x v="2"/>
  </r>
  <r>
    <n v="24861753"/>
    <n v="25700599"/>
    <s v="ACC02"/>
    <x v="298"/>
    <d v="2026-07-03T13:42:27"/>
    <x v="1"/>
    <x v="5"/>
    <s v="WTBGYAT"/>
    <s v="SABRE"/>
    <s v="LEVARD/NICOLAS HUBERT MARIE"/>
    <s v="Felipe Anderson da Silva"/>
    <s v="Felipe Anderson da Silva"/>
    <d v="2026-07-02T14:21:00"/>
    <n v="9999"/>
    <s v="-"/>
    <s v="OFF LINE"/>
    <s v="Cartão de crédito"/>
    <s v="Cartão de crédito"/>
    <x v="1"/>
    <s v="N"/>
    <x v="72"/>
    <s v="Ingredion Br"/>
    <s v="-"/>
    <s v="Intercontinental Cali"/>
    <s v="-"/>
    <x v="57"/>
    <s v="-"/>
    <x v="330"/>
    <n v="88.02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861376"/>
    <n v="25700175"/>
    <s v="ACC03"/>
    <x v="277"/>
    <d v="2026-07-03T12:26:21"/>
    <x v="1"/>
    <x v="5"/>
    <s v="NFZPEWT"/>
    <s v="SABRE"/>
    <s v="KIMURA SHIMURA/LILIAN YUKIKO MRS"/>
    <s v="CT"/>
    <s v="CT"/>
    <d v="2026-07-03T09:20:00"/>
    <s v="NFZPEW"/>
    <s v="-"/>
    <s v="ON LINE"/>
    <s v="Cartão de crédito"/>
    <s v="Cartão de crédito"/>
    <x v="1"/>
    <s v="N"/>
    <x v="16"/>
    <s v="Livanova Brasil"/>
    <s v="-"/>
    <s v="Golden Plaza Hotel"/>
    <s v="-"/>
    <x v="3"/>
    <s v="-"/>
    <x v="331"/>
    <n v="25.88"/>
    <n v="0"/>
    <n v="0"/>
    <n v="0"/>
    <n v="0"/>
    <n v="0"/>
    <s v="Reserva importada por HubTravel"/>
    <s v="Fornecedor não preenchido! (ACC02)"/>
    <x v="1"/>
    <x v="1"/>
    <s v="Campo Fornecedor"/>
    <x v="0"/>
    <s v="Sistêmico"/>
    <s v="GRUPO KONTIK"/>
    <x v="1"/>
  </r>
  <r>
    <n v="24861374"/>
    <n v="25700169"/>
    <s v="ACC01"/>
    <x v="272"/>
    <d v="2026-07-03T12:26:20"/>
    <x v="1"/>
    <x v="5"/>
    <s v="LPPJIVT"/>
    <s v="SABRE"/>
    <s v="PACHECO/FLAVIO"/>
    <s v="CT"/>
    <s v="CT"/>
    <d v="2026-07-03T09:16:00"/>
    <s v="LPPJIV"/>
    <s v="-"/>
    <s v="ON LINE"/>
    <s v="Cartão de crédito"/>
    <s v="Cartão de crédito"/>
    <x v="1"/>
    <s v="N"/>
    <x v="16"/>
    <s v="Livanova Brasil"/>
    <s v="-"/>
    <s v="Golden Plaza Hotel"/>
    <s v="-"/>
    <x v="3"/>
    <s v="-"/>
    <x v="332"/>
    <n v="22.5"/>
    <n v="0"/>
    <n v="0"/>
    <n v="0"/>
    <n v="0"/>
    <n v="0"/>
    <s v="Reserva importada por HubTravel"/>
    <s v="Fornecedor não preenchido! (ACC02)"/>
    <x v="1"/>
    <x v="1"/>
    <s v="Campo Fornecedor"/>
    <x v="0"/>
    <s v="Sistêmico"/>
    <s v="GRUPO KONTIK"/>
    <x v="1"/>
  </r>
  <r>
    <n v="24861376"/>
    <n v="25700173"/>
    <s v="ACC01"/>
    <x v="277"/>
    <d v="2026-07-03T12:26:21"/>
    <x v="1"/>
    <x v="5"/>
    <s v="NFZPEWT"/>
    <s v="SABRE"/>
    <s v="KIMURA SHIMURA/LILIAN YUKIKO MRS"/>
    <s v="CT"/>
    <s v="CT"/>
    <d v="2026-07-03T09:20:00"/>
    <s v="NFZPEW"/>
    <s v="-"/>
    <s v="ON LINE"/>
    <s v="Cartão de crédito"/>
    <s v="Cartão de crédito"/>
    <x v="1"/>
    <s v="N"/>
    <x v="16"/>
    <s v="Livanova Brasil"/>
    <s v="-"/>
    <s v="Golden Plaza Hotel"/>
    <s v="-"/>
    <x v="3"/>
    <s v="-"/>
    <x v="332"/>
    <n v="22.5"/>
    <n v="0"/>
    <n v="0"/>
    <n v="0"/>
    <n v="0"/>
    <n v="0"/>
    <s v="Reserva importada por HubTravel"/>
    <s v="Fornecedor não preenchido! (ACC02)"/>
    <x v="1"/>
    <x v="1"/>
    <s v="Campo Fornecedor"/>
    <x v="0"/>
    <s v="Sistêmico"/>
    <s v="GRUPO KONTIK"/>
    <x v="1"/>
  </r>
  <r>
    <n v="24861374"/>
    <n v="25700171"/>
    <s v="ACC03"/>
    <x v="272"/>
    <d v="2026-07-03T12:26:20"/>
    <x v="1"/>
    <x v="5"/>
    <s v="LPPJIVT"/>
    <s v="SABRE"/>
    <s v="PACHECO/FLAVIO"/>
    <s v="CT"/>
    <s v="CT"/>
    <d v="2026-07-03T09:16:00"/>
    <s v="LPPJIV"/>
    <s v="-"/>
    <s v="ON LINE"/>
    <s v="Cartão de crédito"/>
    <s v="Cartão de crédito"/>
    <x v="1"/>
    <s v="N"/>
    <x v="16"/>
    <s v="Livanova Brasil"/>
    <s v="-"/>
    <s v="Golden Plaza Hotel"/>
    <s v="-"/>
    <x v="3"/>
    <s v="-"/>
    <x v="332"/>
    <n v="22.5"/>
    <n v="0"/>
    <n v="0"/>
    <n v="0"/>
    <n v="0"/>
    <n v="0"/>
    <s v="Reserva importada por HubTravel"/>
    <s v="Fornecedor não preenchido! (ACC02)"/>
    <x v="1"/>
    <x v="1"/>
    <s v="Campo Fornecedor"/>
    <x v="0"/>
    <s v="Sistêmico"/>
    <s v="GRUPO KONTIK"/>
    <x v="1"/>
  </r>
  <r>
    <n v="24844110"/>
    <n v="25680468"/>
    <s v="ACC01"/>
    <x v="386"/>
    <d v="2026-06-30T19:25:59"/>
    <x v="6"/>
    <x v="4"/>
    <s v="6QCY19"/>
    <s v="TMS"/>
    <s v="GABRIEL MIRANDA"/>
    <s v="Tms"/>
    <s v="Tms"/>
    <d v="2026-06-30T10:57:00"/>
    <n v="1583"/>
    <s v="-"/>
    <s v="ON LINE"/>
    <s v="Cartão de crédito"/>
    <s v="Cartão de crédito"/>
    <x v="1"/>
    <s v="N"/>
    <x v="22"/>
    <s v="-"/>
    <s v="-"/>
    <s v="Hyatt Regency Mexico City"/>
    <s v="-"/>
    <x v="9"/>
    <s v="-"/>
    <x v="333"/>
    <n v="0"/>
    <n v="0"/>
    <n v="0"/>
    <n v="0"/>
    <n v="1648.3"/>
    <n v="0"/>
    <s v="Reserva importada do Sistema TMS. OS: 1583"/>
    <s v="Cliente não preenchido! (ACC01)"/>
    <x v="0"/>
    <x v="13"/>
    <s v="Falta de informação Gerencial"/>
    <x v="0"/>
    <s v="Qualidade dos dados"/>
    <s v="KONTIK BUSINESS TRAVEL"/>
    <x v="3"/>
  </r>
  <r>
    <n v="24848939"/>
    <n v="25685636"/>
    <s v="ACC01"/>
    <x v="387"/>
    <d v="2026-07-01T15:05:23"/>
    <x v="1"/>
    <x v="5"/>
    <n v="23543234"/>
    <s v="GOVER"/>
    <s v="THIAGO ESTEVES DE SOUZA SIQUEIRA   "/>
    <s v="DANIELLE RIZZETO BEZERRA ALVES"/>
    <s v="DANIELLE RIZZETO BEZERRA ALVES"/>
    <d v="2026-07-02T14:53:00"/>
    <n v="4716815"/>
    <s v="-"/>
    <s v="OFF LINE"/>
    <s v="Invoice"/>
    <s v="Faturado"/>
    <x v="1"/>
    <s v="N"/>
    <x v="34"/>
    <s v="Biomerieux"/>
    <s v="-"/>
    <s v="Mercure Sao Paulo Moema Times Square"/>
    <s v="-"/>
    <x v="31"/>
    <s v="-"/>
    <x v="334"/>
    <n v="20.9"/>
    <n v="0"/>
    <n v="0"/>
    <n v="0"/>
    <n v="0"/>
    <n v="0"/>
    <s v="Reserva importada do sistema Gover. Id: 4716815"/>
    <s v=" Configurações        -&gt; Configurações do sistema turismo          -&gt; Importação das vendas            -&gt; Impedir vendas com data superior à atual"/>
    <x v="3"/>
    <x v="2"/>
    <s v="Forma PG. e REC."/>
    <x v="0"/>
    <s v="Qualidade dos dados"/>
    <s v="KONTIK BUSINESS TRAVEL"/>
    <x v="3"/>
  </r>
  <r>
    <n v="24847429"/>
    <n v="25683886"/>
    <s v="ACC01"/>
    <x v="283"/>
    <d v="2026-07-03T10:12:22"/>
    <x v="1"/>
    <x v="5"/>
    <s v="HPSCOMT"/>
    <s v="SABRE"/>
    <s v="WOITECHEN/ANDERSON"/>
    <s v="WU"/>
    <s v="WU"/>
    <d v="2026-06-29T07:30:00"/>
    <s v="HPSCOM"/>
    <s v="-"/>
    <s v="OFF LINE"/>
    <s v="Pagamento direto"/>
    <s v="Pagamento direto"/>
    <x v="1"/>
    <s v="N"/>
    <x v="27"/>
    <s v="Grupo Casas Bahia S.a."/>
    <s v="-"/>
    <s v="Hotel Mont Blanc Premium"/>
    <s v="-"/>
    <x v="25"/>
    <s v="-"/>
    <x v="335"/>
    <n v="0"/>
    <n v="0"/>
    <n v="0"/>
    <n v="0"/>
    <n v="0"/>
    <n v="0"/>
    <s v="Reserva importada por HubTravel"/>
    <s v="Fornecedor não preenchido! (ACC02)"/>
    <x v="1"/>
    <x v="1"/>
    <s v="Campo Fornecedor"/>
    <x v="0"/>
    <s v="Qualidade dos dados"/>
    <s v="KONTIK BUSINESS TRAVEL"/>
    <x v="4"/>
  </r>
  <r>
    <n v="24837666"/>
    <n v="25674349"/>
    <s v="ACC01"/>
    <x v="388"/>
    <d v="2026-07-03T17:13:11"/>
    <x v="1"/>
    <x v="4"/>
    <s v="MMYNUOT"/>
    <s v="SABRE"/>
    <s v="HILARIO/RENATA  MRS"/>
    <s v="VANESSA ARAUJO ALVES"/>
    <s v="VANESSA ARAUJO ALVES"/>
    <d v="2026-06-29T13:38:00"/>
    <s v="MMYNUO"/>
    <s v="-"/>
    <s v="OFF LINE"/>
    <s v="Invoice"/>
    <s v="Faturado"/>
    <x v="1"/>
    <s v="N"/>
    <x v="13"/>
    <s v="Freight Logistics International do Brasil Ltda - Inativo"/>
    <s v="-"/>
    <s v="Royal Design Savassi"/>
    <s v="-"/>
    <x v="9"/>
    <s v="-"/>
    <x v="336"/>
    <n v="0"/>
    <n v="0"/>
    <n v="0"/>
    <n v="0"/>
    <n v="0"/>
    <n v="0"/>
    <s v="Reserva importada por HubTravel"/>
    <s v="Necessário cadastrar um contrato para o cliente &quot;&quot;"/>
    <x v="1"/>
    <x v="9"/>
    <s v="Análise Cadastro"/>
    <x v="0"/>
    <s v="Qualidade dos dados"/>
    <s v="KONTIK BUSINESS TRAVEL"/>
    <x v="4"/>
  </r>
  <r>
    <n v="24856167"/>
    <n v="25694106"/>
    <s v="ACC01"/>
    <x v="389"/>
    <d v="2026-07-02T17:05:40"/>
    <x v="1"/>
    <x v="5"/>
    <n v="23561067"/>
    <s v="GOVER"/>
    <s v="WINFRIED KLOREN"/>
    <s v="Marcia Pereira dos Santos Soares"/>
    <s v="Marcia Pereira dos Santos Soares"/>
    <d v="2026-07-03T00:00:00"/>
    <n v="4717155"/>
    <s v="-"/>
    <s v="OFF LINE"/>
    <s v="Pagamento direto"/>
    <s v="Pagamento direto"/>
    <x v="1"/>
    <s v="N"/>
    <x v="71"/>
    <s v="Neovia Nutricao e Saude Animal Ltda."/>
    <s v="-"/>
    <s v="Plaza Inn Breeze Aeroporto Goiania"/>
    <s v="-"/>
    <x v="56"/>
    <s v="-"/>
    <x v="337"/>
    <n v="0"/>
    <n v="0"/>
    <n v="0"/>
    <n v="0"/>
    <n v="0"/>
    <n v="0"/>
    <s v="Reserva importada do sistema Gover. Id: 4717155"/>
    <s v=" Configurações        -&gt; Configurações do sistema turismo          -&gt; Importação das vendas            -&gt; Impedir vendas com data superior à atual"/>
    <x v="3"/>
    <x v="2"/>
    <s v="Forma PG. e REC."/>
    <x v="0"/>
    <s v="Qualidade dos dados"/>
    <s v="KONTIK BUSINESS TRAVEL"/>
    <x v="2"/>
  </r>
  <r>
    <n v="24837053"/>
    <n v="25673702"/>
    <s v="ACC01"/>
    <x v="390"/>
    <d v="2026-07-03T17:13:10"/>
    <x v="1"/>
    <x v="4"/>
    <s v="HKUQHLT"/>
    <s v="SABRE"/>
    <s v="ULIANO/NATALIA"/>
    <s v="VITOR TEICHMANN"/>
    <s v="VITOR TEICHMANN"/>
    <d v="2026-06-26T14:34:00"/>
    <s v="HKUQHL_0"/>
    <s v="-"/>
    <s v="ON LINE"/>
    <s v="Cartão de crédito"/>
    <s v="Cartão de crédito"/>
    <x v="1"/>
    <s v="N"/>
    <x v="8"/>
    <s v="Nielseniq do Brasil"/>
    <s v="Cliente FEE no POS"/>
    <s v="Novotel Rio de Janeiro Leme"/>
    <s v="-"/>
    <x v="8"/>
    <s v="-"/>
    <x v="338"/>
    <n v="308.24"/>
    <n v="0"/>
    <n v="0"/>
    <n v="0"/>
    <n v="0"/>
    <n v="25.95"/>
    <s v="Reserva importada por HubTravel"/>
    <s v="Centro de custo não preenchido! (ACC01)"/>
    <x v="1"/>
    <x v="17"/>
    <s v="Falta de informação Gerencial"/>
    <x v="0"/>
    <s v="Qualidade dos dados"/>
    <s v="KONTIK BUSINESS TRAVEL"/>
    <x v="2"/>
  </r>
  <r>
    <n v="24848005"/>
    <n v="25684531"/>
    <s v="ACC01"/>
    <x v="391"/>
    <d v="2026-07-03T17:14:10"/>
    <x v="1"/>
    <x v="5"/>
    <s v="WAWAXVT"/>
    <s v="SABRE"/>
    <s v="DOUGLAS GOMES DE SOUZA REZZUTTI/VICTOR"/>
    <s v="BRUNA SEBBEN"/>
    <s v="BRUNA SEBBEN"/>
    <d v="2026-06-24T13:56:00"/>
    <s v="WAWAXV"/>
    <s v="-"/>
    <s v="OFF LINE"/>
    <s v="Invoice"/>
    <s v="Faturado"/>
    <x v="1"/>
    <s v="N"/>
    <x v="38"/>
    <s v="Ihs Brasil Cessao de Infraestruturas S a"/>
    <s v="-"/>
    <s v="Ghl Hotel Bioxury"/>
    <s v="-"/>
    <x v="7"/>
    <s v="-"/>
    <x v="339"/>
    <n v="494819"/>
    <n v="0"/>
    <n v="0"/>
    <n v="0"/>
    <n v="0"/>
    <n v="0"/>
    <s v="Reserva importada por HubTravel"/>
    <s v="Empenho/departamento não preenchido! (ACC01)"/>
    <x v="1"/>
    <x v="7"/>
    <s v="Falta de informação Gerencial"/>
    <x v="0"/>
    <s v="Qualidade dos dados"/>
    <s v="KONTIK BUSINESS TRAVEL"/>
    <x v="2"/>
  </r>
  <r>
    <n v="24848580"/>
    <n v="25685207"/>
    <s v="ACC01"/>
    <x v="392"/>
    <d v="2026-07-01T13:46:27"/>
    <x v="1"/>
    <x v="5"/>
    <n v="23540852"/>
    <s v="GOVER"/>
    <s v="Dafi DE ABREU"/>
    <s v="Gover"/>
    <s v="Gover"/>
    <d v="2026-07-01T13:03:00"/>
    <n v="4716935"/>
    <s v="-"/>
    <s v="ON LINE"/>
    <s v="Cartão de crédito"/>
    <s v="Cartão de crédito"/>
    <x v="1"/>
    <s v="N"/>
    <x v="25"/>
    <s v="Arcadis"/>
    <s v="-"/>
    <s v="Maper Mardan Hotel - Inativo"/>
    <s v="-"/>
    <x v="23"/>
    <s v="-"/>
    <x v="340"/>
    <n v="36.36"/>
    <n v="0"/>
    <n v="0"/>
    <n v="0"/>
    <n v="0"/>
    <n v="0"/>
    <s v="Reserva importada do sistema Gover. Id: 4716935"/>
    <s v="Não foi possível encontrar um contrato válido para o fornecedor 52882 (Código fornecedor) "/>
    <x v="3"/>
    <x v="9"/>
    <s v="Análise Cadastro"/>
    <x v="0"/>
    <s v="Qualidade dos dados"/>
    <s v="KONTIK BUSINESS TRAVEL"/>
    <x v="4"/>
  </r>
  <r>
    <n v="24841433"/>
    <n v="25677653"/>
    <s v="ACC01"/>
    <x v="393"/>
    <d v="2026-07-01T03:25:34"/>
    <x v="1"/>
    <x v="4"/>
    <s v="h4716449"/>
    <s v="GOVER"/>
    <s v="N/I"/>
    <s v="Cristiane Santos Pio Memoria"/>
    <s v="Cristiane Santos Pio Memoria"/>
    <d v="2026-06-30T19:00:00"/>
    <n v="4716449"/>
    <s v="-"/>
    <s v="OFF LINE"/>
    <s v="Cartão de crédito"/>
    <s v="Cartão de crédito"/>
    <x v="1"/>
    <s v="N"/>
    <x v="26"/>
    <s v="Bat | Souza Cruz - Matriz"/>
    <s v="-"/>
    <s v="Bartz Hotel - Camaqua"/>
    <s v="-"/>
    <x v="24"/>
    <s v="-"/>
    <x v="88"/>
    <n v="0"/>
    <n v="0"/>
    <n v="0"/>
    <n v="0"/>
    <n v="0"/>
    <n v="0"/>
    <s v="Reserva importada do sistema Gover. Id: 4716449"/>
    <s v="Centro de custo não preenchido! (ACC01)"/>
    <x v="3"/>
    <x v="17"/>
    <s v="Falta de informação Gerencial"/>
    <x v="0"/>
    <s v="Qualidade dos dados"/>
    <s v="KONTIK BUSINESS TRAVEL"/>
    <x v="2"/>
  </r>
  <r>
    <n v="24841433"/>
    <n v="25677655"/>
    <s v="ACC03"/>
    <x v="393"/>
    <d v="2026-07-01T03:25:34"/>
    <x v="1"/>
    <x v="4"/>
    <s v="h4716449"/>
    <s v="GOVER"/>
    <s v="FLUVIO  JANISCH"/>
    <s v="Cristiane Santos Pio Memoria"/>
    <s v="Cristiane Santos Pio Memoria"/>
    <d v="2026-06-30T19:00:00"/>
    <n v="4716449"/>
    <s v="-"/>
    <s v="OFF LINE"/>
    <s v="Cartão de crédito"/>
    <s v="Cartão de crédito"/>
    <x v="1"/>
    <s v="N"/>
    <x v="26"/>
    <s v="Bat | Souza Cruz - Matriz"/>
    <s v="-"/>
    <s v="Bartz Hotel - Camaqua"/>
    <s v="-"/>
    <x v="24"/>
    <s v="-"/>
    <x v="88"/>
    <n v="0"/>
    <n v="0"/>
    <n v="0"/>
    <n v="0"/>
    <n v="0"/>
    <n v="0"/>
    <s v="Reserva importada do sistema Gover. Id: 4716449"/>
    <s v="Centro de custo não preenchido! (ACC01)"/>
    <x v="3"/>
    <x v="17"/>
    <s v="Falta de informação Gerencial"/>
    <x v="0"/>
    <s v="Qualidade dos dados"/>
    <s v="KONTIK BUSINESS TRAVEL"/>
    <x v="2"/>
  </r>
  <r>
    <n v="24848176"/>
    <n v="25684720"/>
    <s v="ACC01"/>
    <x v="394"/>
    <d v="2026-07-03T17:14:10"/>
    <x v="1"/>
    <x v="5"/>
    <s v="CAYBVWT"/>
    <s v="SABRE"/>
    <s v="CORTES/MATHEUS HENRIQUE MR"/>
    <s v="SHARON STONE RODRIGUES MARQUES"/>
    <s v="SHARON STONE RODRIGUES MARQUES"/>
    <d v="2026-07-01T09:51:00"/>
    <s v="CAYBVW"/>
    <s v="-"/>
    <s v="ON LINE"/>
    <s v="Cartão de crédito"/>
    <s v="Cartão de crédito"/>
    <x v="1"/>
    <s v="N"/>
    <x v="4"/>
    <s v="Standard And Poors Ratings do Brasil Ltda"/>
    <s v="Cliente FEE no POS"/>
    <s v="Hyatt Centric Las Condes Santiago"/>
    <s v="-"/>
    <x v="4"/>
    <s v="-"/>
    <x v="341"/>
    <n v="0"/>
    <n v="0"/>
    <n v="0"/>
    <n v="0"/>
    <n v="0"/>
    <n v="0"/>
    <s v="Reserva importada por HubTravel"/>
    <s v="Centro de custo não preenchido! (ACC01)"/>
    <x v="1"/>
    <x v="17"/>
    <s v="Falta de informação Gerencial"/>
    <x v="0"/>
    <s v="Qualidade dos dados"/>
    <s v="KONTIK BUSINESS TRAVEL"/>
    <x v="2"/>
  </r>
  <r>
    <n v="24848177"/>
    <n v="25684721"/>
    <s v="ACC01"/>
    <x v="395"/>
    <d v="2026-07-03T17:14:11"/>
    <x v="1"/>
    <x v="5"/>
    <s v="CDYIGXT"/>
    <s v="SABRE"/>
    <s v="MIGUEL BEDRAN/FLAVIA MRS"/>
    <s v="SHARON STONE RODRIGUES MARQUES"/>
    <s v="SHARON STONE RODRIGUES MARQUES"/>
    <d v="2026-07-01T09:44:00"/>
    <s v="CDYIGX"/>
    <s v="-"/>
    <s v="ON LINE"/>
    <s v="Cartão de crédito"/>
    <s v="Cartão de crédito"/>
    <x v="1"/>
    <s v="N"/>
    <x v="4"/>
    <s v="Standard And Poors Ratings do Brasil Ltda"/>
    <s v="Cliente FEE no POS"/>
    <s v="Hyatt Centric Las Condes Santiago"/>
    <s v="-"/>
    <x v="4"/>
    <s v="-"/>
    <x v="341"/>
    <n v="0"/>
    <n v="0"/>
    <n v="0"/>
    <n v="0"/>
    <n v="0"/>
    <n v="0"/>
    <s v="Reserva importada por HubTravel"/>
    <s v="Centro de custo não preenchido! (ACC01)"/>
    <x v="1"/>
    <x v="17"/>
    <s v="Falta de informação Gerencial"/>
    <x v="0"/>
    <s v="Qualidade dos dados"/>
    <s v="KONTIK BUSINESS TRAVEL"/>
    <x v="2"/>
  </r>
  <r>
    <n v="24862143"/>
    <n v="25701078"/>
    <s v="ACC01"/>
    <x v="396"/>
    <d v="2026-07-03T14:45:48"/>
    <x v="1"/>
    <x v="5"/>
    <n v="23579015"/>
    <s v="GOVER"/>
    <s v="Milena Rocha"/>
    <s v="Gover"/>
    <s v="Gover"/>
    <d v="2026-07-03T14:36:00"/>
    <n v="4718505"/>
    <s v="-"/>
    <s v="ON LINE"/>
    <s v="Cartão de crédito"/>
    <s v="Cartão de crédito"/>
    <x v="1"/>
    <s v="N"/>
    <x v="80"/>
    <s v="Chicago Pneumatic Brasil Ltda - Matriz"/>
    <s v="-"/>
    <s v="Trip Hotel Uba Centro Mg - Inativo"/>
    <s v="-"/>
    <x v="3"/>
    <s v="-"/>
    <x v="92"/>
    <n v="0"/>
    <n v="0"/>
    <n v="0"/>
    <n v="0"/>
    <n v="0"/>
    <n v="0"/>
    <s v="Reserva importada do sistema Gover. Id: 4718505"/>
    <s v="Não foi possível encontrar um contrato válido para o fornecedor 69338 (Código fornecedor) "/>
    <x v="3"/>
    <x v="9"/>
    <s v="Análise Cadastro"/>
    <x v="0"/>
    <s v="Qualidade dos dados"/>
    <s v="KONTIK BUSINESS TRAVEL"/>
    <x v="4"/>
  </r>
  <r>
    <n v="24857569"/>
    <n v="25695614"/>
    <s v="ACC01"/>
    <x v="397"/>
    <d v="2026-07-02T18:46:07"/>
    <x v="1"/>
    <x v="5"/>
    <n v="23566880"/>
    <s v="GOVER"/>
    <s v="Raffaela Teixeira Crosta"/>
    <s v="Gover"/>
    <s v="Gover"/>
    <d v="2026-07-02T17:40:00"/>
    <n v="4718122"/>
    <s v="-"/>
    <s v="ON LINE"/>
    <s v="Cartão de crédito"/>
    <s v="Cartão de crédito"/>
    <x v="1"/>
    <s v="N"/>
    <x v="80"/>
    <s v="Chicago Pneumatic Brasil Ltda - Matriz"/>
    <s v="-"/>
    <s v="Trip Hotel Uba Centro Mg - Inativo"/>
    <s v="-"/>
    <x v="3"/>
    <s v="-"/>
    <x v="342"/>
    <n v="0"/>
    <n v="0"/>
    <n v="0"/>
    <n v="0"/>
    <n v="0"/>
    <n v="0"/>
    <s v="Reserva importada do sistema Gover. Id: 4718122"/>
    <s v="Não foi possível encontrar um contrato válido para o fornecedor 69338 (Código fornecedor) "/>
    <x v="3"/>
    <x v="9"/>
    <s v="Análise Cadastro"/>
    <x v="0"/>
    <s v="Qualidade dos dados"/>
    <s v="KONTIK BUSINESS TRAVEL"/>
    <x v="4"/>
  </r>
  <r>
    <n v="24845309"/>
    <n v="25681708"/>
    <s v="ACC01"/>
    <x v="398"/>
    <d v="2026-07-03T17:13:42"/>
    <x v="1"/>
    <x v="4"/>
    <s v="HNTRHQT"/>
    <s v="SABRE"/>
    <s v="PINHEIRO/DAYANE  DE ALMEIDA MS"/>
    <s v="VANESSA ARAUJO ALVES"/>
    <s v="VANESSA ARAUJO ALVES"/>
    <d v="2026-06-25T11:58:00"/>
    <s v="HNTRHQ"/>
    <s v="-"/>
    <s v="ON LINE"/>
    <s v="Cartão de crédito"/>
    <s v="Cartão de crédito"/>
    <x v="1"/>
    <s v="N"/>
    <x v="17"/>
    <s v="Iron Mountain"/>
    <s v="-"/>
    <s v="Silverton Paiva Experience"/>
    <s v="-"/>
    <x v="17"/>
    <s v="-"/>
    <x v="243"/>
    <n v="9"/>
    <n v="0"/>
    <n v="0"/>
    <n v="0"/>
    <n v="0"/>
    <n v="0"/>
    <s v="Reserva importada por HubTravel"/>
    <s v="Matrícula não preenchida! (ACC01)"/>
    <x v="1"/>
    <x v="4"/>
    <s v="Falta de informação Gerencial"/>
    <x v="0"/>
    <s v="Qualidade dos dados"/>
    <s v="KONTIK BUSINESS TRAVEL"/>
    <x v="2"/>
  </r>
  <r>
    <n v="24841050"/>
    <n v="25677217"/>
    <s v="ACC01"/>
    <x v="399"/>
    <d v="2026-07-01T11:30:20"/>
    <x v="1"/>
    <x v="4"/>
    <s v="6QVOI7"/>
    <s v="TMS"/>
    <s v="LUIS MIGUEL KLINSKY"/>
    <s v="Jeane Alencar Pereira"/>
    <s v="Jeane Alencar Pereira"/>
    <d v="2026-06-30T08:04:00"/>
    <n v="68535"/>
    <s v="Limeira / SP, Brasil (VCP)"/>
    <s v="OFF LINE"/>
    <s v="Invoice"/>
    <s v="Faturado"/>
    <x v="2"/>
    <s v="N"/>
    <x v="47"/>
    <s v="Motiva Filial"/>
    <s v="-"/>
    <s v="Movida - Br - Sp - Sao Paulo - Limeira"/>
    <s v="-"/>
    <x v="40"/>
    <s v="-"/>
    <x v="343"/>
    <n v="0"/>
    <n v="69.52"/>
    <n v="0"/>
    <n v="0"/>
    <n v="0"/>
    <n v="0"/>
    <s v="Reserva importada do Sistema TMS. OS: 68535"/>
    <s v="Não foi possível encontrar um contrato válido para o fornecedor 464646 (Código fornecedor) "/>
    <x v="0"/>
    <x v="9"/>
    <s v="Análise Cadastro"/>
    <x v="0"/>
    <s v="Qualidade dos dados"/>
    <s v="KONTIK BUSINESS TRAVEL"/>
    <x v="4"/>
  </r>
  <r>
    <n v="24841052"/>
    <n v="25677219"/>
    <s v="ACC01"/>
    <x v="400"/>
    <d v="2026-07-01T11:30:22"/>
    <x v="1"/>
    <x v="4"/>
    <s v="6QH98J"/>
    <s v="TMS"/>
    <s v="LUIS MIGUEL KLINSKY"/>
    <s v="EVA SILVA FERREIRA"/>
    <s v="EVA SILVA FERREIRA"/>
    <d v="2026-06-30T09:49:00"/>
    <n v="68478"/>
    <s v="Limeira / SP, Brasil (VCP)"/>
    <s v="OFF LINE"/>
    <s v="Invoice"/>
    <s v="Faturado"/>
    <x v="2"/>
    <s v="N"/>
    <x v="47"/>
    <s v="Motiva Filial"/>
    <s v="-"/>
    <s v="Movida - Br - Sp - Sao Paulo - Limeira"/>
    <s v="-"/>
    <x v="40"/>
    <s v="-"/>
    <x v="344"/>
    <n v="0"/>
    <n v="208.56"/>
    <n v="0"/>
    <n v="0"/>
    <n v="0"/>
    <n v="0"/>
    <s v="Reserva importada do Sistema TMS. OS: 68478"/>
    <s v="Não foi possível encontrar um contrato válido para o fornecedor 464646 (Código fornecedor) "/>
    <x v="0"/>
    <x v="9"/>
    <s v="Análise Cadastro"/>
    <x v="0"/>
    <s v="Qualidade dos dados"/>
    <s v="KONTIK BUSINESS TRAVEL"/>
    <x v="4"/>
  </r>
  <r>
    <n v="24838187"/>
    <n v="25674930"/>
    <s v="ACC01"/>
    <x v="278"/>
    <d v="2026-07-03T09:59:01"/>
    <x v="1"/>
    <x v="4"/>
    <s v="h4715519a"/>
    <s v="GOVER"/>
    <s v="Fernando Gomes Da Mota"/>
    <s v="Gover"/>
    <s v="Gover"/>
    <d v="2026-06-29T18:41:00"/>
    <n v="4715519"/>
    <s v="-"/>
    <s v="OFF LINE"/>
    <s v="Cartão de crédito"/>
    <s v="Cartão de crédito"/>
    <x v="1"/>
    <s v="N"/>
    <x v="26"/>
    <s v="Bat | Souza Cruz - Matriz"/>
    <s v="-"/>
    <s v="Ferronatos Hotel"/>
    <s v="-"/>
    <x v="24"/>
    <s v="-"/>
    <x v="63"/>
    <n v="0"/>
    <n v="0"/>
    <n v="0"/>
    <n v="0"/>
    <n v="0"/>
    <n v="0"/>
    <s v="Reserva importada do sistema Gover. Id: 4715519"/>
    <s v="Fornecedor não preenchido! (ACC02)"/>
    <x v="3"/>
    <x v="1"/>
    <s v="Campo Fornecedor"/>
    <x v="0"/>
    <s v="Sistêmico"/>
    <s v="GRUPO KONTIK"/>
    <x v="1"/>
  </r>
  <r>
    <n v="24841587"/>
    <n v="25677836"/>
    <s v="ACC01"/>
    <x v="401"/>
    <d v="2026-07-01T03:25:58"/>
    <x v="1"/>
    <x v="4"/>
    <s v="H4716477"/>
    <s v="GOVER"/>
    <s v="N/I"/>
    <s v="Cristiane Santos Pio Memoria"/>
    <s v="Cristiane Santos Pio Memoria"/>
    <d v="2026-06-30T19:00:00"/>
    <n v="4716477"/>
    <s v="-"/>
    <s v="OFF LINE"/>
    <s v="Cartão de crédito"/>
    <s v="Cartão de crédito"/>
    <x v="1"/>
    <s v="N"/>
    <x v="26"/>
    <s v="Bat | Souza Cruz - Matriz"/>
    <s v="-"/>
    <s v="Hotel Cangucu"/>
    <s v="-"/>
    <x v="24"/>
    <s v="-"/>
    <x v="345"/>
    <n v="0"/>
    <n v="0"/>
    <n v="0"/>
    <n v="0"/>
    <n v="0"/>
    <n v="0"/>
    <s v="Reserva importada do sistema Gover. Id: 4716477"/>
    <s v="Centro de custo não preenchido! (ACC01)"/>
    <x v="3"/>
    <x v="17"/>
    <s v="Falta de informação Gerencial"/>
    <x v="0"/>
    <s v="Qualidade dos dados"/>
    <s v="KONTIK BUSINESS TRAVEL"/>
    <x v="2"/>
  </r>
  <r>
    <n v="24841587"/>
    <n v="25677838"/>
    <s v="ACC03"/>
    <x v="401"/>
    <d v="2026-07-01T03:25:58"/>
    <x v="1"/>
    <x v="4"/>
    <s v="H4716477"/>
    <s v="GOVER"/>
    <s v="ENIO FEIL"/>
    <s v="Cristiane Santos Pio Memoria"/>
    <s v="Cristiane Santos Pio Memoria"/>
    <d v="2026-06-30T19:00:00"/>
    <n v="4716477"/>
    <s v="-"/>
    <s v="OFF LINE"/>
    <s v="Cartão de crédito"/>
    <s v="Cartão de crédito"/>
    <x v="1"/>
    <s v="N"/>
    <x v="26"/>
    <s v="Bat | Souza Cruz - Matriz"/>
    <s v="-"/>
    <s v="Hotel Cangucu"/>
    <s v="-"/>
    <x v="24"/>
    <s v="-"/>
    <x v="345"/>
    <n v="0"/>
    <n v="0"/>
    <n v="0"/>
    <n v="0"/>
    <n v="0"/>
    <n v="0"/>
    <s v="Reserva importada do sistema Gover. Id: 4716477"/>
    <s v="Centro de custo não preenchido! (ACC01)"/>
    <x v="3"/>
    <x v="17"/>
    <s v="Falta de informação Gerencial"/>
    <x v="0"/>
    <s v="Qualidade dos dados"/>
    <s v="KONTIK BUSINESS TRAVEL"/>
    <x v="2"/>
  </r>
  <r>
    <n v="24855454"/>
    <n v="25693282"/>
    <s v="ACC01"/>
    <x v="402"/>
    <d v="2026-07-03T03:34:22"/>
    <x v="1"/>
    <x v="5"/>
    <s v="H4717960"/>
    <s v="GOVER"/>
    <s v=" WANILDO TIMM"/>
    <s v="Francisca Maria Mangueira"/>
    <s v="Francisca Maria Mangueira"/>
    <d v="2026-07-09T15:34:00"/>
    <n v="4717960"/>
    <s v="-"/>
    <s v="OFF LINE"/>
    <s v="Cartão de crédito"/>
    <s v="Cartão de crédito"/>
    <x v="1"/>
    <s v="N"/>
    <x v="26"/>
    <s v="Bat | Souza Cruz - Matriz"/>
    <s v="-"/>
    <s v="Hotel Cangucu"/>
    <s v="-"/>
    <x v="24"/>
    <s v="-"/>
    <x v="346"/>
    <n v="0"/>
    <n v="0"/>
    <n v="0"/>
    <n v="0"/>
    <n v="0"/>
    <n v="0"/>
    <s v="Reserva importada do sistema Gover. Id: 4717960"/>
    <s v=" Configurações        -&gt; Configurações do sistema turismo          -&gt; Importação das vendas            -&gt; Impedir vendas com data superior à atual"/>
    <x v="3"/>
    <x v="2"/>
    <s v="Forma PG. e REC."/>
    <x v="0"/>
    <s v="Qualidade dos dados"/>
    <s v="KONTIK BUSINESS TRAVEL"/>
    <x v="2"/>
  </r>
  <r>
    <n v="24854574"/>
    <n v="25692199"/>
    <s v="ACC01"/>
    <x v="276"/>
    <d v="2026-07-03T10:00:50"/>
    <x v="1"/>
    <x v="5"/>
    <s v="h4716838a"/>
    <s v="GOVER"/>
    <s v="Laerti Cabral da Silva"/>
    <s v="Gover"/>
    <s v="Gover"/>
    <d v="2026-07-02T11:53:00"/>
    <n v="4716838"/>
    <s v="-"/>
    <s v="OFF LINE"/>
    <s v="Invoice"/>
    <s v="Faturado"/>
    <x v="1"/>
    <s v="N"/>
    <x v="26"/>
    <s v="Bat | Souza Cruz - Matriz"/>
    <s v="-"/>
    <s v="Pousada Sol Nascente Guapimirim"/>
    <s v="-"/>
    <x v="24"/>
    <s v="-"/>
    <x v="243"/>
    <n v="0"/>
    <n v="0"/>
    <n v="0"/>
    <n v="0"/>
    <n v="0"/>
    <n v="0"/>
    <s v="Reserva importada do sistema Gover. Id: 4716838"/>
    <s v="Fornecedor não preenchido! (ACC02)"/>
    <x v="3"/>
    <x v="1"/>
    <s v="Campo Fornecedor"/>
    <x v="0"/>
    <s v="Sistêmico"/>
    <s v="GRUPO KONTIK"/>
    <x v="1"/>
  </r>
  <r>
    <n v="24862984"/>
    <n v="25702103"/>
    <s v="ACC01"/>
    <x v="403"/>
    <d v="2026-07-03T17:11:45"/>
    <x v="1"/>
    <x v="5"/>
    <n v="246359"/>
    <s v="GOVER"/>
    <s v="Henrique CHAGAS"/>
    <s v="DANIELLE RIZZETO BEZERRA ALVES"/>
    <s v="DANIELLE RIZZETO BEZERRA ALVES"/>
    <d v="2026-07-01T12:56:00"/>
    <n v="4716766"/>
    <s v="-"/>
    <s v="OFF LINE"/>
    <s v="Cartão de crédito"/>
    <s v="Faturado"/>
    <x v="1"/>
    <s v="N"/>
    <x v="34"/>
    <s v="Biomerieux"/>
    <s v="-"/>
    <s v="-"/>
    <s v="-"/>
    <x v="31"/>
    <s v="-"/>
    <x v="347"/>
    <n v="57.85"/>
    <n v="0"/>
    <n v="0"/>
    <n v="0"/>
    <n v="0"/>
    <n v="0"/>
    <s v="Reserva importada do sistema Gover. Id: 4716766"/>
    <s v="Fornecedor não preenchido! (ACC01)"/>
    <x v="3"/>
    <x v="1"/>
    <s v="Campo Fornecedor"/>
    <x v="0"/>
    <s v="Sistêmico"/>
    <s v="GRUPO KONTIK"/>
    <x v="1"/>
  </r>
  <r>
    <n v="24861753"/>
    <n v="25700600"/>
    <s v="ACC03"/>
    <x v="298"/>
    <d v="2026-07-03T13:42:27"/>
    <x v="1"/>
    <x v="5"/>
    <s v="WTBGYAT"/>
    <s v="SABRE"/>
    <s v="LEVARD/NICOLAS HUBERT MARIE"/>
    <s v="Felipe Anderson da Silva"/>
    <s v="Felipe Anderson da Silva"/>
    <d v="2026-07-02T14:21:00"/>
    <n v="9999"/>
    <s v="-"/>
    <s v="OFF LINE"/>
    <s v="Cartão de crédito"/>
    <s v="Cartão de crédito"/>
    <x v="1"/>
    <s v="N"/>
    <x v="72"/>
    <s v="Ingredion Br"/>
    <s v="-"/>
    <s v="-"/>
    <s v="-"/>
    <x v="57"/>
    <s v="-"/>
    <x v="348"/>
    <n v="28.56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862904"/>
    <n v="25701997"/>
    <s v="ACC01"/>
    <x v="404"/>
    <d v="2026-07-03T16:57:59"/>
    <x v="1"/>
    <x v="5"/>
    <n v="5651868"/>
    <s v="GOVER"/>
    <s v="Hendel Meireles"/>
    <s v="Marcos de Oliveira Miklos"/>
    <s v="Marcos de Oliveira Miklos"/>
    <d v="2026-06-30T00:00:00"/>
    <n v="4716578"/>
    <s v="-"/>
    <s v="OFF LINE"/>
    <s v="Invoice"/>
    <s v="Faturado"/>
    <x v="1"/>
    <s v="N"/>
    <x v="39"/>
    <s v="Intercement Nacoes Unidas"/>
    <s v="-"/>
    <s v="-"/>
    <s v="-"/>
    <x v="34"/>
    <s v="-"/>
    <x v="349"/>
    <n v="0"/>
    <n v="0"/>
    <n v="0"/>
    <n v="0"/>
    <n v="0"/>
    <n v="0"/>
    <s v="Reserva importada do sistema Gover. Id: 4716578"/>
    <s v="Fornecedor não preenchido! (ACC01)"/>
    <x v="3"/>
    <x v="1"/>
    <s v="Campo Fornecedor"/>
    <x v="0"/>
    <s v="Sistêmico"/>
    <s v="GRUPO KONTIK"/>
    <x v="1"/>
  </r>
  <r>
    <n v="24862982"/>
    <n v="25702101"/>
    <s v="ACC01"/>
    <x v="405"/>
    <d v="2026-07-03T17:11:45"/>
    <x v="1"/>
    <x v="5"/>
    <n v="23550092"/>
    <s v="GOVER"/>
    <s v="Frederico Alberto Sousa Almeida"/>
    <s v="DANIELLE RIZZETO BEZERRA ALVES"/>
    <s v="DANIELLE RIZZETO BEZERRA ALVES"/>
    <d v="2026-07-01T18:19:00"/>
    <n v="4716744"/>
    <s v="-"/>
    <s v="OFF LINE"/>
    <s v="Cartão de crédito"/>
    <s v="Cartão de crédito"/>
    <x v="1"/>
    <s v="N"/>
    <x v="39"/>
    <s v="Intercement Nacoes Unidas"/>
    <s v="-"/>
    <s v="-"/>
    <s v="-"/>
    <x v="34"/>
    <s v="-"/>
    <x v="350"/>
    <n v="33.299999999999997"/>
    <n v="0"/>
    <n v="0"/>
    <n v="0"/>
    <n v="0"/>
    <n v="0"/>
    <s v="Reserva importada do sistema Gover. Id: 4716744"/>
    <s v="Fornecedor não preenchido! (ACC01)"/>
    <x v="3"/>
    <x v="1"/>
    <s v="Campo Fornecedor"/>
    <x v="0"/>
    <s v="Sistêmico"/>
    <s v="GRUPO KONTIK"/>
    <x v="1"/>
  </r>
  <r>
    <n v="24862331"/>
    <n v="25701317"/>
    <s v="ACC01"/>
    <x v="406"/>
    <d v="2026-07-03T15:05:34"/>
    <x v="1"/>
    <x v="5"/>
    <s v="AV78Y4933YA"/>
    <s v="GOVER"/>
    <s v="Leticia Siqueira Mendes"/>
    <s v="DANIELLE RIZZETO BEZERRA ALVES"/>
    <s v="DANIELLE RIZZETO BEZERRA ALVES"/>
    <d v="2026-07-03T15:00:00"/>
    <n v="4718234"/>
    <s v="Localiza - Br - Sp - Sao Jose dos Campos - Agencia Endereço: Av Andromeda, 100 - Agencia Centro "/>
    <s v="OFF LINE"/>
    <s v="Invoice"/>
    <s v="Faturado"/>
    <x v="2"/>
    <s v="N"/>
    <x v="39"/>
    <s v="Intercement Nacoes Unidas"/>
    <s v="-"/>
    <s v="-"/>
    <s v="-"/>
    <x v="34"/>
    <s v="-"/>
    <x v="351"/>
    <n v="0"/>
    <n v="0"/>
    <n v="0"/>
    <n v="0"/>
    <n v="0"/>
    <n v="0"/>
    <s v="Reserva importada do sistema Gover. Id: 4718234"/>
    <s v="Fornecedor não preenchido! (ACC01)"/>
    <x v="3"/>
    <x v="1"/>
    <s v="Campo Fornecedor"/>
    <x v="0"/>
    <s v="Qualidade dos dados"/>
    <s v="KONTIK BUSINESS TRAVEL"/>
    <x v="4"/>
  </r>
  <r>
    <n v="24864653"/>
    <n v="25703916"/>
    <s v="ACC01"/>
    <x v="407"/>
    <d v="2026-07-03T19:27:58"/>
    <x v="1"/>
    <x v="5"/>
    <s v="6RZGYV"/>
    <s v="TMS"/>
    <s v="LEANDRO FIORIN"/>
    <s v="Tms"/>
    <s v="Tms"/>
    <d v="2026-07-03T17:36:00"/>
    <n v="21647"/>
    <s v="Salvador / SSA"/>
    <s v="ON LINE"/>
    <s v="Invoice"/>
    <s v="Faturado"/>
    <x v="2"/>
    <s v="N"/>
    <x v="36"/>
    <s v="Braskem - Camacari"/>
    <s v="-"/>
    <s v="-"/>
    <s v="-"/>
    <x v="32"/>
    <s v="-"/>
    <x v="352"/>
    <n v="0"/>
    <n v="0"/>
    <n v="0"/>
    <n v="0"/>
    <n v="0"/>
    <n v="0"/>
    <s v="Reserva importada do Sistema TMS. OS: 21647"/>
    <s v="Fornecedor não preenchido! (ACC01)"/>
    <x v="0"/>
    <x v="1"/>
    <s v="Campo Fornecedor"/>
    <x v="0"/>
    <s v="Qualidade dos dados"/>
    <s v="KONTIK BUSINESS TRAVEL"/>
    <x v="4"/>
  </r>
  <r>
    <n v="24864658"/>
    <n v="25703921"/>
    <s v="ACC01"/>
    <x v="408"/>
    <d v="2026-07-03T19:28:21"/>
    <x v="1"/>
    <x v="5"/>
    <s v="6RRTYF"/>
    <s v="TMS"/>
    <s v="ANDRE SILVA"/>
    <s v="Tms"/>
    <s v="Tms"/>
    <d v="2026-07-03T15:14:00"/>
    <n v="21643"/>
    <s v="Belo Horizonte / BHZ"/>
    <s v="ON LINE"/>
    <s v="Invoice"/>
    <s v="Faturado"/>
    <x v="2"/>
    <s v="N"/>
    <x v="36"/>
    <s v="Braskem - Camacari"/>
    <s v="-"/>
    <s v="-"/>
    <s v="-"/>
    <x v="32"/>
    <s v="-"/>
    <x v="353"/>
    <n v="0"/>
    <n v="0"/>
    <n v="0"/>
    <n v="0"/>
    <n v="0"/>
    <n v="0"/>
    <s v="Reserva importada do Sistema TMS. OS: 21643"/>
    <s v="Fornecedor não preenchido! (ACC01)"/>
    <x v="0"/>
    <x v="1"/>
    <s v="Campo Fornecedor"/>
    <x v="0"/>
    <s v="Qualidade dos dados"/>
    <s v="KONTIK BUSINESS TRAVEL"/>
    <x v="4"/>
  </r>
  <r>
    <n v="24864665"/>
    <n v="25703928"/>
    <s v="ACC01"/>
    <x v="409"/>
    <d v="2026-07-03T19:30:47"/>
    <x v="1"/>
    <x v="5"/>
    <s v="6RKGH4"/>
    <s v="TMS"/>
    <s v="IBIS CURCINO"/>
    <s v="Tms"/>
    <s v="Tms"/>
    <d v="2026-07-03T14:09:00"/>
    <n v="21637"/>
    <s v="Ribeirão Preto / RAO"/>
    <s v="ON LINE"/>
    <s v="Invoice"/>
    <s v="Faturado"/>
    <x v="2"/>
    <s v="N"/>
    <x v="36"/>
    <s v="Braskem - Camacari"/>
    <s v="-"/>
    <s v="-"/>
    <s v="-"/>
    <x v="32"/>
    <s v="-"/>
    <x v="354"/>
    <n v="0"/>
    <n v="0"/>
    <n v="0"/>
    <n v="0"/>
    <n v="0"/>
    <n v="0"/>
    <s v="Reserva importada do Sistema TMS. OS: 21637"/>
    <s v="Fornecedor não preenchido! (ACC01)"/>
    <x v="0"/>
    <x v="1"/>
    <s v="Campo Fornecedor"/>
    <x v="0"/>
    <s v="Qualidade dos dados"/>
    <s v="KONTIK BUSINESS TRAVEL"/>
    <x v="4"/>
  </r>
  <r>
    <n v="24872461"/>
    <n v="25713152"/>
    <s v="ACC01"/>
    <x v="410"/>
    <d v="2026-07-06T00:40:31"/>
    <x v="2"/>
    <x v="6"/>
    <s v="6RHUCG"/>
    <s v="TMS"/>
    <s v="LUCAS SCHMIDT"/>
    <s v="Tms"/>
    <s v="Tms"/>
    <d v="2026-07-05T21:35:00"/>
    <n v="21662"/>
    <s v="Passo Fundo / PFB"/>
    <s v="ON LINE"/>
    <s v="Invoice"/>
    <s v="Faturado"/>
    <x v="2"/>
    <s v="N"/>
    <x v="36"/>
    <s v="Braskem - Camacari"/>
    <s v="-"/>
    <s v="-"/>
    <s v="-"/>
    <x v="32"/>
    <s v="-"/>
    <x v="355"/>
    <n v="0"/>
    <n v="0"/>
    <n v="0"/>
    <n v="0"/>
    <n v="0"/>
    <n v="0"/>
    <s v="Reserva importada do Sistema TMS. OS: 21662"/>
    <s v="Fornecedor não preenchido! (ACC01)"/>
    <x v="0"/>
    <x v="1"/>
    <s v="Campo Fornecedor"/>
    <x v="0"/>
    <s v="Qualidade dos dados"/>
    <s v="KONTIK BUSINESS TRAVEL"/>
    <x v="4"/>
  </r>
  <r>
    <n v="24862777"/>
    <n v="25701863"/>
    <s v="ACC01"/>
    <x v="411"/>
    <d v="2026-07-03T16:31:22"/>
    <x v="1"/>
    <x v="5"/>
    <s v="FZJHMJT"/>
    <s v="SABRE"/>
    <s v="ALVES/GLEYCE"/>
    <s v="Valeria Domingues Cavalcante"/>
    <s v="Valeria Domingues Cavalcante"/>
    <d v="2026-07-03T13:02:00"/>
    <s v="FZJHMJ"/>
    <s v="-"/>
    <s v="OFF LINE"/>
    <s v="Invoice"/>
    <s v="Faturado"/>
    <x v="1"/>
    <s v="N"/>
    <x v="15"/>
    <s v="Bosch Home Comfort do Brasil Ltda"/>
    <s v="-"/>
    <s v="-"/>
    <s v="-"/>
    <x v="16"/>
    <s v="-"/>
    <x v="356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864161"/>
    <n v="25703380"/>
    <s v="ACC01"/>
    <x v="412"/>
    <d v="2026-07-03T18:48:09"/>
    <x v="1"/>
    <x v="5"/>
    <s v="6RFRFV"/>
    <s v="TMS"/>
    <s v="MAURO MESQUITA"/>
    <s v="Tms"/>
    <s v="Tms"/>
    <d v="2026-07-03T14:25:00"/>
    <n v="22670"/>
    <s v="Salvador / SSA"/>
    <s v="ON LINE"/>
    <s v="Invoice"/>
    <s v="Faturado"/>
    <x v="2"/>
    <s v="N"/>
    <x v="60"/>
    <s v="Petroreconcavo S/a"/>
    <s v="-"/>
    <s v="-"/>
    <s v="-"/>
    <x v="49"/>
    <s v="-"/>
    <x v="357"/>
    <n v="0"/>
    <n v="0"/>
    <n v="0"/>
    <n v="0"/>
    <n v="0"/>
    <n v="0"/>
    <s v="Reserva importada do Sistema TMS. OS: 22670"/>
    <s v="Fornecedor não preenchido! (ACC01)"/>
    <x v="0"/>
    <x v="1"/>
    <s v="Campo Fornecedor"/>
    <x v="0"/>
    <s v="Qualidade dos dados"/>
    <s v="KONTIK BUSINESS TRAVEL"/>
    <x v="4"/>
  </r>
  <r>
    <n v="24862611"/>
    <n v="25701684"/>
    <s v="ACC01"/>
    <x v="413"/>
    <d v="2026-07-03T16:00:23"/>
    <x v="1"/>
    <x v="5"/>
    <n v="2119766671"/>
    <s v="WOOBA"/>
    <s v="Freitas Colaço/Daniel "/>
    <s v="Kontrip"/>
    <s v="Kontrip"/>
    <d v="2026-07-03T15:33:00"/>
    <s v="-"/>
    <s v="-"/>
    <s v="OFF LINE"/>
    <s v="?"/>
    <s v="?"/>
    <x v="1"/>
    <s v="N"/>
    <x v="41"/>
    <s v="Instituto Atlantico"/>
    <s v="-"/>
    <s v="-"/>
    <s v="-"/>
    <x v="35"/>
    <s v="-"/>
    <x v="358"/>
    <n v="0"/>
    <n v="0"/>
    <n v="0"/>
    <n v="0"/>
    <n v="39.76"/>
    <n v="0"/>
    <s v="Reserva importada do Sistema WOOBA. Id: 13809"/>
    <s v="Fornecedor não preenchido! (ACC01)"/>
    <x v="4"/>
    <x v="1"/>
    <s v="Campo Fornecedor"/>
    <x v="0"/>
    <s v="Qualidade dos dados"/>
    <s v="KONTRIP VIAGENS"/>
    <x v="5"/>
  </r>
  <r>
    <n v="24864283"/>
    <n v="25703505"/>
    <s v="ACC01"/>
    <x v="414"/>
    <d v="2026-07-03T18:07:07"/>
    <x v="1"/>
    <x v="5"/>
    <n v="5661263"/>
    <s v="GOVER"/>
    <s v="Anderson Batista Junior"/>
    <s v="ALEXANDRE DA CONCEIÇÃO ALVES"/>
    <s v="ALEXANDRE DA CONCEIÇÃO ALVES"/>
    <d v="2026-07-03T00:00:00"/>
    <n v="4718205"/>
    <s v="-"/>
    <s v="OFF LINE"/>
    <s v="Invoice"/>
    <s v="Faturado"/>
    <x v="1"/>
    <s v="N"/>
    <x v="82"/>
    <s v="Cmoc - Dom Domenico Rangoni"/>
    <s v="-"/>
    <s v="-"/>
    <s v="-"/>
    <x v="62"/>
    <s v="-"/>
    <x v="342"/>
    <n v="0"/>
    <n v="0"/>
    <n v="0"/>
    <n v="0"/>
    <n v="0"/>
    <n v="0"/>
    <s v="Reserva importada do sistema Gover. Id: 4718205"/>
    <s v="Fornecedor não preenchido! (ACC01)"/>
    <x v="3"/>
    <x v="1"/>
    <s v="Campo Fornecedor"/>
    <x v="0"/>
    <s v="Sistêmico"/>
    <s v="GRUPO KONTIK"/>
    <x v="1"/>
  </r>
  <r>
    <n v="24863076"/>
    <n v="25702198"/>
    <s v="ACC01"/>
    <x v="415"/>
    <d v="2026-07-04T04:51:13"/>
    <x v="2"/>
    <x v="5"/>
    <s v="HNJELP"/>
    <s v="GOVER"/>
    <s v="Igor Jose Rhoden"/>
    <s v="Gover"/>
    <s v="Gover"/>
    <d v="2026-07-01T21:40:00"/>
    <n v="4717481"/>
    <s v="-"/>
    <s v="ON LINE"/>
    <s v="Cartão de crédito"/>
    <s v="Cartão de crédito"/>
    <x v="1"/>
    <s v="N"/>
    <x v="49"/>
    <s v="Diageo Brasil"/>
    <s v="Cliente FEE no POS"/>
    <s v="-"/>
    <s v="-"/>
    <x v="43"/>
    <s v="-"/>
    <x v="359"/>
    <n v="9.75"/>
    <n v="0"/>
    <n v="0"/>
    <n v="0"/>
    <n v="0"/>
    <n v="27.34"/>
    <s v="Reserva importada do sistema Gover. Id: 4717481"/>
    <s v="Fornecedor não preenchido! (ACC01)"/>
    <x v="3"/>
    <x v="1"/>
    <s v="Campo Fornecedor"/>
    <x v="0"/>
    <s v="Sistêmico"/>
    <s v="GRUPO KONTIK"/>
    <x v="1"/>
  </r>
  <r>
    <n v="24863750"/>
    <n v="25702941"/>
    <s v="ACC01"/>
    <x v="416"/>
    <d v="2026-07-03T18:00:54"/>
    <x v="1"/>
    <x v="5"/>
    <s v="6RU2XR"/>
    <s v="TMS"/>
    <s v="ISABELLE DASSIER"/>
    <s v="SAMANTHA OLIVEIRA NASCIMENTO"/>
    <s v="SAMANTHA OLIVEIRA NASCIMENTO"/>
    <d v="2026-07-03T15:36:00"/>
    <n v="133789"/>
    <s v="-"/>
    <s v="OFF LINE"/>
    <s v="Pagamento direto"/>
    <s v="Pagamento direto"/>
    <x v="1"/>
    <s v="N"/>
    <x v="32"/>
    <s v="Deloitte Consultores - Sao Paulo"/>
    <s v="-"/>
    <s v="-"/>
    <s v="-"/>
    <x v="30"/>
    <s v="-"/>
    <x v="360"/>
    <n v="0"/>
    <n v="0"/>
    <n v="0"/>
    <n v="0"/>
    <n v="0"/>
    <n v="0"/>
    <s v="Reserva importada do Sistema TMS. OS: 133789"/>
    <s v="Fornecedor não preenchido! (ACC01)"/>
    <x v="0"/>
    <x v="1"/>
    <s v="Campo Fornecedor"/>
    <x v="0"/>
    <s v="Qualidade dos dados"/>
    <s v="KONTIK BUSINESS TRAVEL"/>
    <x v="4"/>
  </r>
  <r>
    <n v="24863751"/>
    <n v="25702942"/>
    <s v="ACC01"/>
    <x v="417"/>
    <d v="2026-07-03T18:00:54"/>
    <x v="1"/>
    <x v="5"/>
    <s v="6RI2WF"/>
    <s v="TMS"/>
    <s v="MAXIMILIANO LUZ"/>
    <s v="SAMANTHA OLIVEIRA NASCIMENTO"/>
    <s v="SAMANTHA OLIVEIRA NASCIMENTO"/>
    <d v="2026-07-03T15:08:00"/>
    <n v="133775"/>
    <s v="-"/>
    <s v="OFF LINE"/>
    <s v="Pagamento direto"/>
    <s v="Pagamento direto"/>
    <x v="1"/>
    <s v="N"/>
    <x v="32"/>
    <s v="Deloitte Assessoria - Sao Paulo"/>
    <s v="-"/>
    <s v="-"/>
    <s v="-"/>
    <x v="30"/>
    <s v="-"/>
    <x v="361"/>
    <n v="0"/>
    <n v="0"/>
    <n v="0"/>
    <n v="0"/>
    <n v="0"/>
    <n v="0"/>
    <s v="Reserva importada do Sistema TMS. OS: 133775"/>
    <s v="Fornecedor não preenchido! (ACC01)"/>
    <x v="0"/>
    <x v="1"/>
    <s v="Campo Fornecedor"/>
    <x v="0"/>
    <s v="Qualidade dos dados"/>
    <s v="KONTIK BUSINESS TRAVEL"/>
    <x v="4"/>
  </r>
  <r>
    <n v="24863752"/>
    <n v="25702943"/>
    <s v="ACC01"/>
    <x v="418"/>
    <d v="2026-07-03T18:00:55"/>
    <x v="1"/>
    <x v="5"/>
    <s v="6RNS2F"/>
    <s v="TMS"/>
    <s v="MAXIMILIANO LUZ"/>
    <s v="SAMANTHA OLIVEIRA NASCIMENTO"/>
    <s v="SAMANTHA OLIVEIRA NASCIMENTO"/>
    <d v="2026-07-03T15:14:00"/>
    <n v="133774"/>
    <s v="-"/>
    <s v="OFF LINE"/>
    <s v="Pagamento direto"/>
    <s v="Pagamento direto"/>
    <x v="1"/>
    <s v="N"/>
    <x v="32"/>
    <s v="Deloitte Assessoria - Sao Paulo"/>
    <s v="-"/>
    <s v="-"/>
    <s v="-"/>
    <x v="30"/>
    <s v="-"/>
    <x v="362"/>
    <n v="0"/>
    <n v="0"/>
    <n v="0"/>
    <n v="0"/>
    <n v="0"/>
    <n v="0"/>
    <s v="Reserva importada do Sistema TMS. OS: 133774"/>
    <s v="Fornecedor não preenchido! (ACC01)"/>
    <x v="0"/>
    <x v="1"/>
    <s v="Campo Fornecedor"/>
    <x v="0"/>
    <s v="Qualidade dos dados"/>
    <s v="KONTIK BUSINESS TRAVEL"/>
    <x v="4"/>
  </r>
  <r>
    <n v="24863754"/>
    <n v="25702947"/>
    <s v="ACC01"/>
    <x v="419"/>
    <d v="2026-07-03T18:00:55"/>
    <x v="1"/>
    <x v="5"/>
    <s v="6RPCSF"/>
    <s v="TMS"/>
    <s v="MAXIMILIANO LUZ"/>
    <s v="SAMANTHA OLIVEIRA NASCIMENTO"/>
    <s v="SAMANTHA OLIVEIRA NASCIMENTO"/>
    <d v="2026-07-03T14:47:00"/>
    <n v="133773"/>
    <s v="-"/>
    <s v="OFF LINE"/>
    <s v="Pagamento direto"/>
    <s v="Pagamento direto"/>
    <x v="1"/>
    <s v="N"/>
    <x v="32"/>
    <s v="Deloitte Assessoria - Sao Paulo"/>
    <s v="-"/>
    <s v="-"/>
    <s v="-"/>
    <x v="30"/>
    <s v="-"/>
    <x v="363"/>
    <n v="0"/>
    <n v="0"/>
    <n v="0"/>
    <n v="0"/>
    <n v="0"/>
    <n v="0"/>
    <s v="Reserva importada do Sistema TMS. OS: 133773"/>
    <s v="Fornecedor não preenchido! (ACC01)"/>
    <x v="0"/>
    <x v="1"/>
    <s v="Campo Fornecedor"/>
    <x v="0"/>
    <s v="Qualidade dos dados"/>
    <s v="KONTIK BUSINESS TRAVEL"/>
    <x v="4"/>
  </r>
  <r>
    <n v="24863909"/>
    <n v="25703105"/>
    <s v="ACC01"/>
    <x v="420"/>
    <d v="2026-07-03T17:47:42"/>
    <x v="1"/>
    <x v="5"/>
    <n v="23585699"/>
    <s v="GOVER"/>
    <s v="Bruna Mariquito Simoes"/>
    <s v="Gover"/>
    <s v="Gover"/>
    <d v="2026-07-03T17:38:00"/>
    <n v="4718686"/>
    <s v="-"/>
    <s v="ON LINE"/>
    <s v="Cartão de crédito"/>
    <s v="Cartão de crédito"/>
    <x v="1"/>
    <s v="N"/>
    <x v="19"/>
    <s v="Energisa Solucoes S.a."/>
    <s v="-"/>
    <s v="-"/>
    <s v="-"/>
    <x v="20"/>
    <s v="-"/>
    <x v="364"/>
    <n v="0"/>
    <n v="0"/>
    <n v="0"/>
    <n v="0"/>
    <n v="0"/>
    <n v="0"/>
    <s v="Reserva importada do sistema Gover. Id: 4718686"/>
    <s v="Fornecedor não preenchido! (ACC01)"/>
    <x v="3"/>
    <x v="1"/>
    <s v="Campo Fornecedor"/>
    <x v="0"/>
    <s v="Sistêmico"/>
    <s v="GRUPO KONTIK"/>
    <x v="1"/>
  </r>
  <r>
    <n v="24863910"/>
    <n v="25703106"/>
    <s v="ACC01"/>
    <x v="421"/>
    <d v="2026-07-03T18:05:45"/>
    <x v="1"/>
    <x v="5"/>
    <n v="23585700"/>
    <s v="GOVER"/>
    <s v="LUIS SILVA"/>
    <s v="Gover"/>
    <s v="Gover"/>
    <d v="2026-07-03T17:38:00"/>
    <n v="4718686"/>
    <s v="-"/>
    <s v="ON LINE"/>
    <s v="Cartão de crédito"/>
    <s v="Cartão de crédito"/>
    <x v="1"/>
    <s v="N"/>
    <x v="19"/>
    <s v="Energisa Solucoes S.a."/>
    <s v="-"/>
    <s v="-"/>
    <s v="-"/>
    <x v="20"/>
    <s v="-"/>
    <x v="364"/>
    <n v="0"/>
    <n v="0"/>
    <n v="0"/>
    <n v="0"/>
    <n v="0"/>
    <n v="0"/>
    <s v="Reserva importada do sistema Gover. Id: 4718686"/>
    <s v="Fornecedor não preenchido! (ACC01)"/>
    <x v="3"/>
    <x v="1"/>
    <s v="Campo Fornecedor"/>
    <x v="0"/>
    <s v="Sistêmico"/>
    <s v="GRUPO KONTIK"/>
    <x v="1"/>
  </r>
  <r>
    <n v="24864606"/>
    <n v="25703852"/>
    <s v="ACC01"/>
    <x v="422"/>
    <d v="2026-07-03T18:54:29"/>
    <x v="1"/>
    <x v="5"/>
    <s v="FCXUXFC"/>
    <s v="SABRE"/>
    <s v="ANDRADE/RAFAEL PIRES DE MR"/>
    <s v="VITOR TEICHMANN"/>
    <s v="VITOR TEICHMANN"/>
    <d v="2026-06-12T13:57:00"/>
    <s v="FCXUXF"/>
    <s v="GRR"/>
    <s v="ON LINE"/>
    <s v="Invoice"/>
    <s v="Faturado"/>
    <x v="2"/>
    <s v="N"/>
    <x v="37"/>
    <s v="Amway do Brasil"/>
    <s v="-"/>
    <s v="-"/>
    <s v="-"/>
    <x v="33"/>
    <s v="-"/>
    <x v="365"/>
    <n v="0"/>
    <n v="0"/>
    <n v="0"/>
    <n v="0"/>
    <n v="0"/>
    <n v="0"/>
    <s v="Reserva importada por HubTravel"/>
    <s v="Matrícula não preenchida! (ACC01)"/>
    <x v="1"/>
    <x v="4"/>
    <s v="Falta de informação Gerencial"/>
    <x v="0"/>
    <s v="Qualidade dos dados"/>
    <s v="KONTIK BUSINESS TRAVEL"/>
    <x v="2"/>
  </r>
  <r>
    <n v="24863766"/>
    <n v="25702959"/>
    <s v="ACC01"/>
    <x v="423"/>
    <d v="2026-07-03T18:03:05"/>
    <x v="1"/>
    <x v="5"/>
    <s v="6R9D24"/>
    <s v="TMS"/>
    <s v="JOAO BARBOSA"/>
    <s v="Tms"/>
    <s v="Tms"/>
    <d v="2026-07-03T14:16:00"/>
    <n v="35483"/>
    <s v="Fortaleza / FOR"/>
    <s v="ON LINE"/>
    <s v="Múltiplos"/>
    <s v="Múltiplos"/>
    <x v="2"/>
    <s v="N"/>
    <x v="64"/>
    <s v="Enaex"/>
    <s v="-"/>
    <s v="-"/>
    <s v="-"/>
    <x v="51"/>
    <s v="-"/>
    <x v="366"/>
    <n v="0"/>
    <n v="0"/>
    <n v="0"/>
    <n v="0"/>
    <n v="0"/>
    <n v="0"/>
    <s v="Reserva importada do Sistema TMS. OS: 35483"/>
    <s v="Fornecedor não preenchido! (ACC01)"/>
    <x v="0"/>
    <x v="1"/>
    <s v="Campo Fornecedor"/>
    <x v="0"/>
    <s v="Qualidade dos dados"/>
    <s v="KONTIK BUSINESS TRAVEL"/>
    <x v="4"/>
  </r>
  <r>
    <n v="24863771"/>
    <n v="25702964"/>
    <s v="ACC01"/>
    <x v="424"/>
    <d v="2026-07-03T18:04:24"/>
    <x v="1"/>
    <x v="5"/>
    <s v="6RVF2F"/>
    <s v="TMS"/>
    <s v="FRANCINE MARTINS"/>
    <s v="Alexandre Isidio da Silva"/>
    <s v="Alexandre Isidio da Silva"/>
    <d v="2026-07-03T11:35:00"/>
    <n v="35469"/>
    <s v="Goiânia / GYN"/>
    <s v="ON LINE"/>
    <s v="Invoice"/>
    <s v="Faturado"/>
    <x v="2"/>
    <s v="N"/>
    <x v="64"/>
    <s v="Enaex"/>
    <s v="-"/>
    <s v="-"/>
    <s v="-"/>
    <x v="51"/>
    <s v="-"/>
    <x v="367"/>
    <n v="0"/>
    <n v="0"/>
    <n v="0"/>
    <n v="0"/>
    <n v="0"/>
    <n v="0"/>
    <s v="Reserva importada do Sistema TMS. OS: 35469"/>
    <s v="Fornecedor não preenchido! (ACC01)"/>
    <x v="0"/>
    <x v="1"/>
    <s v="Campo Fornecedor"/>
    <x v="0"/>
    <s v="Qualidade dos dados"/>
    <s v="KONTIK BUSINESS TRAVEL"/>
    <x v="4"/>
  </r>
  <r>
    <n v="24863773"/>
    <n v="25702966"/>
    <s v="ACC01"/>
    <x v="425"/>
    <d v="2026-07-03T18:04:37"/>
    <x v="1"/>
    <x v="5"/>
    <s v="6RYFX4"/>
    <s v="TMS"/>
    <s v="MARIA SOUZA"/>
    <s v="Marcia Fernandes de Sousa"/>
    <s v="Marcia Fernandes de Sousa"/>
    <d v="2026-07-03T11:36:00"/>
    <n v="35455"/>
    <s v="Maraba / MAB"/>
    <s v="ON LINE"/>
    <s v="Invoice"/>
    <s v="Faturado"/>
    <x v="2"/>
    <s v="N"/>
    <x v="64"/>
    <s v="Enaex"/>
    <s v="-"/>
    <s v="-"/>
    <s v="-"/>
    <x v="51"/>
    <s v="-"/>
    <x v="368"/>
    <n v="0"/>
    <n v="0"/>
    <n v="0"/>
    <n v="0"/>
    <n v="0"/>
    <n v="0"/>
    <s v="Reserva importada do Sistema TMS. OS: 35455"/>
    <s v="Fornecedor não preenchido! (ACC01)"/>
    <x v="0"/>
    <x v="1"/>
    <s v="Campo Fornecedor"/>
    <x v="0"/>
    <s v="Qualidade dos dados"/>
    <s v="KONTIK BUSINESS TRAVEL"/>
    <x v="4"/>
  </r>
  <r>
    <n v="24867246"/>
    <n v="25706803"/>
    <s v="ACC01"/>
    <x v="426"/>
    <d v="2026-07-04T11:36:08"/>
    <x v="2"/>
    <x v="6"/>
    <s v="6R3YP5"/>
    <s v="TMS"/>
    <s v="FRANCIEL SILVA"/>
    <s v="Tms"/>
    <s v="Tms"/>
    <d v="2026-07-04T08:57:00"/>
    <n v="35505"/>
    <s v="Campo Grande / CGR"/>
    <s v="ON LINE"/>
    <s v="Invoice"/>
    <s v="Faturado"/>
    <x v="2"/>
    <s v="N"/>
    <x v="64"/>
    <s v="Enaex"/>
    <s v="-"/>
    <s v="-"/>
    <s v="-"/>
    <x v="51"/>
    <s v="-"/>
    <x v="369"/>
    <n v="0"/>
    <n v="0"/>
    <n v="0"/>
    <n v="0"/>
    <n v="0"/>
    <n v="0"/>
    <s v="Reserva importada do Sistema TMS. OS: 35505"/>
    <s v="Fornecedor não preenchido! (ACC01)"/>
    <x v="0"/>
    <x v="1"/>
    <s v="Campo Fornecedor"/>
    <x v="0"/>
    <s v="Qualidade dos dados"/>
    <s v="KONTIK BUSINESS TRAVEL"/>
    <x v="4"/>
  </r>
  <r>
    <n v="24862309"/>
    <n v="25701287"/>
    <s v="ACC01"/>
    <x v="427"/>
    <d v="2026-07-03T15:01:33"/>
    <x v="1"/>
    <x v="5"/>
    <s v="6RTWOE"/>
    <s v="LEMONTECH"/>
    <s v="MACHADO DE CARVALHO/RAILANA GISNELE"/>
    <s v="Isabela de Melo da Silva"/>
    <s v="Isabela de Melo da Silva"/>
    <d v="2026-06-16T22:47:00"/>
    <n v="19485863"/>
    <s v="HALL AEROPORTO DE SAO LUIS, S/N, TIRIRICAL "/>
    <s v="ON LINE"/>
    <s v="Invoice"/>
    <s v="Faturado"/>
    <x v="2"/>
    <s v="N"/>
    <x v="46"/>
    <s v="Biolab Centro Administrativo - Escritorio"/>
    <s v="-"/>
    <s v="-"/>
    <s v="-"/>
    <x v="39"/>
    <s v="-"/>
    <x v="370"/>
    <n v="78.36"/>
    <n v="251.6"/>
    <n v="0"/>
    <n v="0"/>
    <n v="0"/>
    <n v="0"/>
    <s v="Reserva importada do Sistema Lemontech. Solicitação: 19485863"/>
    <s v="Fornecedor não preenchido! (ACC01)"/>
    <x v="5"/>
    <x v="1"/>
    <s v="Campo Fornecedor"/>
    <x v="0"/>
    <s v="Qualidade dos dados"/>
    <s v="KONTIK BUSINESS TRAVEL"/>
    <x v="4"/>
  </r>
  <r>
    <n v="24864335"/>
    <n v="25703557"/>
    <s v="ACC01"/>
    <x v="428"/>
    <d v="2026-07-03T18:14:56"/>
    <x v="1"/>
    <x v="5"/>
    <s v="6RYV5R"/>
    <s v="LEMONTECH"/>
    <s v="DE AZEVEDO/MARCOS"/>
    <s v="Lemontech"/>
    <s v="Lemontech"/>
    <d v="2026-07-03T00:00:00"/>
    <n v="19605568"/>
    <s v="-"/>
    <s v="ON LINE"/>
    <s v="Cartão de crédito"/>
    <s v="Cartão de crédito"/>
    <x v="1"/>
    <s v="N"/>
    <x v="46"/>
    <s v="Biolab Centro Administrativo - Escritorio"/>
    <s v="-"/>
    <s v="-"/>
    <s v="-"/>
    <x v="39"/>
    <s v="-"/>
    <x v="371"/>
    <n v="0"/>
    <n v="0"/>
    <n v="0"/>
    <n v="0"/>
    <n v="0"/>
    <n v="0"/>
    <s v="Reserva importada do Sistema Lemontech. Solicitação: 19605568"/>
    <s v="Fornecedor não preenchido! (ACC01)"/>
    <x v="5"/>
    <x v="1"/>
    <s v="Campo Fornecedor"/>
    <x v="0"/>
    <s v="Qualidade dos dados"/>
    <s v="KONTIK BUSINESS TRAVEL"/>
    <x v="4"/>
  </r>
  <r>
    <n v="24867082"/>
    <n v="25706611"/>
    <s v="ACC01"/>
    <x v="429"/>
    <d v="2026-07-04T11:06:07"/>
    <x v="2"/>
    <x v="6"/>
    <s v="6R33B5"/>
    <s v="LEMONTECH"/>
    <s v="BORGES UTUMI/FERNANDA HARUMI"/>
    <s v="Lemontech"/>
    <s v="Lemontech"/>
    <d v="2026-07-02T00:00:00"/>
    <n v="19595468"/>
    <s v="-"/>
    <s v="ON LINE"/>
    <s v="Cartão de crédito"/>
    <s v="Cartão de crédito"/>
    <x v="1"/>
    <s v="N"/>
    <x v="46"/>
    <s v="Biolab Centro Administrativo - Escritorio"/>
    <s v="-"/>
    <s v="-"/>
    <s v="-"/>
    <x v="39"/>
    <s v="-"/>
    <x v="92"/>
    <n v="0"/>
    <n v="0"/>
    <n v="0"/>
    <n v="0"/>
    <n v="0"/>
    <n v="0"/>
    <s v="Reserva importada do Sistema Lemontech. Solicitação: 19595468"/>
    <s v="Fornecedor não preenchido! (ACC01)"/>
    <x v="5"/>
    <x v="1"/>
    <s v="Campo Fornecedor"/>
    <x v="0"/>
    <s v="Qualidade dos dados"/>
    <s v="KONTIK BUSINESS TRAVEL"/>
    <x v="4"/>
  </r>
  <r>
    <n v="24866922"/>
    <n v="25706383"/>
    <s v="ACC01"/>
    <x v="430"/>
    <d v="2026-07-04T10:06:41"/>
    <x v="2"/>
    <x v="6"/>
    <s v="6RKXBT"/>
    <s v="LEMONTECH"/>
    <s v="GOMES/ADILMA"/>
    <s v="Lemontech"/>
    <s v="Lemontech"/>
    <d v="2026-07-03T00:00:00"/>
    <n v="19608144"/>
    <s v="-"/>
    <s v="ON LINE"/>
    <s v="Cartão de crédito"/>
    <s v="Cartão de crédito"/>
    <x v="1"/>
    <s v="N"/>
    <x v="46"/>
    <s v="Biolab Centro Administrativo - Escritorio"/>
    <s v="-"/>
    <s v="-"/>
    <s v="-"/>
    <x v="39"/>
    <s v="-"/>
    <x v="372"/>
    <n v="0"/>
    <n v="0"/>
    <n v="0"/>
    <n v="0"/>
    <n v="7.66"/>
    <n v="0"/>
    <s v="Reserva importada do Sistema Lemontech. Solicitação: 19608144"/>
    <s v="Fornecedor não preenchido! (ACC01)"/>
    <x v="5"/>
    <x v="1"/>
    <s v="Campo Fornecedor"/>
    <x v="0"/>
    <s v="Qualidade dos dados"/>
    <s v="KONTIK BUSINESS TRAVEL"/>
    <x v="4"/>
  </r>
  <r>
    <n v="24864207"/>
    <n v="25703427"/>
    <s v="ACC01"/>
    <x v="431"/>
    <d v="2026-07-03T18:01:08"/>
    <x v="1"/>
    <x v="5"/>
    <s v="JYSDEET"/>
    <s v="SABRE"/>
    <s v="BOTELHO/JOHNNY  HALLEN DA SILVA MR"/>
    <s v="JULIANE MARTINS FERREIRA"/>
    <s v="JULIANE MARTINS FERREIRA"/>
    <d v="2026-07-03T15:07:00"/>
    <s v="EMAIL"/>
    <s v="-"/>
    <s v="OFF LINE"/>
    <s v="Invoice"/>
    <s v="Faturado"/>
    <x v="1"/>
    <s v="N"/>
    <x v="7"/>
    <s v="Weir do Brasil Ltda"/>
    <s v="-"/>
    <s v="-"/>
    <s v="-"/>
    <x v="7"/>
    <s v="-"/>
    <x v="373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862550"/>
    <n v="25701603"/>
    <s v="ACC01"/>
    <x v="432"/>
    <d v="2026-07-03T15:48:39"/>
    <x v="1"/>
    <x v="5"/>
    <s v="YUTCHUT"/>
    <s v="SABRE"/>
    <s v="CAITANO/PAULO HENRIQUE MR"/>
    <s v="JULIANE MARTINS FERREIRA"/>
    <s v="JULIANE MARTINS FERREIRA"/>
    <d v="2026-07-03T10:42:00"/>
    <s v="EMAIL"/>
    <s v="-"/>
    <s v="OFF LINE"/>
    <s v="Invoice"/>
    <s v="Faturado"/>
    <x v="1"/>
    <s v="N"/>
    <x v="7"/>
    <s v="Weir do Brasil Ltda"/>
    <s v="-"/>
    <s v="-"/>
    <s v="-"/>
    <x v="7"/>
    <s v="-"/>
    <x v="8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865809"/>
    <n v="25705249"/>
    <s v="ACC01"/>
    <x v="433"/>
    <d v="2026-07-04T00:04:19"/>
    <x v="2"/>
    <x v="5"/>
    <s v="6R85IF"/>
    <s v="TMS"/>
    <s v="MARCIO ANACLETO CASTILHO"/>
    <s v="Tms"/>
    <s v="Tms"/>
    <d v="2026-07-03T19:13:00"/>
    <n v="118813"/>
    <s v="Rio das Ostras / RI2"/>
    <s v="ON LINE"/>
    <s v="Invoice"/>
    <s v="Faturado"/>
    <x v="2"/>
    <s v="N"/>
    <x v="5"/>
    <s v="Oceanpact Servicos Maritimos"/>
    <s v="-"/>
    <s v="-"/>
    <s v="-"/>
    <x v="5"/>
    <s v="-"/>
    <x v="374"/>
    <n v="0"/>
    <n v="0"/>
    <n v="0"/>
    <n v="0"/>
    <n v="0"/>
    <n v="0"/>
    <s v="Reserva importada do Sistema TMS. OS: 118813"/>
    <s v="Fornecedor não preenchido! (ACC01)"/>
    <x v="0"/>
    <x v="1"/>
    <s v="Campo Fornecedor"/>
    <x v="0"/>
    <s v="Qualidade dos dados"/>
    <s v="KONTIK BUSINESS TRAVEL"/>
    <x v="4"/>
  </r>
  <r>
    <n v="24864086"/>
    <n v="25703284"/>
    <s v="ACC01"/>
    <x v="434"/>
    <d v="2026-07-03T18:41:27"/>
    <x v="1"/>
    <x v="5"/>
    <s v="6R01RF"/>
    <s v="TMS"/>
    <s v="ANDREZA MENEZES"/>
    <s v="Tms"/>
    <s v="Tms"/>
    <d v="2026-07-03T16:39:00"/>
    <n v="118645"/>
    <s v="Belém / BEL"/>
    <s v="ON LINE"/>
    <s v="Invoice"/>
    <s v="Faturado"/>
    <x v="2"/>
    <s v="N"/>
    <x v="5"/>
    <s v="Oceanpact Geociencias"/>
    <s v="-"/>
    <s v="-"/>
    <s v="-"/>
    <x v="5"/>
    <s v="-"/>
    <x v="375"/>
    <n v="0"/>
    <n v="0"/>
    <n v="0"/>
    <n v="0"/>
    <n v="0"/>
    <n v="0"/>
    <s v="Reserva importada do Sistema TMS. OS: 118645"/>
    <s v="Fornecedor não preenchido! (ACC01)"/>
    <x v="0"/>
    <x v="1"/>
    <s v="Campo Fornecedor"/>
    <x v="0"/>
    <s v="Qualidade dos dados"/>
    <s v="KONTIK BUSINESS TRAVEL"/>
    <x v="4"/>
  </r>
  <r>
    <n v="24862654"/>
    <n v="25701729"/>
    <s v="ACC01"/>
    <x v="435"/>
    <d v="2026-07-03T16:07:04"/>
    <x v="1"/>
    <x v="5"/>
    <n v="23581882"/>
    <s v="GOVER"/>
    <s v="Laerte Bento Viola"/>
    <s v="Gover"/>
    <s v="Gover"/>
    <d v="2026-07-03T15:55:00"/>
    <n v="4718600"/>
    <s v="-"/>
    <s v="ON LINE"/>
    <s v="Cartão de crédito"/>
    <s v="Cartão de crédito"/>
    <x v="1"/>
    <s v="N"/>
    <x v="25"/>
    <s v="Arcadis"/>
    <s v="-"/>
    <s v="-"/>
    <s v="-"/>
    <x v="23"/>
    <s v="-"/>
    <x v="376"/>
    <n v="0"/>
    <n v="0"/>
    <n v="0"/>
    <n v="0"/>
    <n v="0"/>
    <n v="0"/>
    <s v="Reserva importada do sistema Gover. Id: 4718600"/>
    <s v="Fornecedor não preenchido! (ACC01)"/>
    <x v="3"/>
    <x v="1"/>
    <s v="Campo Fornecedor"/>
    <x v="0"/>
    <s v="Sistêmico"/>
    <s v="GRUPO KONTIK"/>
    <x v="1"/>
  </r>
  <r>
    <n v="24863421"/>
    <n v="25702574"/>
    <s v="ACC01"/>
    <x v="436"/>
    <d v="2026-07-03T17:25:58"/>
    <x v="1"/>
    <x v="5"/>
    <s v="6RGN0R"/>
    <s v="TMS"/>
    <s v="LUCAS GONCALVES"/>
    <s v="Tms"/>
    <s v="Tms"/>
    <d v="2026-07-03T13:17:00"/>
    <n v="130486"/>
    <s v="-"/>
    <s v="ON LINE"/>
    <s v="Pagamento direto"/>
    <s v="Pagamento direto"/>
    <x v="1"/>
    <s v="N"/>
    <x v="10"/>
    <s v="Ache Laboratorios Farmaceuticos Sa"/>
    <s v="-"/>
    <s v="-"/>
    <s v="-"/>
    <x v="11"/>
    <s v="-"/>
    <x v="377"/>
    <n v="0"/>
    <n v="0"/>
    <n v="0"/>
    <n v="0"/>
    <n v="0"/>
    <n v="0"/>
    <s v="Reserva importada do Sistema TMS. OS: 130486"/>
    <s v="Fornecedor não preenchido! (ACC01)"/>
    <x v="0"/>
    <x v="1"/>
    <s v="Campo Fornecedor"/>
    <x v="0"/>
    <s v="Sistêmico"/>
    <s v="GRUPO KONTIK"/>
    <x v="1"/>
  </r>
  <r>
    <n v="24863778"/>
    <n v="25702973"/>
    <s v="ACC01"/>
    <x v="437"/>
    <d v="2026-07-03T18:06:05"/>
    <x v="1"/>
    <x v="5"/>
    <s v="6R0T24"/>
    <s v="TMS"/>
    <s v="FRANCISCO PEREIRA"/>
    <s v="Tms"/>
    <s v="Tms"/>
    <d v="2026-07-03T15:55:00"/>
    <n v="6529"/>
    <s v="Barueri / SAO"/>
    <s v="ON LINE"/>
    <s v="Invoice"/>
    <s v="Faturado"/>
    <x v="2"/>
    <s v="N"/>
    <x v="66"/>
    <s v="Epson"/>
    <s v="-"/>
    <s v="-"/>
    <s v="-"/>
    <x v="2"/>
    <s v="-"/>
    <x v="378"/>
    <n v="0"/>
    <n v="0"/>
    <n v="0"/>
    <n v="0"/>
    <n v="0"/>
    <n v="0"/>
    <s v="Reserva importada do Sistema TMS. OS: 6529"/>
    <s v="Fornecedor não preenchido! (ACC01)"/>
    <x v="0"/>
    <x v="1"/>
    <s v="Campo Fornecedor"/>
    <x v="0"/>
    <s v="Qualidade dos dados"/>
    <s v="KONTIK BUSINESS TRAVEL"/>
    <x v="4"/>
  </r>
  <r>
    <n v="24863785"/>
    <n v="25702980"/>
    <s v="ACC01"/>
    <x v="438"/>
    <d v="2026-07-03T18:06:54"/>
    <x v="1"/>
    <x v="5"/>
    <s v="6RFGS4"/>
    <s v="TMS"/>
    <s v="LUIZ OLIVEIRA"/>
    <s v="Beatrys Ferreira Rocha"/>
    <s v="Beatrys Ferreira Rocha"/>
    <d v="2026-07-03T12:26:00"/>
    <n v="6525"/>
    <s v="São José do Rio Preto / SJP"/>
    <s v="ON LINE"/>
    <s v="Invoice"/>
    <s v="Faturado"/>
    <x v="2"/>
    <s v="N"/>
    <x v="66"/>
    <s v="Epson"/>
    <s v="-"/>
    <s v="-"/>
    <s v="-"/>
    <x v="2"/>
    <s v="-"/>
    <x v="379"/>
    <n v="0"/>
    <n v="0"/>
    <n v="0"/>
    <n v="0"/>
    <n v="0"/>
    <n v="0"/>
    <s v="Reserva importada do Sistema TMS. OS: 6525"/>
    <s v="Fornecedor não preenchido! (ACC01)"/>
    <x v="0"/>
    <x v="1"/>
    <s v="Campo Fornecedor"/>
    <x v="0"/>
    <s v="Qualidade dos dados"/>
    <s v="GRUPO KONTIK"/>
    <x v="0"/>
  </r>
  <r>
    <n v="24864469"/>
    <n v="25703698"/>
    <s v="ACC01"/>
    <x v="439"/>
    <d v="2026-07-03T19:19:13"/>
    <x v="1"/>
    <x v="5"/>
    <s v="6RHB6R"/>
    <s v="TMS"/>
    <s v="FLAVIO HENRIQUE CARDOZO"/>
    <s v="Tms"/>
    <s v="Tms"/>
    <d v="2026-07-03T13:59:00"/>
    <n v="45098"/>
    <s v="Curitiba / CWB"/>
    <s v="ON LINE"/>
    <s v="Invoice"/>
    <s v="Faturado"/>
    <x v="2"/>
    <s v="N"/>
    <x v="44"/>
    <s v="Pagseguro Internet Instituicao de Pagamento S.a."/>
    <s v="-"/>
    <s v="-"/>
    <s v="-"/>
    <x v="37"/>
    <s v="-"/>
    <x v="380"/>
    <n v="0"/>
    <n v="0"/>
    <n v="0"/>
    <n v="0"/>
    <n v="0"/>
    <n v="0"/>
    <s v="Reserva importada do Sistema TMS. OS: 45098"/>
    <s v="Fornecedor não preenchido! (ACC01)"/>
    <x v="0"/>
    <x v="1"/>
    <s v="Campo Fornecedor"/>
    <x v="0"/>
    <s v="Qualidade dos dados"/>
    <s v="KONTIK BUSINESS TRAVEL"/>
    <x v="4"/>
  </r>
  <r>
    <n v="24864471"/>
    <n v="25703700"/>
    <s v="ACC01"/>
    <x v="440"/>
    <d v="2026-07-03T19:20:40"/>
    <x v="1"/>
    <x v="5"/>
    <s v="6R7MYV"/>
    <s v="TMS"/>
    <s v="NATALIA CONTE FERREIRA KLEIN"/>
    <s v="Tms"/>
    <s v="Tms"/>
    <d v="2026-07-03T16:38:00"/>
    <n v="45097"/>
    <s v="Vitoria / VIX"/>
    <s v="ON LINE"/>
    <s v="Invoice"/>
    <s v="Faturado"/>
    <x v="2"/>
    <s v="N"/>
    <x v="44"/>
    <s v="Pagseguro Internet Instituicao de Pagamento S.a."/>
    <s v="-"/>
    <s v="-"/>
    <s v="-"/>
    <x v="37"/>
    <s v="-"/>
    <x v="381"/>
    <n v="0"/>
    <n v="0"/>
    <n v="0"/>
    <n v="0"/>
    <n v="0"/>
    <n v="0"/>
    <s v="Reserva importada do Sistema TMS. OS: 45097"/>
    <s v="Fornecedor não preenchido! (ACC01)"/>
    <x v="0"/>
    <x v="1"/>
    <s v="Campo Fornecedor"/>
    <x v="0"/>
    <s v="Qualidade dos dados"/>
    <s v="KONTIK BUSINESS TRAVEL"/>
    <x v="4"/>
  </r>
  <r>
    <n v="24864477"/>
    <n v="25703706"/>
    <s v="ACC01"/>
    <x v="441"/>
    <d v="2026-07-03T19:21:05"/>
    <x v="1"/>
    <x v="5"/>
    <s v="6RBZYF"/>
    <s v="TMS"/>
    <s v="FERNANDO DOGNINI"/>
    <s v="Tms"/>
    <s v="Tms"/>
    <d v="2026-07-03T16:38:00"/>
    <n v="45086"/>
    <s v="Blumenau / BNU"/>
    <s v="ON LINE"/>
    <s v="Invoice"/>
    <s v="Faturado"/>
    <x v="2"/>
    <s v="N"/>
    <x v="44"/>
    <s v="Pagseguro Internet Instituicao de Pagamento S.a."/>
    <s v="-"/>
    <s v="-"/>
    <s v="-"/>
    <x v="37"/>
    <s v="-"/>
    <x v="382"/>
    <n v="0"/>
    <n v="0"/>
    <n v="0"/>
    <n v="0"/>
    <n v="0"/>
    <n v="0"/>
    <s v="Reserva importada do Sistema TMS. OS: 45086"/>
    <s v="Fornecedor não preenchido! (ACC01)"/>
    <x v="0"/>
    <x v="1"/>
    <s v="Campo Fornecedor"/>
    <x v="0"/>
    <s v="Qualidade dos dados"/>
    <s v="KONTIK BUSINESS TRAVEL"/>
    <x v="4"/>
  </r>
  <r>
    <n v="24864481"/>
    <n v="25703710"/>
    <s v="ACC01"/>
    <x v="442"/>
    <d v="2026-07-03T19:21:29"/>
    <x v="1"/>
    <x v="5"/>
    <s v="6RCQHF"/>
    <s v="TMS"/>
    <s v="FERNANDO DOGNINI"/>
    <s v="Tms"/>
    <s v="Tms"/>
    <d v="2026-07-03T16:37:00"/>
    <n v="45083"/>
    <s v="Blumenau / BNU"/>
    <s v="ON LINE"/>
    <s v="Invoice"/>
    <s v="Faturado"/>
    <x v="2"/>
    <s v="N"/>
    <x v="44"/>
    <s v="Pagseguro Internet Instituicao de Pagamento S.a."/>
    <s v="-"/>
    <s v="-"/>
    <s v="-"/>
    <x v="37"/>
    <s v="-"/>
    <x v="383"/>
    <n v="0"/>
    <n v="0"/>
    <n v="0"/>
    <n v="0"/>
    <n v="0"/>
    <n v="0"/>
    <s v="Reserva importada do Sistema TMS. OS: 45083"/>
    <s v="Fornecedor não preenchido! (ACC01)"/>
    <x v="0"/>
    <x v="1"/>
    <s v="Campo Fornecedor"/>
    <x v="0"/>
    <s v="Qualidade dos dados"/>
    <s v="KONTIK BUSINESS TRAVEL"/>
    <x v="4"/>
  </r>
  <r>
    <n v="24864077"/>
    <n v="25703275"/>
    <s v="ACC01"/>
    <x v="443"/>
    <d v="2026-07-03T18:00:35"/>
    <x v="1"/>
    <x v="5"/>
    <n v="23586023"/>
    <s v="GOVER"/>
    <s v="Eliomara Ferreira de Jesus Santana"/>
    <s v="Gover"/>
    <s v="Gover"/>
    <d v="2026-07-03T17:47:00"/>
    <n v="4718695"/>
    <s v="-"/>
    <s v="ON LINE"/>
    <s v="Invoice"/>
    <s v="Faturado"/>
    <x v="1"/>
    <s v="N"/>
    <x v="83"/>
    <s v="Lojas Marisa"/>
    <s v="-"/>
    <s v="-"/>
    <s v="-"/>
    <x v="0"/>
    <s v="-"/>
    <x v="384"/>
    <n v="0"/>
    <n v="0"/>
    <n v="0"/>
    <n v="0"/>
    <n v="0"/>
    <n v="0"/>
    <s v="Reserva importada do sistema Gover. Id: 4718695"/>
    <s v="Fornecedor não preenchido! (ACC01)"/>
    <x v="3"/>
    <x v="1"/>
    <s v="Campo Fornecedor"/>
    <x v="0"/>
    <s v="Sistêmico"/>
    <s v="GRUPO KONTIK"/>
    <x v="1"/>
  </r>
  <r>
    <n v="24862545"/>
    <n v="25701594"/>
    <s v="ACC01"/>
    <x v="444"/>
    <d v="2026-07-03T17:18:37"/>
    <x v="1"/>
    <x v="5"/>
    <s v="DPJPFWT"/>
    <s v="SABRE"/>
    <s v="ALBUQUERQUE/GUSTAVO VIEIRA DA FONSECA MR"/>
    <s v="Adriana Vieira de Freitas dos Santos"/>
    <s v="Adriana Vieira de Freitas dos Santos"/>
    <d v="2026-07-03T12:45:00"/>
    <s v="EMAIL"/>
    <s v="-"/>
    <s v="OFF LINE"/>
    <s v="Pagamento direto"/>
    <s v="Pagamento direto"/>
    <x v="1"/>
    <s v="N"/>
    <x v="63"/>
    <s v="Shell"/>
    <s v="-"/>
    <s v="-"/>
    <s v="-"/>
    <x v="50"/>
    <s v="-"/>
    <x v="385"/>
    <n v="158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862547"/>
    <n v="25701599"/>
    <s v="ACC01"/>
    <x v="445"/>
    <d v="2026-07-03T15:48:38"/>
    <x v="1"/>
    <x v="5"/>
    <s v="SLMNMST"/>
    <s v="SABRE"/>
    <s v="TIKERPE/GABRIELA MS"/>
    <s v="WS"/>
    <s v="WS"/>
    <d v="2026-07-02T14:32:00"/>
    <s v="-"/>
    <s v="-"/>
    <s v="ON LINE"/>
    <s v="Cartão de crédito"/>
    <s v="Cartão de crédito"/>
    <x v="1"/>
    <s v="N"/>
    <x v="53"/>
    <s v="Chanel"/>
    <s v="-"/>
    <s v="-"/>
    <s v="-"/>
    <x v="45"/>
    <s v="-"/>
    <x v="386"/>
    <n v="199.18"/>
    <n v="0"/>
    <n v="0"/>
    <n v="0"/>
    <n v="0"/>
    <n v="0"/>
    <s v="Reserva importada por HubTravel"/>
    <s v="Fornecedor não preenchido! (ACC01)"/>
    <x v="1"/>
    <x v="1"/>
    <s v="Campo Fornecedor"/>
    <x v="0"/>
    <s v="Sistêmico"/>
    <s v="GRUPO KONTIK"/>
    <x v="1"/>
  </r>
  <r>
    <n v="24864257"/>
    <n v="25703482"/>
    <s v="ACC01"/>
    <x v="446"/>
    <d v="2026-07-05T07:30:54"/>
    <x v="2"/>
    <x v="5"/>
    <s v="6RW0TV"/>
    <s v="LEMONTECH"/>
    <s v="TAIANE NASCIMENTO CEREJO ZICO"/>
    <s v="Humberto da Fontoura"/>
    <s v="Humberto da Fontoura"/>
    <d v="2026-07-01T11:09:00"/>
    <n v="19581554"/>
    <s v="-"/>
    <s v="OFF LINE"/>
    <s v="Invoice"/>
    <s v="Faturado"/>
    <x v="3"/>
    <s v="N"/>
    <x v="43"/>
    <s v="Lojas Renner"/>
    <s v="-"/>
    <s v="-"/>
    <s v="-"/>
    <x v="36"/>
    <s v="-"/>
    <x v="387"/>
    <n v="10.17"/>
    <n v="9.9499999999999993"/>
    <n v="0"/>
    <n v="0"/>
    <n v="0"/>
    <n v="0"/>
    <s v="Reserva importada do Sistema Lemontech. Solicitação: 19581554"/>
    <s v="Fornecedor não preenchido! (ACC01)"/>
    <x v="5"/>
    <x v="1"/>
    <s v="Campo Fornecedor"/>
    <x v="0"/>
    <s v="Qualidade dos dados"/>
    <s v="KONTIK BUSINESS TRAVEL"/>
    <x v="4"/>
  </r>
  <r>
    <n v="24864204"/>
    <n v="25703424"/>
    <s v="ACC01"/>
    <x v="447"/>
    <d v="2026-07-03T18:52:37"/>
    <x v="1"/>
    <x v="5"/>
    <s v="6RFY4V"/>
    <s v="TMS"/>
    <s v="CAROLINA PONTVIANNE"/>
    <s v="Tms"/>
    <s v="Tms"/>
    <d v="2026-07-03T17:03:00"/>
    <n v="7139"/>
    <s v="-"/>
    <s v="ON LINE"/>
    <s v="Cartão de crédito"/>
    <s v="Faturado"/>
    <x v="1"/>
    <s v="N"/>
    <x v="2"/>
    <s v="Track e Field Co Sa Matriz"/>
    <s v="-"/>
    <s v="-"/>
    <s v="-"/>
    <x v="2"/>
    <s v="-"/>
    <x v="388"/>
    <n v="0"/>
    <n v="0"/>
    <n v="0"/>
    <n v="0"/>
    <n v="185.17"/>
    <n v="0"/>
    <s v="Reserva importada do Sistema TMS. OS: 7139"/>
    <s v="Fornecedor não preenchido! (ACC01)"/>
    <x v="0"/>
    <x v="1"/>
    <s v="Campo Fornecedor"/>
    <x v="0"/>
    <s v="Sistêmico"/>
    <s v="GRUPO KONTIK"/>
    <x v="1"/>
  </r>
  <r>
    <n v="24862936"/>
    <n v="25702029"/>
    <s v="ACC01"/>
    <x v="448"/>
    <d v="2026-07-04T03:48:41"/>
    <x v="2"/>
    <x v="5"/>
    <n v="23545723"/>
    <s v="GOVER"/>
    <s v="Jean Carlos Veronese"/>
    <s v="Gover"/>
    <s v="Gover"/>
    <d v="2026-07-03T16:14:00"/>
    <n v="4716877"/>
    <s v="-"/>
    <s v="OFF LINE"/>
    <s v="Cartão de crédito"/>
    <s v="Cartão de crédito"/>
    <x v="1"/>
    <s v="N"/>
    <x v="26"/>
    <s v="Bat | Souza Cruz - Matriz"/>
    <s v="-"/>
    <s v="-"/>
    <s v="-"/>
    <x v="24"/>
    <s v="-"/>
    <x v="389"/>
    <n v="0.08"/>
    <n v="0"/>
    <n v="0"/>
    <n v="0"/>
    <n v="0"/>
    <n v="0"/>
    <s v="Reserva importada do sistema Gover. Id: 4716877"/>
    <s v="Fornecedor não preenchido! (ACC01)"/>
    <x v="3"/>
    <x v="1"/>
    <s v="Campo Fornecedor"/>
    <x v="0"/>
    <s v="Sistêmico"/>
    <s v="GRUPO KONTIK"/>
    <x v="1"/>
  </r>
  <r>
    <n v="24862813"/>
    <n v="25701899"/>
    <s v="ACC01"/>
    <x v="449"/>
    <d v="2026-07-04T03:42:21"/>
    <x v="2"/>
    <x v="5"/>
    <s v="LWMFKH"/>
    <s v="GOVER"/>
    <s v="Rafael Pedralli"/>
    <s v="Gover"/>
    <s v="Gover"/>
    <d v="2026-06-25T19:27:00"/>
    <n v="4715329"/>
    <s v="-"/>
    <s v="ON LINE"/>
    <s v="Cartão de crédito"/>
    <s v="Cartão de crédito"/>
    <x v="1"/>
    <s v="N"/>
    <x v="26"/>
    <s v="Bat | Souza Cruz - Matriz"/>
    <s v="-"/>
    <s v="-"/>
    <s v="-"/>
    <x v="24"/>
    <s v="-"/>
    <x v="390"/>
    <n v="9.4499999999999993"/>
    <n v="0"/>
    <n v="0"/>
    <n v="0"/>
    <n v="0"/>
    <n v="0"/>
    <s v="Reserva importada do sistema Gover. Id: 4715329"/>
    <s v="Fornecedor não preenchido! (ACC01)"/>
    <x v="3"/>
    <x v="1"/>
    <s v="Campo Fornecedor"/>
    <x v="0"/>
    <s v="Sistêmico"/>
    <s v="GRUPO KONTIK"/>
    <x v="1"/>
  </r>
  <r>
    <n v="24864158"/>
    <n v="25703377"/>
    <s v="ACC01"/>
    <x v="450"/>
    <d v="2026-07-03T18:48:08"/>
    <x v="1"/>
    <x v="5"/>
    <s v="6RSF44"/>
    <s v="TMS"/>
    <s v="FERNANDA DE ARAUJO"/>
    <s v="Tms"/>
    <s v="Tms"/>
    <d v="2026-07-03T12:23:00"/>
    <n v="11112"/>
    <s v="-"/>
    <s v="ON LINE"/>
    <s v="Cartão de crédito"/>
    <s v="Cartão de crédito"/>
    <x v="1"/>
    <s v="N"/>
    <x v="84"/>
    <s v="Pepsico do Brasil Industria e Comercio  de Alimentos"/>
    <s v="-"/>
    <s v="-"/>
    <s v="-"/>
    <x v="9"/>
    <s v="-"/>
    <x v="391"/>
    <n v="0"/>
    <n v="0"/>
    <n v="0"/>
    <n v="0"/>
    <n v="145.82"/>
    <n v="0"/>
    <s v="Reserva importada do Sistema TMS. OS: 11112"/>
    <s v="Fornecedor não preenchido! (ACC01)"/>
    <x v="0"/>
    <x v="1"/>
    <s v="Campo Fornecedor"/>
    <x v="0"/>
    <s v="Sistêmico"/>
    <s v="GRUPO KONTIK"/>
    <x v="1"/>
  </r>
  <r>
    <n v="24864159"/>
    <n v="25703378"/>
    <s v="ACC01"/>
    <x v="451"/>
    <d v="2026-07-03T18:48:09"/>
    <x v="1"/>
    <x v="5"/>
    <s v="6R3RVR"/>
    <s v="TMS"/>
    <s v="FERNANDA DE ARAUJO"/>
    <s v="Tms"/>
    <s v="Tms"/>
    <d v="2026-07-03T11:39:00"/>
    <n v="11111"/>
    <s v="-"/>
    <s v="ON LINE"/>
    <s v="Cartão de crédito"/>
    <s v="Cartão de crédito"/>
    <x v="1"/>
    <s v="N"/>
    <x v="84"/>
    <s v="Pepsico do Brasil Industria e Comercio  de Alimentos"/>
    <s v="-"/>
    <s v="-"/>
    <s v="-"/>
    <x v="9"/>
    <s v="-"/>
    <x v="392"/>
    <n v="0"/>
    <n v="0"/>
    <n v="0"/>
    <n v="0"/>
    <n v="68.67"/>
    <n v="0"/>
    <s v="Reserva importada do Sistema TMS. OS: 11111"/>
    <s v="Fornecedor não preenchido! (ACC01)"/>
    <x v="0"/>
    <x v="1"/>
    <s v="Campo Fornecedor"/>
    <x v="0"/>
    <s v="Sistêmico"/>
    <s v="GRUPO KONTIK"/>
    <x v="1"/>
  </r>
  <r>
    <n v="24863527"/>
    <n v="25702680"/>
    <s v="ACC01"/>
    <x v="452"/>
    <d v="2026-07-03T17:40:55"/>
    <x v="1"/>
    <x v="5"/>
    <s v="6RU4QV"/>
    <s v="TMS"/>
    <s v="GABRIEL BASTOS"/>
    <s v="Tms"/>
    <s v="Tms"/>
    <d v="2026-07-03T13:21:00"/>
    <n v="17156"/>
    <s v="Brasília / BSB"/>
    <s v="ON LINE"/>
    <s v="Invoice"/>
    <s v="Faturado"/>
    <x v="2"/>
    <s v="N"/>
    <x v="67"/>
    <s v="Colegio e Pre-vestibular Bernoulli - Un. Raja"/>
    <s v="-"/>
    <s v="-"/>
    <s v="-"/>
    <x v="52"/>
    <s v="-"/>
    <x v="393"/>
    <n v="0"/>
    <n v="0"/>
    <n v="0"/>
    <n v="0"/>
    <n v="0"/>
    <n v="0"/>
    <s v="Reserva importada do Sistema TMS. OS: 17156"/>
    <s v="Fornecedor não preenchido! (ACC01)"/>
    <x v="0"/>
    <x v="1"/>
    <s v="Campo Fornecedor"/>
    <x v="0"/>
    <s v="Qualidade dos dados"/>
    <s v="KONTIK BUSINESS TRAVEL"/>
    <x v="4"/>
  </r>
  <r>
    <n v="24863533"/>
    <n v="25702685"/>
    <s v="ACC01"/>
    <x v="453"/>
    <d v="2026-07-03T17:41:08"/>
    <x v="1"/>
    <x v="5"/>
    <s v="6RZTAV"/>
    <s v="TMS"/>
    <s v="GILMAR JORGE"/>
    <s v="Tms"/>
    <s v="Tms"/>
    <d v="2026-07-03T16:05:00"/>
    <n v="17140"/>
    <s v="Belo Horizonte / CNF"/>
    <s v="ON LINE"/>
    <s v="Invoice"/>
    <s v="Faturado"/>
    <x v="2"/>
    <s v="N"/>
    <x v="67"/>
    <s v="Colegio e Pre-vestibular Bernoulli - Un. Raja"/>
    <s v="-"/>
    <s v="-"/>
    <s v="-"/>
    <x v="52"/>
    <s v="-"/>
    <x v="394"/>
    <n v="0"/>
    <n v="0"/>
    <n v="0"/>
    <n v="0"/>
    <n v="0"/>
    <n v="0"/>
    <s v="Reserva importada do Sistema TMS. OS: 17140"/>
    <s v="Fornecedor não preenchido! (ACC01)"/>
    <x v="0"/>
    <x v="1"/>
    <s v="Campo Fornecedor"/>
    <x v="0"/>
    <s v="Qualidade dos dados"/>
    <s v="KONTIK BUSINESS TRAVEL"/>
    <x v="4"/>
  </r>
  <r>
    <n v="24868362"/>
    <n v="25708190"/>
    <s v="ACC01"/>
    <x v="454"/>
    <d v="2026-07-04T17:41:37"/>
    <x v="2"/>
    <x v="6"/>
    <s v="6R1E1T"/>
    <s v="TMS"/>
    <s v="RENATA VIEIRA"/>
    <s v="Tms"/>
    <s v="Tms"/>
    <d v="2026-07-04T14:16:00"/>
    <n v="17193"/>
    <s v="-"/>
    <s v="ON LINE"/>
    <s v="Cartão de crédito"/>
    <s v="Cartão de crédito"/>
    <x v="1"/>
    <s v="N"/>
    <x v="67"/>
    <s v="Colegio e Pre-vestibular Bernoulli - Un. Raja"/>
    <s v="-"/>
    <s v="-"/>
    <s v="-"/>
    <x v="52"/>
    <s v="-"/>
    <x v="395"/>
    <n v="0"/>
    <n v="0"/>
    <n v="0"/>
    <n v="0"/>
    <n v="0"/>
    <n v="0"/>
    <s v="Reserva importada do Sistema TMS. OS: 17193"/>
    <s v="Fornecedor não preenchido! (ACC01)"/>
    <x v="0"/>
    <x v="1"/>
    <s v="Campo Fornecedor"/>
    <x v="0"/>
    <s v="Sistêmico"/>
    <s v="GRUPO KONTIK"/>
    <x v="1"/>
  </r>
  <r>
    <n v="24863528"/>
    <n v="25702681"/>
    <s v="ACC01"/>
    <x v="455"/>
    <d v="2026-07-03T17:40:55"/>
    <x v="1"/>
    <x v="5"/>
    <s v="6RI41F"/>
    <s v="TMS"/>
    <s v="GIULIA BRACCINI"/>
    <s v="Tms"/>
    <s v="Tms"/>
    <d v="2026-07-03T16:31:00"/>
    <n v="17154"/>
    <s v="Salvador / SSA"/>
    <s v="ON LINE"/>
    <s v="Invoice"/>
    <s v="Faturado"/>
    <x v="2"/>
    <s v="N"/>
    <x v="67"/>
    <s v="Bernoulli Sistema de Ensino - Belo Horizonte"/>
    <s v="-"/>
    <s v="-"/>
    <s v="-"/>
    <x v="52"/>
    <s v="-"/>
    <x v="396"/>
    <n v="0"/>
    <n v="0"/>
    <n v="0"/>
    <n v="0"/>
    <n v="0"/>
    <n v="0"/>
    <s v="Reserva importada do Sistema TMS. OS: 17154"/>
    <s v="Fornecedor não preenchido! (ACC01)"/>
    <x v="0"/>
    <x v="1"/>
    <s v="Campo Fornecedor"/>
    <x v="0"/>
    <s v="Qualidade dos dados"/>
    <s v="KONTIK BUSINESS TRAVEL"/>
    <x v="4"/>
  </r>
  <r>
    <n v="24863532"/>
    <n v="25702684"/>
    <s v="ACC01"/>
    <x v="456"/>
    <d v="2026-07-03T17:41:08"/>
    <x v="1"/>
    <x v="5"/>
    <s v="6R0TA4"/>
    <s v="TMS"/>
    <s v="ANGELICA CRISTINA HENICK"/>
    <s v="Tms"/>
    <s v="Tms"/>
    <d v="2026-07-03T16:32:00"/>
    <n v="17145"/>
    <s v="Belo Horizonte / PLU"/>
    <s v="ON LINE"/>
    <s v="Invoice"/>
    <s v="Faturado"/>
    <x v="2"/>
    <s v="N"/>
    <x v="67"/>
    <s v="Bernoulli Sistema de Ensino - Belo Horizonte"/>
    <s v="-"/>
    <s v="-"/>
    <s v="-"/>
    <x v="52"/>
    <s v="-"/>
    <x v="397"/>
    <n v="0"/>
    <n v="0"/>
    <n v="0"/>
    <n v="0"/>
    <n v="0"/>
    <n v="0"/>
    <s v="Reserva importada do Sistema TMS. OS: 17145"/>
    <s v="Fornecedor não preenchido! (ACC01)"/>
    <x v="0"/>
    <x v="1"/>
    <s v="Campo Fornecedor"/>
    <x v="0"/>
    <s v="Qualidade dos dados"/>
    <s v="KONTIK BUSINESS TRAVEL"/>
    <x v="4"/>
  </r>
  <r>
    <n v="24863880"/>
    <n v="25703079"/>
    <s v="ACC01"/>
    <x v="457"/>
    <d v="2026-07-03T18:16:57"/>
    <x v="1"/>
    <x v="5"/>
    <s v="6RXMC4"/>
    <s v="TMS"/>
    <s v="DOUGLAS RODRIGUES DE SOUSA"/>
    <s v="Jeane Alencar Pereira"/>
    <s v="Jeane Alencar Pereira"/>
    <d v="2026-07-03T15:48:00"/>
    <n v="68973"/>
    <s v="Sorocaba / SP, Brasil (SOD)"/>
    <s v="OFF LINE"/>
    <s v="Invoice"/>
    <s v="Faturado"/>
    <x v="2"/>
    <s v="N"/>
    <x v="47"/>
    <s v="Sorocabana"/>
    <s v="-"/>
    <s v="-"/>
    <s v="-"/>
    <x v="40"/>
    <s v="-"/>
    <x v="398"/>
    <n v="0"/>
    <n v="1587"/>
    <n v="0"/>
    <n v="0"/>
    <n v="0"/>
    <n v="0"/>
    <s v="Reserva importada do Sistema TMS. OS: 68973"/>
    <s v="Fornecedor não preenchido! (ACC01)"/>
    <x v="0"/>
    <x v="1"/>
    <s v="Campo Fornecedor"/>
    <x v="0"/>
    <s v="Qualidade dos dados"/>
    <s v="KONTIK BUSINESS TRAVEL"/>
    <x v="4"/>
  </r>
  <r>
    <n v="24863861"/>
    <n v="25703060"/>
    <s v="ACC01"/>
    <x v="458"/>
    <d v="2026-07-03T18:15:34"/>
    <x v="1"/>
    <x v="5"/>
    <s v="6RNIX4"/>
    <s v="TMS"/>
    <s v="MARCOS BOTTENE CUNHA"/>
    <s v="Tms"/>
    <s v="Tms"/>
    <d v="2026-07-03T14:22:00"/>
    <n v="68993"/>
    <s v="Porto Alegre / POA"/>
    <s v="ON LINE"/>
    <s v="Invoice"/>
    <s v="Faturado"/>
    <x v="2"/>
    <s v="N"/>
    <x v="47"/>
    <s v="Motiva Filial"/>
    <s v="-"/>
    <s v="-"/>
    <s v="-"/>
    <x v="40"/>
    <s v="-"/>
    <x v="399"/>
    <n v="0"/>
    <n v="0"/>
    <n v="0"/>
    <n v="0"/>
    <n v="0"/>
    <n v="0"/>
    <s v="Reserva importada do Sistema TMS. OS: 68993"/>
    <s v="Fornecedor não preenchido! (ACC01)"/>
    <x v="0"/>
    <x v="1"/>
    <s v="Campo Fornecedor"/>
    <x v="0"/>
    <s v="Qualidade dos dados"/>
    <s v="KONTIK BUSINESS TRAVEL"/>
    <x v="4"/>
  </r>
  <r>
    <n v="24863862"/>
    <n v="25703061"/>
    <s v="ACC01"/>
    <x v="459"/>
    <d v="2026-07-03T18:15:34"/>
    <x v="1"/>
    <x v="5"/>
    <s v="6R0NXF"/>
    <s v="TMS"/>
    <s v="DAVID LEAL JUNIOR"/>
    <s v="Tms"/>
    <s v="Tms"/>
    <d v="2026-07-03T15:37:00"/>
    <n v="68990"/>
    <s v="São Paulo / GRU"/>
    <s v="ON LINE"/>
    <s v="Invoice"/>
    <s v="Faturado"/>
    <x v="2"/>
    <s v="N"/>
    <x v="47"/>
    <s v="Motiva Filial"/>
    <s v="-"/>
    <s v="-"/>
    <s v="-"/>
    <x v="40"/>
    <s v="-"/>
    <x v="400"/>
    <n v="0"/>
    <n v="0"/>
    <n v="0"/>
    <n v="0"/>
    <n v="0"/>
    <n v="0"/>
    <s v="Reserva importada do Sistema TMS. OS: 68990"/>
    <s v="Fornecedor não preenchido! (ACC01)"/>
    <x v="0"/>
    <x v="1"/>
    <s v="Campo Fornecedor"/>
    <x v="0"/>
    <s v="Qualidade dos dados"/>
    <s v="KONTIK BUSINESS TRAVEL"/>
    <x v="4"/>
  </r>
  <r>
    <n v="24863863"/>
    <n v="25703062"/>
    <s v="ACC01"/>
    <x v="460"/>
    <d v="2026-07-03T18:15:35"/>
    <x v="1"/>
    <x v="5"/>
    <s v="6RQ9WV"/>
    <s v="TMS"/>
    <s v="JOAO PEDRO SILVA"/>
    <s v="Tms"/>
    <s v="Tms"/>
    <d v="2026-07-03T14:01:00"/>
    <n v="68989"/>
    <s v="Jundiaí / QDV"/>
    <s v="ON LINE"/>
    <s v="Invoice"/>
    <s v="Faturado"/>
    <x v="2"/>
    <s v="N"/>
    <x v="47"/>
    <s v="Motiva Filial"/>
    <s v="-"/>
    <s v="-"/>
    <s v="-"/>
    <x v="40"/>
    <s v="-"/>
    <x v="401"/>
    <n v="0"/>
    <n v="0"/>
    <n v="0"/>
    <n v="0"/>
    <n v="0"/>
    <n v="0"/>
    <s v="Reserva importada do Sistema TMS. OS: 68989"/>
    <s v="Fornecedor não preenchido! (ACC01)"/>
    <x v="0"/>
    <x v="1"/>
    <s v="Campo Fornecedor"/>
    <x v="0"/>
    <s v="Qualidade dos dados"/>
    <s v="KONTIK BUSINESS TRAVEL"/>
    <x v="4"/>
  </r>
  <r>
    <n v="24863867"/>
    <n v="25703067"/>
    <s v="ACC01"/>
    <x v="461"/>
    <d v="2026-07-03T18:16:09"/>
    <x v="1"/>
    <x v="5"/>
    <s v="6RVN2V"/>
    <s v="TMS"/>
    <s v="EDMILSON GOUVEIA NUNES"/>
    <s v="Tms"/>
    <s v="Tms"/>
    <d v="2026-07-03T13:53:00"/>
    <n v="68985"/>
    <s v="Jundiaí / QDV"/>
    <s v="ON LINE"/>
    <s v="Invoice"/>
    <s v="Faturado"/>
    <x v="2"/>
    <s v="N"/>
    <x v="47"/>
    <s v="Motiva Filial"/>
    <s v="-"/>
    <s v="-"/>
    <s v="-"/>
    <x v="40"/>
    <s v="-"/>
    <x v="402"/>
    <n v="0"/>
    <n v="0"/>
    <n v="0"/>
    <n v="0"/>
    <n v="0"/>
    <n v="0"/>
    <s v="Reserva importada do Sistema TMS. OS: 68985"/>
    <s v="Fornecedor não preenchido! (ACC01)"/>
    <x v="0"/>
    <x v="1"/>
    <s v="Campo Fornecedor"/>
    <x v="0"/>
    <s v="Qualidade dos dados"/>
    <s v="KONTIK BUSINESS TRAVEL"/>
    <x v="4"/>
  </r>
  <r>
    <n v="24863872"/>
    <n v="25703072"/>
    <s v="ACC01"/>
    <x v="462"/>
    <d v="2026-07-03T18:16:45"/>
    <x v="1"/>
    <x v="5"/>
    <s v="6R7N2R"/>
    <s v="TMS"/>
    <s v="NAZARE PEREIRA"/>
    <s v="Tms"/>
    <s v="Tms"/>
    <d v="2026-07-03T13:37:00"/>
    <n v="68980"/>
    <s v="Jundiaí / QDV"/>
    <s v="ON LINE"/>
    <s v="Invoice"/>
    <s v="Faturado"/>
    <x v="2"/>
    <s v="N"/>
    <x v="47"/>
    <s v="Motiva Filial"/>
    <s v="-"/>
    <s v="-"/>
    <s v="-"/>
    <x v="40"/>
    <s v="-"/>
    <x v="403"/>
    <n v="0"/>
    <n v="0"/>
    <n v="0"/>
    <n v="0"/>
    <n v="0"/>
    <n v="0"/>
    <s v="Reserva importada do Sistema TMS. OS: 68980"/>
    <s v="Fornecedor não preenchido! (ACC01)"/>
    <x v="0"/>
    <x v="1"/>
    <s v="Campo Fornecedor"/>
    <x v="0"/>
    <s v="Qualidade dos dados"/>
    <s v="KONTIK BUSINESS TRAVEL"/>
    <x v="4"/>
  </r>
  <r>
    <n v="24863879"/>
    <n v="25703078"/>
    <s v="ACC01"/>
    <x v="463"/>
    <d v="2026-07-03T18:16:57"/>
    <x v="1"/>
    <x v="5"/>
    <s v="6RZP34"/>
    <s v="TMS"/>
    <s v="WANDERSON TORRES DOS SANTOS"/>
    <s v="Tms"/>
    <s v="Tms"/>
    <d v="2026-07-03T14:06:00"/>
    <n v="68974"/>
    <s v="Jundiaí / QDV"/>
    <s v="ON LINE"/>
    <s v="Invoice"/>
    <s v="Faturado"/>
    <x v="2"/>
    <s v="N"/>
    <x v="47"/>
    <s v="Motiva Filial"/>
    <s v="-"/>
    <s v="-"/>
    <s v="-"/>
    <x v="40"/>
    <s v="-"/>
    <x v="404"/>
    <n v="0"/>
    <n v="0"/>
    <n v="0"/>
    <n v="0"/>
    <n v="0"/>
    <n v="0"/>
    <s v="Reserva importada do Sistema TMS. OS: 68974"/>
    <s v="Fornecedor não preenchido! (ACC01)"/>
    <x v="0"/>
    <x v="1"/>
    <s v="Campo Fornecedor"/>
    <x v="0"/>
    <s v="Qualidade dos dados"/>
    <s v="KONTIK BUSINESS TRAVEL"/>
    <x v="4"/>
  </r>
  <r>
    <n v="24863883"/>
    <n v="25703082"/>
    <s v="ACC01"/>
    <x v="464"/>
    <d v="2026-07-03T18:17:23"/>
    <x v="1"/>
    <x v="5"/>
    <s v="6RTM3V"/>
    <s v="TMS"/>
    <s v="ANDRE MARCAL"/>
    <s v="Tms"/>
    <s v="Tms"/>
    <d v="2026-07-03T12:01:00"/>
    <n v="68970"/>
    <s v="Porto Alegre / POA"/>
    <s v="ON LINE"/>
    <s v="Invoice"/>
    <s v="Faturado"/>
    <x v="2"/>
    <s v="N"/>
    <x v="47"/>
    <s v="Motiva Filial"/>
    <s v="-"/>
    <s v="-"/>
    <s v="-"/>
    <x v="40"/>
    <s v="-"/>
    <x v="405"/>
    <n v="0"/>
    <n v="0"/>
    <n v="0"/>
    <n v="0"/>
    <n v="0"/>
    <n v="0"/>
    <s v="Reserva importada do Sistema TMS. OS: 68970"/>
    <s v="Fornecedor não preenchido! (ACC01)"/>
    <x v="0"/>
    <x v="1"/>
    <s v="Campo Fornecedor"/>
    <x v="0"/>
    <s v="Qualidade dos dados"/>
    <s v="KONTIK BUSINESS TRAVEL"/>
    <x v="4"/>
  </r>
  <r>
    <n v="24871425"/>
    <n v="25711861"/>
    <s v="ACC01"/>
    <x v="465"/>
    <d v="2026-07-05T18:11:52"/>
    <x v="2"/>
    <x v="6"/>
    <s v="6RSTD5"/>
    <s v="TMS"/>
    <s v="LUCAS LEANDRO LIMA"/>
    <s v="Karina Rodrigues Xavier"/>
    <s v="Karina Rodrigues Xavier"/>
    <d v="2026-07-05T14:43:00"/>
    <n v="69081"/>
    <s v="São Paulo / SP, Brasil (SAO)"/>
    <s v="OFF LINE"/>
    <s v="Invoice"/>
    <s v="Faturado"/>
    <x v="2"/>
    <s v="N"/>
    <x v="47"/>
    <s v="Motiva Filial"/>
    <s v="-"/>
    <s v="-"/>
    <s v="-"/>
    <x v="40"/>
    <s v="-"/>
    <x v="406"/>
    <n v="0"/>
    <n v="342.64"/>
    <n v="0"/>
    <n v="0"/>
    <n v="0"/>
    <n v="0"/>
    <s v="Reserva importada do Sistema TMS. OS: 69081"/>
    <s v="Fornecedor não preenchido! (ACC01)"/>
    <x v="0"/>
    <x v="1"/>
    <s v="Campo Fornecedor"/>
    <x v="0"/>
    <s v="Qualidade dos dados"/>
    <s v="KONTIK BUSINESS TRAVEL"/>
    <x v="4"/>
  </r>
  <r>
    <n v="24864506"/>
    <n v="25703734"/>
    <s v="ACC01"/>
    <x v="466"/>
    <d v="2026-07-03T19:26:08"/>
    <x v="1"/>
    <x v="5"/>
    <s v="6RSCH4"/>
    <s v="TMS"/>
    <s v="MONIKA ALEXANDRA GASPAR"/>
    <s v="Tms"/>
    <s v="Tms"/>
    <d v="2026-07-03T13:36:00"/>
    <n v="4913"/>
    <s v="Campo Grande / CGR"/>
    <s v="ON LINE"/>
    <s v="Invoice"/>
    <s v="Faturado"/>
    <x v="2"/>
    <s v="N"/>
    <x v="48"/>
    <s v="Yamaha Motor do Brasil Ltda"/>
    <s v="-"/>
    <s v="-"/>
    <s v="-"/>
    <x v="41"/>
    <s v="-"/>
    <x v="407"/>
    <n v="0"/>
    <n v="0"/>
    <n v="0"/>
    <n v="0"/>
    <n v="0"/>
    <n v="0"/>
    <s v="Reserva importada do Sistema TMS. OS: 4913"/>
    <s v="Fornecedor não preenchido! (ACC01)"/>
    <x v="0"/>
    <x v="1"/>
    <s v="Campo Fornecedor"/>
    <x v="0"/>
    <s v="Qualidade dos dados"/>
    <s v="KONTIK BUSINESS TRAVEL"/>
    <x v="4"/>
  </r>
  <r>
    <n v="24864502"/>
    <n v="25703730"/>
    <s v="ACC01"/>
    <x v="467"/>
    <d v="2026-07-03T19:25:45"/>
    <x v="1"/>
    <x v="5"/>
    <s v="6ROX6R"/>
    <s v="TMS"/>
    <s v="JOSE EVANGELISTA JUNIOR"/>
    <s v="Tms"/>
    <s v="Tms"/>
    <d v="2026-07-03T16:01:00"/>
    <n v="4917"/>
    <s v="-"/>
    <s v="ON LINE"/>
    <s v="Cartão de crédito"/>
    <s v="Faturado"/>
    <x v="1"/>
    <s v="N"/>
    <x v="48"/>
    <s v="Yamaha Motor Administradora de Consorcio Ltda Cj"/>
    <s v="-"/>
    <s v="-"/>
    <s v="-"/>
    <x v="41"/>
    <s v="-"/>
    <x v="408"/>
    <n v="0"/>
    <n v="0"/>
    <n v="0"/>
    <n v="0"/>
    <n v="0"/>
    <n v="0"/>
    <s v="Reserva importada do Sistema TMS. OS: 4917"/>
    <s v="Fornecedor não preenchido! (ACC01)"/>
    <x v="0"/>
    <x v="1"/>
    <s v="Campo Fornecedor"/>
    <x v="0"/>
    <s v="Sistêmico"/>
    <s v="GRUPO KONTIK"/>
    <x v="1"/>
  </r>
  <r>
    <n v="24862238"/>
    <n v="25701196"/>
    <s v="ACC01"/>
    <x v="468"/>
    <d v="2026-07-03T14:56:06"/>
    <x v="1"/>
    <x v="5"/>
    <s v="6RONKD"/>
    <s v="TMS"/>
    <s v="CAMILA LEONELLI"/>
    <s v="CORA TORLAI CIRINO"/>
    <s v="CORA TORLAI CIRINO"/>
    <d v="2026-05-26T14:51:00"/>
    <n v="7689"/>
    <s v="Uberlândia / MG, Brasil (UDI)"/>
    <s v="OFF LINE"/>
    <s v="Pagamento direto"/>
    <s v="Pagamento direto"/>
    <x v="2"/>
    <s v="N"/>
    <x v="68"/>
    <s v="Syngenta Crop"/>
    <s v="-"/>
    <s v="-"/>
    <s v="-"/>
    <x v="53"/>
    <s v="-"/>
    <x v="409"/>
    <n v="0"/>
    <n v="0"/>
    <n v="0"/>
    <n v="0"/>
    <n v="0"/>
    <n v="0"/>
    <s v="Reserva importada do Sistema TMS. OS: 7689"/>
    <s v="Fornecedor não preenchido! (ACC01)"/>
    <x v="0"/>
    <x v="1"/>
    <s v="Campo Fornecedor"/>
    <x v="0"/>
    <s v="Qualidade dos dados"/>
    <s v="KONTIK BUSINESS TRAVEL"/>
    <x v="4"/>
  </r>
  <r>
    <n v="24862268"/>
    <n v="25701234"/>
    <s v="ACC01"/>
    <x v="469"/>
    <d v="2026-07-03T14:56:25"/>
    <x v="1"/>
    <x v="5"/>
    <s v="6RYBLC"/>
    <s v="TMS"/>
    <s v="ALEX CORDEIRO"/>
    <s v="Deise Fernanda Franca de Souza"/>
    <s v="Deise Fernanda Franca de Souza"/>
    <d v="2026-05-26T20:23:00"/>
    <n v="7619"/>
    <s v="Passo Fundo / RS, Brasil (PFB)"/>
    <s v="OFF LINE"/>
    <s v="Pagamento direto"/>
    <s v="Pagamento direto"/>
    <x v="2"/>
    <s v="N"/>
    <x v="68"/>
    <s v="Syngenta Crop"/>
    <s v="-"/>
    <s v="-"/>
    <s v="-"/>
    <x v="53"/>
    <s v="-"/>
    <x v="142"/>
    <n v="0"/>
    <n v="0"/>
    <n v="0"/>
    <n v="0"/>
    <n v="0"/>
    <n v="0"/>
    <s v="Reserva importada do Sistema TMS. OS: 7619"/>
    <s v="Fornecedor não preenchido! (ACC01)"/>
    <x v="0"/>
    <x v="1"/>
    <s v="Campo Fornecedor"/>
    <x v="0"/>
    <s v="Qualidade dos dados"/>
    <s v="KONTIK BUSINESS TRAVEL"/>
    <x v="4"/>
  </r>
  <r>
    <n v="24864695"/>
    <n v="25703958"/>
    <s v="ACC01"/>
    <x v="470"/>
    <d v="2026-07-03T19:32:33"/>
    <x v="1"/>
    <x v="5"/>
    <s v="6RQU6F"/>
    <s v="TMS"/>
    <s v="ALAN FLAVIO DE OLIVEIRA"/>
    <s v="CORA TORLAI CIRINO"/>
    <s v="CORA TORLAI CIRINO"/>
    <d v="2026-07-03T17:43:00"/>
    <n v="9657"/>
    <s v="Londrina / PR, Brasil (LDB)"/>
    <s v="OFF LINE"/>
    <s v="Pagamento direto"/>
    <s v="Pagamento direto"/>
    <x v="2"/>
    <s v="N"/>
    <x v="68"/>
    <s v="Syngenta Crop"/>
    <s v="-"/>
    <s v="-"/>
    <s v="-"/>
    <x v="53"/>
    <s v="-"/>
    <x v="410"/>
    <n v="0"/>
    <n v="0"/>
    <n v="0"/>
    <n v="0"/>
    <n v="0"/>
    <n v="0"/>
    <s v="Reserva importada do Sistema TMS. OS: 9657"/>
    <s v="Fornecedor não preenchido! (ACC01)"/>
    <x v="0"/>
    <x v="1"/>
    <s v="Campo Fornecedor"/>
    <x v="0"/>
    <s v="Qualidade dos dados"/>
    <s v="KONTIK BUSINESS TRAVEL"/>
    <x v="4"/>
  </r>
  <r>
    <n v="24864697"/>
    <n v="25703960"/>
    <s v="ACC01"/>
    <x v="471"/>
    <d v="2026-07-03T19:32:33"/>
    <x v="1"/>
    <x v="5"/>
    <s v="6R27YV"/>
    <s v="TMS"/>
    <s v="GUILHERME BOREM LOBATO MOREIRA"/>
    <s v="CORA TORLAI CIRINO"/>
    <s v="CORA TORLAI CIRINO"/>
    <d v="2026-07-03T14:50:00"/>
    <n v="9655"/>
    <s v="Janauba / MG, Brasil (MOC)"/>
    <s v="OFF LINE"/>
    <s v="Pagamento direto"/>
    <s v="Pagamento direto"/>
    <x v="2"/>
    <s v="N"/>
    <x v="68"/>
    <s v="Syngenta Crop"/>
    <s v="-"/>
    <s v="-"/>
    <s v="-"/>
    <x v="53"/>
    <s v="-"/>
    <x v="411"/>
    <n v="0"/>
    <n v="0"/>
    <n v="0"/>
    <n v="0"/>
    <n v="0"/>
    <n v="0"/>
    <s v="Reserva importada do Sistema TMS. OS: 9655"/>
    <s v="Fornecedor não preenchido! (ACC01)"/>
    <x v="0"/>
    <x v="1"/>
    <s v="Campo Fornecedor"/>
    <x v="0"/>
    <s v="Qualidade dos dados"/>
    <s v="KONTIK BUSINESS TRAVEL"/>
    <x v="4"/>
  </r>
  <r>
    <n v="24864704"/>
    <n v="25703967"/>
    <s v="ACC01"/>
    <x v="472"/>
    <d v="2026-07-03T19:32:38"/>
    <x v="1"/>
    <x v="5"/>
    <s v="6RGUYV"/>
    <s v="TMS"/>
    <s v="LUIZ COSTA"/>
    <s v="Ellen da Conceicao"/>
    <s v="Ellen da Conceicao"/>
    <d v="2026-07-03T13:09:00"/>
    <n v="9636"/>
    <s v="Campinas / SP, Brasil - Viracopos (VCP)"/>
    <s v="OFF LINE"/>
    <s v="Pagamento direto"/>
    <s v="Pagamento direto"/>
    <x v="2"/>
    <s v="N"/>
    <x v="68"/>
    <s v="Syngenta Seeds"/>
    <s v="-"/>
    <s v="-"/>
    <s v="-"/>
    <x v="53"/>
    <s v="-"/>
    <x v="412"/>
    <n v="0"/>
    <n v="0"/>
    <n v="0"/>
    <n v="0"/>
    <n v="0"/>
    <n v="0"/>
    <s v="Reserva importada do Sistema TMS. OS: 9636"/>
    <s v="Fornecedor não preenchido! (ACC01)"/>
    <x v="0"/>
    <x v="1"/>
    <s v="Campo Fornecedor"/>
    <x v="0"/>
    <s v="Qualidade dos dados"/>
    <s v="KONTIK BUSINESS TRAVEL"/>
    <x v="4"/>
  </r>
  <r>
    <n v="24864709"/>
    <n v="25703972"/>
    <s v="ACC01"/>
    <x v="473"/>
    <d v="2026-07-03T19:32:45"/>
    <x v="1"/>
    <x v="5"/>
    <s v="6RB864"/>
    <s v="TMS"/>
    <s v="FERNANDO IGNACIO ARANDA HERNANDEZ"/>
    <s v="Karen Aparecida Ferreira"/>
    <s v="Karen Aparecida Ferreira"/>
    <d v="2026-07-03T14:34:00"/>
    <n v="9400"/>
    <s v="-"/>
    <s v="OFF LINE"/>
    <s v="Pagamento direto"/>
    <s v="Pagamento direto"/>
    <x v="1"/>
    <s v="N"/>
    <x v="68"/>
    <s v="Syngenta Seeds"/>
    <s v="-"/>
    <s v="-"/>
    <s v="-"/>
    <x v="53"/>
    <s v="-"/>
    <x v="413"/>
    <n v="0"/>
    <n v="0"/>
    <n v="0"/>
    <n v="0"/>
    <n v="95.96"/>
    <n v="0"/>
    <s v="Reserva importada do Sistema TMS. OS: 9400"/>
    <s v="Fornecedor não preenchido! (ACC01)"/>
    <x v="0"/>
    <x v="1"/>
    <s v="Campo Fornecedor"/>
    <x v="0"/>
    <s v="Qualidade dos dados"/>
    <s v="KONTIK BUSINESS TRAVEL"/>
    <x v="4"/>
  </r>
  <r>
    <n v="24866143"/>
    <n v="25705610"/>
    <s v="ACC01"/>
    <x v="474"/>
    <d v="2026-07-04T00:41:18"/>
    <x v="2"/>
    <x v="6"/>
    <s v="6RBN94"/>
    <s v="TMS"/>
    <s v="PEDRO DE DEUS"/>
    <s v="CORA TORLAI CIRINO"/>
    <s v="CORA TORLAI CIRINO"/>
    <d v="2026-07-03T19:04:00"/>
    <n v="9676"/>
    <s v="Formosa / GO, Brasil (GYN)"/>
    <s v="OFF LINE"/>
    <s v="Pagamento direto"/>
    <s v="Pagamento direto"/>
    <x v="2"/>
    <s v="N"/>
    <x v="68"/>
    <s v="Syngenta Seeds"/>
    <s v="-"/>
    <s v="-"/>
    <s v="-"/>
    <x v="53"/>
    <s v="-"/>
    <x v="414"/>
    <n v="0"/>
    <n v="0"/>
    <n v="0"/>
    <n v="0"/>
    <n v="0"/>
    <n v="0"/>
    <s v="Reserva importada do Sistema TMS. OS: 9676"/>
    <s v="Fornecedor não preenchido! (ACC01)"/>
    <x v="0"/>
    <x v="1"/>
    <s v="Campo Fornecedor"/>
    <x v="0"/>
    <s v="Qualidade dos dados"/>
    <s v="KONTIK BUSINESS TRAVEL"/>
    <x v="4"/>
  </r>
  <r>
    <n v="24864194"/>
    <n v="25703413"/>
    <s v="ACC01"/>
    <x v="475"/>
    <d v="2026-07-03T18:52:23"/>
    <x v="1"/>
    <x v="5"/>
    <s v="6RN54R"/>
    <s v="TMS"/>
    <s v="LUCIANA RODRIGUES LUZ CARNEIRO LEAO"/>
    <s v="Tms"/>
    <s v="Tms"/>
    <d v="2026-07-03T16:49:00"/>
    <n v="1520"/>
    <s v="Petrolina / PNZ"/>
    <s v="ON LINE"/>
    <s v="Invoice"/>
    <s v="Faturado"/>
    <x v="2"/>
    <s v="N"/>
    <x v="69"/>
    <s v="Tecban"/>
    <s v="-"/>
    <s v="-"/>
    <s v="-"/>
    <x v="54"/>
    <s v="-"/>
    <x v="415"/>
    <n v="0"/>
    <n v="0"/>
    <n v="0"/>
    <n v="0"/>
    <n v="0"/>
    <n v="0"/>
    <s v="Reserva importada do Sistema TMS. OS: 1520"/>
    <s v="Fornecedor não preenchido! (ACC01)"/>
    <x v="0"/>
    <x v="1"/>
    <s v="Campo Fornecedor"/>
    <x v="0"/>
    <s v="Qualidade dos dados"/>
    <s v="KONTIK BUSINESS TRAVEL"/>
    <x v="4"/>
  </r>
  <r>
    <n v="24864200"/>
    <n v="25703419"/>
    <s v="ACC01"/>
    <x v="476"/>
    <d v="2026-07-03T18:52:24"/>
    <x v="1"/>
    <x v="5"/>
    <s v="6R2Y44"/>
    <s v="TMS"/>
    <s v="GUSTAVO FELIPE PEREIRA DOS SANTOS"/>
    <s v="Tms"/>
    <s v="Tms"/>
    <d v="2026-07-03T11:48:00"/>
    <n v="1507"/>
    <s v="Porto Velho / PVH"/>
    <s v="ON LINE"/>
    <s v="Invoice"/>
    <s v="Faturado"/>
    <x v="2"/>
    <s v="N"/>
    <x v="69"/>
    <s v="Tbsi"/>
    <s v="-"/>
    <s v="-"/>
    <s v="-"/>
    <x v="54"/>
    <s v="-"/>
    <x v="416"/>
    <n v="0"/>
    <n v="0"/>
    <n v="0"/>
    <n v="0"/>
    <n v="0"/>
    <n v="0"/>
    <s v="Reserva importada do Sistema TMS. OS: 1507"/>
    <s v="Fornecedor não preenchido! (ACC01)"/>
    <x v="0"/>
    <x v="1"/>
    <s v="Campo Fornecedor"/>
    <x v="0"/>
    <s v="Qualidade dos dados"/>
    <s v="KONTIK BUSINESS TRAVEL"/>
    <x v="4"/>
  </r>
  <r>
    <n v="24864198"/>
    <n v="25703417"/>
    <s v="ACC01"/>
    <x v="477"/>
    <d v="2026-07-03T18:52:24"/>
    <x v="1"/>
    <x v="5"/>
    <s v="6R0YVR"/>
    <s v="TMS"/>
    <s v="CESAR MATEUS JUNIOR"/>
    <s v="Tms"/>
    <s v="Tms"/>
    <d v="2026-07-03T16:15:00"/>
    <n v="1517"/>
    <s v="-"/>
    <s v="ON LINE"/>
    <s v="Invoice"/>
    <s v="Faturado"/>
    <x v="1"/>
    <s v="N"/>
    <x v="69"/>
    <s v="Tb Forte"/>
    <s v="-"/>
    <s v="-"/>
    <s v="-"/>
    <x v="54"/>
    <s v="-"/>
    <x v="417"/>
    <n v="0"/>
    <n v="0"/>
    <n v="0"/>
    <n v="0"/>
    <n v="35.57"/>
    <n v="0"/>
    <s v="Reserva importada do Sistema TMS. OS: 1517"/>
    <s v="Fornecedor não preenchido! (ACC01)"/>
    <x v="0"/>
    <x v="1"/>
    <s v="Campo Fornecedor"/>
    <x v="0"/>
    <s v="Sistêmico"/>
    <s v="GRUPO KONTIK"/>
    <x v="1"/>
  </r>
  <r>
    <n v="24864199"/>
    <n v="25703418"/>
    <s v="ACC01"/>
    <x v="478"/>
    <d v="2026-07-03T18:52:24"/>
    <x v="1"/>
    <x v="5"/>
    <s v="6RZH4R"/>
    <s v="TMS"/>
    <s v="RICARDO CARVALHO"/>
    <s v="Tms"/>
    <s v="Tms"/>
    <d v="2026-07-03T15:29:00"/>
    <n v="1516"/>
    <s v="-"/>
    <s v="ON LINE"/>
    <s v="Invoice"/>
    <s v="Faturado"/>
    <x v="1"/>
    <s v="N"/>
    <x v="69"/>
    <s v="Tb Forte"/>
    <s v="-"/>
    <s v="-"/>
    <s v="-"/>
    <x v="54"/>
    <s v="-"/>
    <x v="417"/>
    <n v="0"/>
    <n v="0"/>
    <n v="0"/>
    <n v="0"/>
    <n v="35.57"/>
    <n v="0"/>
    <s v="Reserva importada do Sistema TMS. OS: 1516"/>
    <s v="Fornecedor não preenchido! (ACC01)"/>
    <x v="0"/>
    <x v="1"/>
    <s v="Campo Fornecedor"/>
    <x v="0"/>
    <s v="Sistêmico"/>
    <s v="GRUPO KONTIK"/>
    <x v="1"/>
  </r>
  <r>
    <n v="24863090"/>
    <n v="25702212"/>
    <s v="ACC01"/>
    <x v="479"/>
    <d v="2026-07-03T17:35:52"/>
    <x v="1"/>
    <x v="5"/>
    <s v="DPOGNZ"/>
    <s v="GOVER"/>
    <s v="PAULO ROBERTO FILHO"/>
    <s v="Gover"/>
    <s v="Gover"/>
    <d v="2026-07-03T16:14:00"/>
    <n v="4718619"/>
    <s v="-"/>
    <s v="ON LINE"/>
    <s v="Cartão de crédito"/>
    <s v="Cartão de crédito"/>
    <x v="1"/>
    <s v="N"/>
    <x v="71"/>
    <s v="Adm do Brasil Ltda"/>
    <s v="-"/>
    <s v="-"/>
    <s v="-"/>
    <x v="56"/>
    <s v="-"/>
    <x v="418"/>
    <n v="158.52000000000001"/>
    <n v="0"/>
    <n v="0"/>
    <n v="0"/>
    <n v="0"/>
    <n v="0"/>
    <s v="Reserva importada do sistema Gover. Id: 4718619"/>
    <s v="Fornecedor não preenchido! (ACC01)"/>
    <x v="3"/>
    <x v="1"/>
    <s v="Campo Fornecedor"/>
    <x v="0"/>
    <s v="Sistêmico"/>
    <s v="GRUPO KONTIK"/>
    <x v="1"/>
  </r>
  <r>
    <n v="24863082"/>
    <n v="25702204"/>
    <s v="ACC01"/>
    <x v="480"/>
    <d v="2026-07-03T17:34:23"/>
    <x v="1"/>
    <x v="5"/>
    <n v="23579662"/>
    <s v="GOVER"/>
    <s v="RODRIGO OSTROWSKI"/>
    <s v="Gover"/>
    <s v="Gover"/>
    <d v="2026-07-03T14:58:00"/>
    <n v="4718518"/>
    <s v="-"/>
    <s v="ON LINE"/>
    <s v="Pagamento direto"/>
    <s v="Pagamento direto"/>
    <x v="1"/>
    <s v="N"/>
    <x v="71"/>
    <s v="Neovia Nutricao e Saude Animal Ltda."/>
    <s v="-"/>
    <s v="-"/>
    <s v="-"/>
    <x v="56"/>
    <s v="-"/>
    <x v="419"/>
    <n v="0"/>
    <n v="0"/>
    <n v="0"/>
    <n v="0"/>
    <n v="0"/>
    <n v="0"/>
    <s v="Reserva importada do sistema Gover. Id: 4718518"/>
    <s v="Fornecedor não preenchido! (ACC01)"/>
    <x v="3"/>
    <x v="1"/>
    <s v="Campo Fornecedor"/>
    <x v="0"/>
    <s v="Sistêmico"/>
    <s v="GRUPO KONTIK"/>
    <x v="1"/>
  </r>
  <r>
    <n v="24863087"/>
    <n v="25702209"/>
    <s v="ACC01"/>
    <x v="481"/>
    <d v="2026-07-03T17:35:52"/>
    <x v="1"/>
    <x v="5"/>
    <n v="23581291"/>
    <s v="GOVER"/>
    <s v="ALEXANDRE Jose CEZIMBRA"/>
    <s v="Gover"/>
    <s v="Gover"/>
    <d v="2026-07-03T15:41:00"/>
    <n v="4718575"/>
    <s v="-"/>
    <s v="ON LINE"/>
    <s v="Pagamento direto"/>
    <s v="Pagamento direto"/>
    <x v="1"/>
    <s v="N"/>
    <x v="71"/>
    <s v="Neovia Nutricao e Saude Animal Ltda."/>
    <s v="-"/>
    <s v="-"/>
    <s v="-"/>
    <x v="56"/>
    <s v="-"/>
    <x v="419"/>
    <n v="0"/>
    <n v="0"/>
    <n v="0"/>
    <n v="0"/>
    <n v="0"/>
    <n v="0"/>
    <s v="Reserva importada do sistema Gover. Id: 4718575"/>
    <s v="Fornecedor não preenchido! (ACC01)"/>
    <x v="3"/>
    <x v="1"/>
    <s v="Campo Fornecedor"/>
    <x v="0"/>
    <s v="Sistêmico"/>
    <s v="GRUPO KONTIK"/>
    <x v="1"/>
  </r>
  <r>
    <n v="24863307"/>
    <n v="25702453"/>
    <s v="ACC01"/>
    <x v="482"/>
    <d v="2026-07-03T17:24:24"/>
    <x v="1"/>
    <x v="5"/>
    <s v="QMRAAYT"/>
    <s v="SABRE"/>
    <s v="QUEIROZ/IRIS"/>
    <s v="Rafaela Leitao Oliveira"/>
    <s v="Rafaela Leitao Oliveira"/>
    <d v="2026-07-03T14:31:00"/>
    <s v="MMMM"/>
    <s v="-"/>
    <s v="OFF LINE"/>
    <s v="Cartão de crédito"/>
    <s v="Cartão de crédito"/>
    <x v="1"/>
    <s v="N"/>
    <x v="27"/>
    <s v="Grupo Casas Bahia S.a."/>
    <s v="-"/>
    <s v="-"/>
    <s v="-"/>
    <x v="25"/>
    <s v="-"/>
    <x v="259"/>
    <n v="0"/>
    <n v="0"/>
    <n v="0"/>
    <n v="0"/>
    <n v="0"/>
    <n v="0"/>
    <s v="Reserva importada por HubTravel"/>
    <s v="Fornecedor não preenchido! (ACC01)"/>
    <x v="1"/>
    <x v="1"/>
    <s v="Campo Fornecedor"/>
    <x v="0"/>
    <s v="Qualidade dos dados"/>
    <s v="KONTIK BUSINESS TRAVEL"/>
    <x v="4"/>
  </r>
  <r>
    <n v="24868513"/>
    <n v="25708364"/>
    <s v="ACC01"/>
    <x v="483"/>
    <d v="2026-07-04T18:12:57"/>
    <x v="2"/>
    <x v="6"/>
    <s v="EQNIOJ"/>
    <s v="EBOOKING"/>
    <s v="Aristides Silva"/>
    <s v="Zupper"/>
    <s v="Zupper"/>
    <d v="2026-07-04T18:10:00"/>
    <n v="7548553"/>
    <s v="-"/>
    <s v="OFF LINE"/>
    <s v="Cartão de crédito"/>
    <s v="Cartão de crédito"/>
    <x v="0"/>
    <s v="N"/>
    <x v="22"/>
    <s v="Aristides Patricio Silva"/>
    <s v="-"/>
    <s v="Gol Linhas Aereas"/>
    <n v="2307191987"/>
    <x v="63"/>
    <s v="-"/>
    <x v="420"/>
    <n v="116.23"/>
    <n v="0"/>
    <n v="0"/>
    <n v="0"/>
    <n v="0"/>
    <n v="252.24"/>
    <s v="-"/>
    <s v="Necessário cadastrar um contrato para o cliente &quot;&quot;"/>
    <x v="7"/>
    <x v="9"/>
    <s v="Análise Cadastro"/>
    <x v="0"/>
    <s v="Qualidade dos dados"/>
    <s v="ZUPPER VIAGENS"/>
    <x v="6"/>
  </r>
  <r>
    <n v="24868513"/>
    <n v="25708366"/>
    <s v="ACC02"/>
    <x v="483"/>
    <d v="2026-07-04T18:12:57"/>
    <x v="2"/>
    <x v="6"/>
    <s v="EQNIOJ"/>
    <s v="EBOOKING"/>
    <s v="Rosangela Silva"/>
    <s v="Zupper"/>
    <s v="Zupper"/>
    <d v="2026-07-04T18:10:00"/>
    <n v="7548553"/>
    <s v="-"/>
    <s v="OFF LINE"/>
    <s v="Cartão de crédito"/>
    <s v="Cartão de crédito"/>
    <x v="0"/>
    <s v="N"/>
    <x v="22"/>
    <s v="Aristides Patricio Silva"/>
    <s v="-"/>
    <s v="Gol Linhas Aereas"/>
    <n v="2307191988"/>
    <x v="63"/>
    <s v="-"/>
    <x v="420"/>
    <n v="116.23"/>
    <n v="0"/>
    <n v="0"/>
    <n v="0"/>
    <n v="0"/>
    <n v="0"/>
    <s v="-"/>
    <s v="Necessário cadastrar um contrato para o cliente &quot;&quot;"/>
    <x v="7"/>
    <x v="9"/>
    <s v="Análise Cadastro"/>
    <x v="0"/>
    <s v="Qualidade dos dados"/>
    <s v="ZUPPER VIAGENS"/>
    <x v="6"/>
  </r>
  <r>
    <n v="24867036"/>
    <n v="25706545"/>
    <s v="ACC01"/>
    <x v="484"/>
    <d v="2026-07-04T10:51:53"/>
    <x v="2"/>
    <x v="6"/>
    <s v="MNIFUE"/>
    <s v="EBOOKING"/>
    <s v="Francisco Brandao"/>
    <s v="Zupper"/>
    <s v="Zupper"/>
    <d v="2026-07-04T10:48:00"/>
    <n v="7547240"/>
    <s v="-"/>
    <s v="OFF LINE"/>
    <s v="Cartão de crédito"/>
    <s v="Cartão de crédito"/>
    <x v="0"/>
    <s v="N"/>
    <x v="22"/>
    <s v="Francisco Coni Pedreira Brandao"/>
    <s v="-"/>
    <s v="Gol Linhas Aereas"/>
    <n v="2307166950"/>
    <x v="63"/>
    <s v="-"/>
    <x v="421"/>
    <n v="114.86"/>
    <n v="0"/>
    <n v="0"/>
    <n v="0"/>
    <n v="0"/>
    <n v="65.42"/>
    <s v="-"/>
    <s v="Necessário cadastrar um contrato para o cliente &quot;&quot;"/>
    <x v="7"/>
    <x v="9"/>
    <s v="Análise Cadastro"/>
    <x v="0"/>
    <s v="Qualidade dos dados"/>
    <s v="ZUPPER VIAGENS"/>
    <x v="6"/>
  </r>
  <r>
    <n v="24864512"/>
    <n v="25703741"/>
    <s v="ACC01"/>
    <x v="485"/>
    <d v="2026-07-03T18:18:45"/>
    <x v="1"/>
    <x v="5"/>
    <s v="JZYLDK"/>
    <s v="EBOOKING"/>
    <s v="Nuno Alves de Oliveira/Carlos"/>
    <s v="Kontrip"/>
    <s v="Kontrip"/>
    <d v="2026-07-03T05:42:00"/>
    <s v="-"/>
    <s v="-"/>
    <s v="OFF LINE"/>
    <s v="Invoice"/>
    <s v="Faturado"/>
    <x v="0"/>
    <s v="N"/>
    <x v="50"/>
    <s v="Tap Air Portugal"/>
    <s v="-"/>
    <s v="Gol Linhas Aereas"/>
    <n v="2307128563"/>
    <x v="35"/>
    <s v="-"/>
    <x v="422"/>
    <n v="48.63"/>
    <n v="0"/>
    <n v="0"/>
    <n v="0"/>
    <n v="0"/>
    <n v="112.25"/>
    <s v="obs"/>
    <s v="Centro de custo não preenchido! (ACC01)"/>
    <x v="4"/>
    <x v="17"/>
    <s v="Falta de informação Gerencial"/>
    <x v="0"/>
    <s v="Qualidade dos dados"/>
    <s v="KONTRIP VIAGENS"/>
    <x v="5"/>
  </r>
  <r>
    <n v="24868672"/>
    <n v="25708575"/>
    <s v="ACC01"/>
    <x v="486"/>
    <d v="2026-07-04T19:13:24"/>
    <x v="2"/>
    <x v="6"/>
    <s v="HZKBDN"/>
    <s v="EBOOKING"/>
    <s v="SILAS MIRANDA"/>
    <s v="Zupper"/>
    <s v="Zupper"/>
    <d v="2026-07-04T19:11:00"/>
    <n v="7548723"/>
    <s v="-"/>
    <s v="OFF LINE"/>
    <s v="Invoice"/>
    <s v="Cartão convênio"/>
    <x v="0"/>
    <s v="N"/>
    <x v="85"/>
    <s v="Silas Eufrasio Miranda"/>
    <s v="-"/>
    <s v="Gol Linhas Aereas"/>
    <n v="2307195284"/>
    <x v="63"/>
    <s v="-"/>
    <x v="423"/>
    <n v="52.72"/>
    <n v="0"/>
    <n v="0"/>
    <n v="0"/>
    <n v="0"/>
    <n v="17.32"/>
    <s v="-"/>
    <s v="Não foi possível definir o Local de destino!"/>
    <x v="7"/>
    <x v="22"/>
    <s v="Cadastro incompleto"/>
    <x v="2"/>
    <s v="Sistêmico"/>
    <s v="ZUPPER VIAGENS"/>
    <x v="6"/>
  </r>
  <r>
    <n v="24868823"/>
    <n v="25708770"/>
    <s v="ACC01"/>
    <x v="487"/>
    <d v="2026-07-04T20:31:21"/>
    <x v="2"/>
    <x v="6"/>
    <s v="ATCKUP"/>
    <s v="EBOOKING"/>
    <s v="Afonso Santos"/>
    <s v="Zupper"/>
    <s v="Zupper"/>
    <d v="2026-07-04T20:14:00"/>
    <n v="7548870"/>
    <s v="-"/>
    <s v="OFF LINE"/>
    <s v="Cartão de crédito"/>
    <s v="Cartão de crédito"/>
    <x v="0"/>
    <s v="N"/>
    <x v="85"/>
    <s v="Priscila Kapritte Borges Fernandes"/>
    <s v="-"/>
    <s v="Gol Linhas Aereas"/>
    <n v="2307198496"/>
    <x v="63"/>
    <s v="-"/>
    <x v="424"/>
    <n v="52.72"/>
    <n v="0"/>
    <n v="0"/>
    <n v="0"/>
    <n v="0"/>
    <n v="106.74"/>
    <s v="-"/>
    <s v="Não foi possível definir o Local de destino!"/>
    <x v="7"/>
    <x v="22"/>
    <s v="Cadastro incompleto"/>
    <x v="2"/>
    <s v="Sistêmico"/>
    <s v="ZUPPER VIAGENS"/>
    <x v="6"/>
  </r>
  <r>
    <n v="24870536"/>
    <n v="25710725"/>
    <s v="ACC01"/>
    <x v="488"/>
    <d v="2026-07-05T12:33:54"/>
    <x v="2"/>
    <x v="6"/>
    <s v="IOTYNX"/>
    <s v="EBOOKING"/>
    <s v="RENATA FAZAN"/>
    <s v="Zupper"/>
    <s v="Zupper"/>
    <d v="2026-07-05T12:30:00"/>
    <n v="7550204"/>
    <s v="-"/>
    <s v="OFF LINE"/>
    <s v="Cartão de crédito"/>
    <s v="Cartão de crédito"/>
    <x v="0"/>
    <s v="N"/>
    <x v="85"/>
    <s v="Renata Aparecida dos Santos Falzoni Fazan"/>
    <s v="-"/>
    <s v="Gol Linhas Aereas"/>
    <n v="2307226718"/>
    <x v="63"/>
    <s v="-"/>
    <x v="425"/>
    <n v="52.72"/>
    <n v="0"/>
    <n v="0"/>
    <n v="0"/>
    <n v="0"/>
    <n v="135.44"/>
    <s v="-"/>
    <s v="Não foi possível definir o Local de destino!"/>
    <x v="7"/>
    <x v="22"/>
    <s v="Cadastro incompleto"/>
    <x v="2"/>
    <s v="Sistêmico"/>
    <s v="ZUPPER VIAGENS"/>
    <x v="6"/>
  </r>
  <r>
    <n v="24870536"/>
    <n v="25710727"/>
    <s v="ACC02"/>
    <x v="488"/>
    <d v="2026-07-05T12:33:54"/>
    <x v="2"/>
    <x v="6"/>
    <s v="IOTYNX"/>
    <s v="EBOOKING"/>
    <s v="DORCIVAL FAZAN"/>
    <s v="Zupper"/>
    <s v="Zupper"/>
    <d v="2026-07-05T12:30:00"/>
    <n v="7550204"/>
    <s v="-"/>
    <s v="OFF LINE"/>
    <s v="Cartão de crédito"/>
    <s v="Cartão de crédito"/>
    <x v="0"/>
    <s v="N"/>
    <x v="85"/>
    <s v="Renata Aparecida dos Santos Falzoni Fazan"/>
    <s v="-"/>
    <s v="Gol Linhas Aereas"/>
    <n v="2307226719"/>
    <x v="63"/>
    <s v="-"/>
    <x v="425"/>
    <n v="52.72"/>
    <n v="0"/>
    <n v="0"/>
    <n v="0"/>
    <n v="0"/>
    <n v="0"/>
    <s v="-"/>
    <s v="Não foi possível definir o Local de destino!"/>
    <x v="7"/>
    <x v="22"/>
    <s v="Cadastro incompleto"/>
    <x v="2"/>
    <s v="Sistêmico"/>
    <s v="ZUPPER VIAGENS"/>
    <x v="6"/>
  </r>
  <r>
    <n v="24870536"/>
    <n v="25710728"/>
    <s v="ACC03"/>
    <x v="488"/>
    <d v="2026-07-05T12:33:54"/>
    <x v="2"/>
    <x v="6"/>
    <s v="IOTYNX"/>
    <s v="EBOOKING"/>
    <s v="GABRIEL FAZAN"/>
    <s v="Zupper"/>
    <s v="Zupper"/>
    <d v="2026-07-05T12:30:00"/>
    <n v="7550204"/>
    <s v="-"/>
    <s v="OFF LINE"/>
    <s v="Cartão de crédito"/>
    <s v="Cartão de crédito"/>
    <x v="0"/>
    <s v="N"/>
    <x v="85"/>
    <s v="Renata Aparecida dos Santos Falzoni Fazan"/>
    <s v="-"/>
    <s v="Gol Linhas Aereas"/>
    <n v="2307226720"/>
    <x v="63"/>
    <s v="-"/>
    <x v="425"/>
    <n v="52.72"/>
    <n v="0"/>
    <n v="0"/>
    <n v="0"/>
    <n v="0"/>
    <n v="0"/>
    <s v="-"/>
    <s v="Não foi possível definir o Local de destino!"/>
    <x v="7"/>
    <x v="22"/>
    <s v="Cadastro incompleto"/>
    <x v="2"/>
    <s v="Sistêmico"/>
    <s v="ZUPPER VIAGENS"/>
    <x v="6"/>
  </r>
  <r>
    <n v="24870536"/>
    <n v="25710731"/>
    <s v="ACC04"/>
    <x v="488"/>
    <d v="2026-07-05T12:33:54"/>
    <x v="2"/>
    <x v="6"/>
    <s v="IOTYNX"/>
    <s v="EBOOKING"/>
    <s v="GABRIELE MAGAGNATO"/>
    <s v="Zupper"/>
    <s v="Zupper"/>
    <d v="2026-07-05T12:30:00"/>
    <n v="7550204"/>
    <s v="-"/>
    <s v="OFF LINE"/>
    <s v="Cartão de crédito"/>
    <s v="Cartão de crédito"/>
    <x v="0"/>
    <s v="N"/>
    <x v="85"/>
    <s v="Renata Aparecida dos Santos Falzoni Fazan"/>
    <s v="-"/>
    <s v="Gol Linhas Aereas"/>
    <n v="2307226721"/>
    <x v="63"/>
    <s v="-"/>
    <x v="425"/>
    <n v="52.72"/>
    <n v="0"/>
    <n v="0"/>
    <n v="0"/>
    <n v="0"/>
    <n v="0"/>
    <s v="-"/>
    <s v="Não foi possível definir o Local de destino!"/>
    <x v="7"/>
    <x v="22"/>
    <s v="Cadastro incompleto"/>
    <x v="2"/>
    <s v="Sistêmico"/>
    <s v="ZUPPER VIAGENS"/>
    <x v="6"/>
  </r>
  <r>
    <n v="24870220"/>
    <n v="25710317"/>
    <s v="ACC01"/>
    <x v="489"/>
    <d v="2026-07-05T11:03:52"/>
    <x v="2"/>
    <x v="6"/>
    <s v="OZQIKF"/>
    <s v="EBOOKING"/>
    <s v="Danielle Costa Gomes"/>
    <s v="Zupper"/>
    <s v="Zupper"/>
    <d v="2026-07-05T11:00:00"/>
    <n v="7549950"/>
    <s v="-"/>
    <s v="OFF LINE"/>
    <s v="Cartão de crédito"/>
    <s v="Cartão de crédito"/>
    <x v="0"/>
    <s v="N"/>
    <x v="85"/>
    <s v="William L Santos"/>
    <s v="-"/>
    <s v="Gol Linhas Aereas"/>
    <n v="2307221621"/>
    <x v="63"/>
    <s v="-"/>
    <x v="426"/>
    <n v="56.88"/>
    <n v="0"/>
    <n v="0"/>
    <n v="0"/>
    <n v="0"/>
    <n v="41.16"/>
    <s v="-"/>
    <s v="Não foi possível definir o Local de destino!"/>
    <x v="7"/>
    <x v="22"/>
    <s v="Cadastro incompleto"/>
    <x v="2"/>
    <s v="Sistêmico"/>
    <s v="ZUPPER VIAGENS"/>
    <x v="6"/>
  </r>
  <r>
    <n v="24862474"/>
    <n v="25701497"/>
    <s v="ACC01"/>
    <x v="490"/>
    <d v="2026-07-03T15:28:50"/>
    <x v="1"/>
    <x v="5"/>
    <s v="YDNHNC"/>
    <s v="EBOOKING"/>
    <s v="Hudesceles Rodrigues"/>
    <s v="Zupper"/>
    <s v="Zupper"/>
    <d v="2026-07-03T15:25:00"/>
    <n v="7545309"/>
    <s v="-"/>
    <s v="OFF LINE"/>
    <s v="Invoice"/>
    <s v="Cartão convênio"/>
    <x v="0"/>
    <s v="N"/>
    <x v="85"/>
    <s v="Hudesceles Christinne Guedes Rodrigues"/>
    <s v="-"/>
    <s v="Gol Linhas Aereas"/>
    <n v="2307112661"/>
    <x v="63"/>
    <s v="-"/>
    <x v="427"/>
    <n v="56.88"/>
    <n v="0"/>
    <n v="0"/>
    <n v="0"/>
    <n v="0"/>
    <n v="188.56"/>
    <s v="-"/>
    <s v="Não foi possível definir o Local de destino!"/>
    <x v="7"/>
    <x v="22"/>
    <s v="Cadastro incompleto"/>
    <x v="2"/>
    <s v="Sistêmico"/>
    <s v="ZUPPER VIAGENS"/>
    <x v="6"/>
  </r>
  <r>
    <n v="24865563"/>
    <n v="25704982"/>
    <s v="ACC01"/>
    <x v="491"/>
    <d v="2026-07-03T23:24:55"/>
    <x v="1"/>
    <x v="5"/>
    <s v="JPTYZL"/>
    <s v="EBOOKING"/>
    <s v="Marilia Gabriela Almeida"/>
    <s v="Zupper"/>
    <s v="Zupper"/>
    <d v="2026-07-03T23:20:00"/>
    <n v="7546356"/>
    <s v="-"/>
    <s v="OFF LINE"/>
    <s v="Cartão de crédito"/>
    <s v="Cartão de crédito"/>
    <x v="0"/>
    <s v="N"/>
    <x v="85"/>
    <s v="Marilia Gabriela Santos de Almeida"/>
    <s v="-"/>
    <s v="Gol Linhas Aereas"/>
    <n v="2307151056"/>
    <x v="63"/>
    <s v="-"/>
    <x v="428"/>
    <n v="62.14"/>
    <n v="0"/>
    <n v="0"/>
    <n v="0"/>
    <n v="0"/>
    <n v="30.9"/>
    <s v="-"/>
    <s v="Não foi possível definir o Local de destino!"/>
    <x v="7"/>
    <x v="22"/>
    <s v="Cadastro incompleto"/>
    <x v="2"/>
    <s v="Sistêmico"/>
    <s v="ZUPPER VIAGENS"/>
    <x v="6"/>
  </r>
  <r>
    <n v="24867637"/>
    <n v="25707295"/>
    <s v="ACC01"/>
    <x v="492"/>
    <d v="2026-07-04T13:27:49"/>
    <x v="2"/>
    <x v="6"/>
    <s v="OLDKDY"/>
    <s v="EBOOKING"/>
    <s v="CLAUDIO SILVA"/>
    <s v="Zupper"/>
    <s v="Zupper"/>
    <d v="2026-07-04T13:25:00"/>
    <n v="7546644"/>
    <s v="-"/>
    <s v="OFF LINE"/>
    <s v="Cartão de crédito"/>
    <s v="Cartão de crédito"/>
    <x v="0"/>
    <s v="N"/>
    <x v="85"/>
    <s v="Ana Cristina Fernandes Silva"/>
    <s v="-"/>
    <s v="Gol Linhas Aereas"/>
    <n v="2307177510"/>
    <x v="63"/>
    <s v="-"/>
    <x v="429"/>
    <n v="87.73"/>
    <n v="0"/>
    <n v="0"/>
    <n v="0"/>
    <n v="0"/>
    <n v="607.04999999999995"/>
    <s v="-"/>
    <s v="Não foi possível encontrar configuração válida para Administradora de código 1 e Data Emissão 04/07/2026"/>
    <x v="7"/>
    <x v="0"/>
    <s v="Validação de Dados"/>
    <x v="0"/>
    <s v="Qualidade dos dados"/>
    <s v="ZUPPER VIAGENS"/>
    <x v="6"/>
  </r>
  <r>
    <n v="24867637"/>
    <n v="25707296"/>
    <s v="ACC02"/>
    <x v="492"/>
    <d v="2026-07-04T13:27:49"/>
    <x v="2"/>
    <x v="6"/>
    <s v="OLDKDY"/>
    <s v="EBOOKING"/>
    <s v="ANA SILVA"/>
    <s v="Zupper"/>
    <s v="Zupper"/>
    <d v="2026-07-04T13:25:00"/>
    <n v="7546644"/>
    <s v="-"/>
    <s v="OFF LINE"/>
    <s v="Cartão de crédito"/>
    <s v="Cartão de crédito"/>
    <x v="0"/>
    <s v="N"/>
    <x v="85"/>
    <s v="Ana Cristina Fernandes Silva"/>
    <s v="-"/>
    <s v="Gol Linhas Aereas"/>
    <n v="2307177511"/>
    <x v="63"/>
    <s v="-"/>
    <x v="429"/>
    <n v="87.73"/>
    <n v="0"/>
    <n v="0"/>
    <n v="0"/>
    <n v="0"/>
    <n v="0"/>
    <s v="-"/>
    <s v="Não foi possível encontrar configuração válida para Administradora de código 1 e Data Emissão 04/07/2026"/>
    <x v="7"/>
    <x v="0"/>
    <s v="Validação de Dados"/>
    <x v="0"/>
    <s v="Qualidade dos dados"/>
    <s v="ZUPPER VIAGENS"/>
    <x v="6"/>
  </r>
  <r>
    <n v="24867637"/>
    <n v="25707297"/>
    <s v="ACC03"/>
    <x v="492"/>
    <d v="2026-07-04T13:27:49"/>
    <x v="2"/>
    <x v="6"/>
    <s v="OLDKDY"/>
    <s v="EBOOKING"/>
    <s v="CLARISSA SANTOS"/>
    <s v="Zupper"/>
    <s v="Zupper"/>
    <d v="2026-07-04T13:25:00"/>
    <n v="7546644"/>
    <s v="-"/>
    <s v="OFF LINE"/>
    <s v="Cartão de crédito"/>
    <s v="Cartão de crédito"/>
    <x v="0"/>
    <s v="N"/>
    <x v="85"/>
    <s v="Ana Cristina Fernandes Silva"/>
    <s v="-"/>
    <s v="Gol Linhas Aereas"/>
    <n v="2307177512"/>
    <x v="63"/>
    <s v="-"/>
    <x v="429"/>
    <n v="87.73"/>
    <n v="0"/>
    <n v="0"/>
    <n v="0"/>
    <n v="0"/>
    <n v="0"/>
    <s v="-"/>
    <s v="Não foi possível encontrar configuração válida para Administradora de código 1 e Data Emissão 04/07/2026"/>
    <x v="7"/>
    <x v="0"/>
    <s v="Validação de Dados"/>
    <x v="0"/>
    <s v="Qualidade dos dados"/>
    <s v="ZUPPER VIAGENS"/>
    <x v="6"/>
  </r>
  <r>
    <n v="24868264"/>
    <n v="25708081"/>
    <s v="ACC01"/>
    <x v="493"/>
    <d v="2026-07-04T17:07:08"/>
    <x v="2"/>
    <x v="6"/>
    <s v="CAWHJW"/>
    <s v="EBOOKING"/>
    <s v="Ketellyn Matias"/>
    <s v="Zupper"/>
    <s v="Zupper"/>
    <d v="2026-07-04T17:03:00"/>
    <n v="7548357"/>
    <s v="-"/>
    <s v="OFF LINE"/>
    <s v="Invoice"/>
    <s v="Cartão convênio"/>
    <x v="0"/>
    <s v="N"/>
    <x v="85"/>
    <s v="Ruan Tadeu dos Santos de Jesus"/>
    <s v="-"/>
    <s v="Gol Linhas Aereas"/>
    <n v="2307188987"/>
    <x v="63"/>
    <s v="-"/>
    <x v="430"/>
    <n v="51.44"/>
    <n v="0"/>
    <n v="0"/>
    <n v="0"/>
    <n v="0"/>
    <n v="977.41"/>
    <s v="-"/>
    <s v="Não foi possível definir o Local de destino!"/>
    <x v="7"/>
    <x v="22"/>
    <s v="Cadastro incompleto"/>
    <x v="2"/>
    <s v="Sistêmico"/>
    <s v="ZUPPER VIAGENS"/>
    <x v="6"/>
  </r>
  <r>
    <n v="24868264"/>
    <n v="25708082"/>
    <s v="ACC02"/>
    <x v="493"/>
    <d v="2026-07-04T17:07:08"/>
    <x v="2"/>
    <x v="6"/>
    <s v="CAWHJW"/>
    <s v="EBOOKING"/>
    <s v="Ruan Jesus"/>
    <s v="Zupper"/>
    <s v="Zupper"/>
    <d v="2026-07-04T17:03:00"/>
    <n v="7548357"/>
    <s v="-"/>
    <s v="OFF LINE"/>
    <s v="Invoice"/>
    <s v="Cartão convênio"/>
    <x v="0"/>
    <s v="N"/>
    <x v="85"/>
    <s v="Ruan Tadeu dos Santos de Jesus"/>
    <s v="-"/>
    <s v="Gol Linhas Aereas"/>
    <n v="2307188988"/>
    <x v="63"/>
    <s v="-"/>
    <x v="430"/>
    <n v="51.44"/>
    <n v="0"/>
    <n v="0"/>
    <n v="0"/>
    <n v="0"/>
    <n v="0"/>
    <s v="-"/>
    <s v="Não foi possível definir o Local de destino!"/>
    <x v="7"/>
    <x v="22"/>
    <s v="Cadastro incompleto"/>
    <x v="2"/>
    <s v="Sistêmico"/>
    <s v="ZUPPER VIAGENS"/>
    <x v="6"/>
  </r>
  <r>
    <n v="24871874"/>
    <n v="25712412"/>
    <s v="ACC01"/>
    <x v="494"/>
    <d v="2026-07-05T21:07:03"/>
    <x v="2"/>
    <x v="6"/>
    <s v="FDWMGQ"/>
    <s v="EBOOKING"/>
    <s v="Josileide Dos santos"/>
    <s v="Zupper"/>
    <s v="Zupper"/>
    <d v="2026-07-05T21:04:00"/>
    <n v="7551450"/>
    <s v="-"/>
    <s v="OFF LINE"/>
    <s v="Cartão de crédito"/>
    <s v="Cartão de crédito"/>
    <x v="0"/>
    <s v="N"/>
    <x v="85"/>
    <s v="Josileide dos Santos"/>
    <s v="-"/>
    <s v="Gol Linhas Aereas"/>
    <n v="2307253451"/>
    <x v="63"/>
    <s v="-"/>
    <x v="431"/>
    <n v="33.64"/>
    <n v="0"/>
    <n v="0"/>
    <n v="0"/>
    <n v="0"/>
    <n v="32.94"/>
    <s v="-"/>
    <s v="Não foi possível definir o Local de destino!"/>
    <x v="7"/>
    <x v="22"/>
    <s v="Cadastro incompleto"/>
    <x v="2"/>
    <s v="Sistêmico"/>
    <s v="ZUPPER VIAGENS"/>
    <x v="6"/>
  </r>
  <r>
    <n v="24868819"/>
    <n v="25708764"/>
    <s v="ACC01"/>
    <x v="495"/>
    <d v="2026-07-04T20:12:33"/>
    <x v="2"/>
    <x v="6"/>
    <s v="LNXAEQ01"/>
    <s v="GOVER"/>
    <s v="David Santos Alvarez"/>
    <s v="Andreia de Alencar Alves"/>
    <s v="Andreia de Alencar Alves"/>
    <d v="2026-07-05T19:15:00"/>
    <n v="4718546"/>
    <s v="-"/>
    <s v="OFF LINE"/>
    <s v="Cartão de crédito"/>
    <s v="Cartão de crédito"/>
    <x v="0"/>
    <s v="N"/>
    <x v="82"/>
    <s v="Cmoc - Dom Domenico Rangoni"/>
    <s v="-"/>
    <s v="Latam Airlines Brasil"/>
    <n v="2294627234"/>
    <x v="62"/>
    <s v="-"/>
    <x v="432"/>
    <n v="450"/>
    <n v="0"/>
    <n v="0"/>
    <n v="0"/>
    <n v="0"/>
    <n v="0"/>
    <s v="Reserva importada do sistema Gover. Id: 4718546"/>
    <s v=" Configurações        -&gt; Configurações do sistema turismo          -&gt; Importação das vendas            -&gt; Impedir vendas com data superior à atual"/>
    <x v="3"/>
    <x v="2"/>
    <s v="Forma PG. e REC."/>
    <x v="0"/>
    <s v="Qualidade dos dados"/>
    <s v="KONTIK BUSINESS TRAVEL"/>
    <x v="3"/>
  </r>
  <r>
    <n v="24863249"/>
    <n v="25702390"/>
    <s v="ACC01"/>
    <x v="496"/>
    <d v="2026-07-03T17:31:08"/>
    <x v="1"/>
    <x v="5"/>
    <s v="AFWVKZ"/>
    <s v="SABRE"/>
    <s v="COSTA/TICIANA CAMILA"/>
    <s v="V7"/>
    <s v="VANESSA ARAUJO ALVES"/>
    <d v="2026-07-02T13:53:00"/>
    <s v="AFWVKZ"/>
    <s v="-"/>
    <s v="ON LINE"/>
    <s v="Cartão de crédito"/>
    <s v="Cartão de crédito"/>
    <x v="0"/>
    <s v="N"/>
    <x v="30"/>
    <s v="Parexel International Pesquisas Clinicas Ltda"/>
    <s v="-"/>
    <s v="Latam Airlines Brasil"/>
    <n v="5232184622"/>
    <x v="7"/>
    <s v="-"/>
    <x v="433"/>
    <n v="48.63"/>
    <n v="0"/>
    <n v="0"/>
    <n v="48.63"/>
    <n v="0"/>
    <n v="0"/>
    <s v="Reserva importada por HubTravel"/>
    <s v="Matrícula não preenchida! (ACC01) Projeto não preenchido! (ACC01)"/>
    <x v="1"/>
    <x v="5"/>
    <s v="Falta de informação Gerencial"/>
    <x v="0"/>
    <s v="Qualidade dos dados"/>
    <s v="KONTIK BUSINESS TRAVEL"/>
    <x v="2"/>
  </r>
  <r>
    <n v="24863254"/>
    <n v="25702395"/>
    <s v="ACC01"/>
    <x v="497"/>
    <d v="2026-07-03T17:31:08"/>
    <x v="1"/>
    <x v="5"/>
    <s v="WRERWV"/>
    <s v="SABRE"/>
    <s v="DE OLIVEIRA COSTA/ALINE CRIST"/>
    <s v="V7"/>
    <s v="VANESSA ARAUJO ALVES"/>
    <d v="2026-07-02T15:21:00"/>
    <s v="WRERWV"/>
    <s v="-"/>
    <s v="ON LINE"/>
    <s v="Cartão de crédito"/>
    <s v="Cartão de crédito"/>
    <x v="0"/>
    <s v="N"/>
    <x v="30"/>
    <s v="Parexel International Pesquisas Clinicas Ltda"/>
    <s v="-"/>
    <s v="Latam Airlines Brasil"/>
    <n v="5232184626"/>
    <x v="7"/>
    <s v="-"/>
    <x v="434"/>
    <n v="48.63"/>
    <n v="0"/>
    <n v="0"/>
    <n v="48.63"/>
    <n v="0"/>
    <n v="0"/>
    <s v="Reserva importada por HubTravel"/>
    <s v="Matrícula não preenchida! (ACC01) Projeto não preenchido! (ACC01)"/>
    <x v="1"/>
    <x v="5"/>
    <s v="Falta de informação Gerencial"/>
    <x v="0"/>
    <s v="Qualidade dos dados"/>
    <s v="KONTIK BUSINESS TRAVEL"/>
    <x v="2"/>
  </r>
  <r>
    <n v="24864449"/>
    <n v="25703682"/>
    <s v="ACC01"/>
    <x v="498"/>
    <d v="2026-07-03T18:30:56"/>
    <x v="1"/>
    <x v="5"/>
    <s v="MSUWQF"/>
    <s v="SABRE"/>
    <s v="BORTOLOTTO/VANESSA REZENDE"/>
    <s v="WS"/>
    <s v="WS"/>
    <d v="2026-07-03T13:54:00"/>
    <s v="MSUWQF"/>
    <s v="-"/>
    <s v="ON LINE"/>
    <s v="Cartão de crédito"/>
    <s v="Cartão de crédito"/>
    <x v="0"/>
    <s v="N"/>
    <x v="30"/>
    <s v="Parexel International Pesquisas Clinicas Ltda"/>
    <s v="-"/>
    <s v="Latam Airlines Brasil"/>
    <s v="-"/>
    <x v="7"/>
    <s v="-"/>
    <x v="435"/>
    <n v="35.15"/>
    <n v="0"/>
    <n v="0"/>
    <n v="0"/>
    <n v="0"/>
    <n v="0"/>
    <s v="Reserva importada por HubTravel"/>
    <s v="Necessário informar o bilhete"/>
    <x v="1"/>
    <x v="15"/>
    <s v="Validação de Dados"/>
    <x v="0"/>
    <s v="Qualidade dos dados"/>
    <s v="KONTIK BUSINESS TRAVEL"/>
    <x v="4"/>
  </r>
  <r>
    <n v="24864461"/>
    <n v="25703690"/>
    <s v="ACC01"/>
    <x v="499"/>
    <d v="2026-07-03T18:16:39"/>
    <x v="1"/>
    <x v="5"/>
    <s v="ECJXDV"/>
    <s v="GOVER"/>
    <s v="Alessandra Corradi"/>
    <s v="Gover"/>
    <s v="Gover"/>
    <d v="2026-07-10T17:59:00"/>
    <n v="4718683"/>
    <s v="-"/>
    <s v="OFF LINE"/>
    <s v="Cartão de crédito"/>
    <s v="Cartão AMEX"/>
    <x v="0"/>
    <s v="N"/>
    <x v="19"/>
    <s v="Energisa Rondonia - Distribuidora de Energia S.a."/>
    <s v="-"/>
    <s v="Latam Airlines Brasil"/>
    <n v="2294481909"/>
    <x v="20"/>
    <s v="-"/>
    <x v="436"/>
    <n v="72.569999999999993"/>
    <n v="0"/>
    <n v="0"/>
    <n v="0"/>
    <n v="0"/>
    <n v="0"/>
    <s v="Reserva importada do sistema Gover. Id: 4718683"/>
    <s v=" Configurações        -&gt; Configurações do sistema turismo          -&gt; Importação das vendas            -&gt; Impedir vendas com data superior à atual"/>
    <x v="3"/>
    <x v="2"/>
    <s v="Forma PG. e REC."/>
    <x v="0"/>
    <s v="Qualidade dos dados"/>
    <s v="KONTIK BUSINESS TRAVEL"/>
    <x v="3"/>
  </r>
  <r>
    <n v="24862372"/>
    <n v="25701363"/>
    <s v="ACC01"/>
    <x v="500"/>
    <d v="2026-07-03T17:20:37"/>
    <x v="1"/>
    <x v="5"/>
    <s v="CIXXPM"/>
    <s v="SABRE"/>
    <s v="LOZANO HINCAPIE/AURA"/>
    <s v="WS"/>
    <s v="WS"/>
    <d v="2026-07-03T08:28:00"/>
    <s v="CIXXPM"/>
    <s v="-"/>
    <s v="ON LINE"/>
    <s v="Cartão de crédito"/>
    <s v="Cartão de crédito"/>
    <x v="0"/>
    <s v="N"/>
    <x v="4"/>
    <s v="Sep Global Informacoes do Brasil Ltda"/>
    <s v="Cliente FEE no POS"/>
    <s v="Latam Airlines Brasil"/>
    <s v="-"/>
    <x v="3"/>
    <s v="-"/>
    <x v="437"/>
    <n v="124.76"/>
    <n v="0"/>
    <n v="0"/>
    <n v="0"/>
    <n v="0"/>
    <n v="0"/>
    <s v="Reserva importada por HubTravel"/>
    <s v="Necessário informar o bilhete"/>
    <x v="1"/>
    <x v="15"/>
    <s v="Validação de Dados"/>
    <x v="0"/>
    <s v="Qualidade dos dados"/>
    <s v="KONTIK BUSINESS TRAVEL"/>
    <x v="4"/>
  </r>
  <r>
    <n v="24862910"/>
    <n v="25702003"/>
    <s v="ACC01"/>
    <x v="501"/>
    <d v="2026-07-03T16:40:06"/>
    <x v="1"/>
    <x v="5"/>
    <s v="MVVYTO"/>
    <s v="GOVER"/>
    <s v="Rodrigo Teixeira De Oliveira"/>
    <s v="GABRIEL ALVES MOURA"/>
    <s v="GABRIEL ALVES MOURA"/>
    <d v="2026-06-30T22:37:00"/>
    <n v="4716611"/>
    <s v="-"/>
    <s v="ON LINE"/>
    <s v="Cartão de crédito"/>
    <s v="Cartão AMEX"/>
    <x v="0"/>
    <s v="N"/>
    <x v="26"/>
    <s v="Bat | Souza Cruz - Matriz"/>
    <s v="-"/>
    <s v="Latam Airlines Brasil"/>
    <n v="5232183995"/>
    <x v="24"/>
    <s v="-"/>
    <x v="8"/>
    <n v="62.62"/>
    <n v="0"/>
    <n v="0"/>
    <n v="0"/>
    <n v="0"/>
    <n v="0"/>
    <s v="Reserva importada do sistema Gover. Id: 4716611"/>
    <s v="Autorização do cartão da forma de pagamento não preenchida! (ACC01) Autorização do cartão da forma de recebimento não preenchida! (ACC01)"/>
    <x v="3"/>
    <x v="5"/>
    <s v="Falta de informação Gerencial"/>
    <x v="0"/>
    <s v="Qualidade dos dados"/>
    <s v="KONTIK BUSINESS TRAVEL"/>
    <x v="4"/>
  </r>
  <r>
    <n v="24864691"/>
    <n v="25703954"/>
    <s v="ACC01"/>
    <x v="502"/>
    <d v="2026-07-03T19:08:22"/>
    <x v="1"/>
    <x v="5"/>
    <s v="SIJVOU"/>
    <s v="TMS"/>
    <s v="CESIO BRITO"/>
    <s v="Tms"/>
    <s v="Tms"/>
    <d v="2026-07-03T15:17:00"/>
    <n v="9660"/>
    <s v="-"/>
    <s v="ON LINE"/>
    <s v="Cartão de crédito"/>
    <s v="Cartão de crédito"/>
    <x v="0"/>
    <s v="N"/>
    <x v="68"/>
    <s v="Syngenta Crop"/>
    <s v="-"/>
    <s v="Latam Airlines Brasil"/>
    <n v="2294455309"/>
    <x v="53"/>
    <s v="-"/>
    <x v="438"/>
    <n v="87.88"/>
    <n v="0"/>
    <n v="0"/>
    <n v="0"/>
    <n v="0"/>
    <n v="0"/>
    <s v="Reserva importada do Sistema TMS. OS: 9660"/>
    <s v="Matrícula não preenchida! (ACC01)"/>
    <x v="0"/>
    <x v="4"/>
    <s v="Falta de informação Gerencial"/>
    <x v="0"/>
    <s v="Qualidade dos dados"/>
    <s v="KONTIK BUSINESS TRAVEL"/>
    <x v="2"/>
  </r>
  <r>
    <n v="24864604"/>
    <n v="25703850"/>
    <s v="ACC01"/>
    <x v="503"/>
    <d v="2026-07-03T18:54:17"/>
    <x v="1"/>
    <x v="5"/>
    <s v="FCXUXF"/>
    <s v="SABRE"/>
    <s v="ANDRADE/RAFAEL PIRES DE"/>
    <s v="5I"/>
    <s v="VITOR TEICHMANN"/>
    <d v="2026-06-12T13:57:00"/>
    <s v="FCXUXF"/>
    <s v="-"/>
    <s v="ON LINE"/>
    <s v="Cartão de crédito"/>
    <s v="Cartão de crédito"/>
    <x v="0"/>
    <s v="N"/>
    <x v="37"/>
    <s v="Amway do Brasil"/>
    <s v="-"/>
    <s v="American Airlines"/>
    <n v="9552292819"/>
    <x v="33"/>
    <s v="-"/>
    <x v="439"/>
    <n v="64.56"/>
    <n v="415.53"/>
    <n v="0"/>
    <n v="64.56"/>
    <n v="0"/>
    <n v="0"/>
    <s v="Reserva importada por HubTravel"/>
    <s v="Matrícula não preenchida! (ACC01)"/>
    <x v="1"/>
    <x v="4"/>
    <s v="Falta de informação Gerencial"/>
    <x v="0"/>
    <s v="Qualidade dos dados"/>
    <s v="KONTIK BUSINESS TRAVEL"/>
    <x v="2"/>
  </r>
  <r>
    <n v="24862371"/>
    <n v="25701362"/>
    <s v="ACC01"/>
    <x v="504"/>
    <d v="2026-07-03T17:20:36"/>
    <x v="1"/>
    <x v="5"/>
    <s v="SCCZWN"/>
    <s v="SABRE"/>
    <s v="SANTANA/VICTOR"/>
    <s v="WS"/>
    <s v="WS"/>
    <d v="2026-07-02T22:59:00"/>
    <s v="SCCZWN"/>
    <s v="-"/>
    <s v="ON LINE"/>
    <s v="Cartão de crédito"/>
    <s v="Cartão de crédito"/>
    <x v="0"/>
    <s v="N"/>
    <x v="4"/>
    <s v="Standard And Poors Ratings do Brasil Ltda"/>
    <s v="Cliente FEE no POS"/>
    <s v="Copa Airlines"/>
    <s v="-"/>
    <x v="4"/>
    <s v="-"/>
    <x v="440"/>
    <n v="64.56"/>
    <n v="483.74"/>
    <n v="0"/>
    <n v="0"/>
    <n v="0"/>
    <n v="0"/>
    <s v="Reserva importada por HubTravel"/>
    <s v="Necessário informar o bilhete"/>
    <x v="1"/>
    <x v="15"/>
    <s v="Validação de Dados"/>
    <x v="0"/>
    <s v="Qualidade dos dados"/>
    <s v="KONTIK BUSINESS TRAVEL"/>
    <x v="4"/>
  </r>
  <r>
    <n v="24862497"/>
    <n v="25701529"/>
    <s v="ACC01"/>
    <x v="505"/>
    <d v="2026-07-03T15:36:35"/>
    <x v="1"/>
    <x v="5"/>
    <s v="OCQAQY"/>
    <s v="GOVER"/>
    <s v="Romualdo Reginaldo Filho"/>
    <s v="Priscilla Andrade Sobrinho"/>
    <s v="Priscilla Andrade Sobrinho"/>
    <d v="2026-07-04T15:11:00"/>
    <n v="4717883"/>
    <s v="-"/>
    <s v="ON LINE"/>
    <s v="Cartão de crédito"/>
    <s v="Cartão de crédito"/>
    <x v="0"/>
    <s v="N"/>
    <x v="59"/>
    <s v="Zf do Brasil - Divisao Z"/>
    <s v="-"/>
    <s v="United"/>
    <n v="5232179839"/>
    <x v="48"/>
    <s v="-"/>
    <x v="441"/>
    <n v="483.91"/>
    <n v="0"/>
    <n v="0"/>
    <n v="0"/>
    <n v="0"/>
    <n v="0"/>
    <s v="Reserva importada do sistema Gover. Id: 4717883"/>
    <s v=" Configurações        -&gt; Configurações do sistema turismo          -&gt; Importação das vendas            -&gt; Impedir vendas com data superior à atual"/>
    <x v="3"/>
    <x v="2"/>
    <s v="Forma PG. e REC."/>
    <x v="0"/>
    <s v="Qualidade dos dados"/>
    <s v="KONTIK BUSINESS TRAVEL"/>
    <x v="4"/>
  </r>
  <r>
    <n v="24864434"/>
    <n v="25703660"/>
    <s v="ACC01"/>
    <x v="506"/>
    <d v="2026-07-04T04:49:55"/>
    <x v="2"/>
    <x v="5"/>
    <s v="MUWVKHT"/>
    <s v="SABRE"/>
    <s v="IDALGO/LETICIA IDALGO"/>
    <s v="WS"/>
    <s v="WS"/>
    <d v="2026-07-03T13:37:00"/>
    <s v="MUWVKH"/>
    <s v="-"/>
    <s v="ON LINE"/>
    <s v="Cartão de crédito"/>
    <s v="Cartão de crédito"/>
    <x v="1"/>
    <s v="N"/>
    <x v="62"/>
    <s v="Bdb Ferramentas do Brasil Ltda"/>
    <s v="Cliente FEE no POS"/>
    <s v="Estanplaza Ibirapuera"/>
    <s v="-"/>
    <x v="7"/>
    <s v="-"/>
    <x v="442"/>
    <n v="66.150000000000006"/>
    <n v="0"/>
    <n v="0"/>
    <n v="0"/>
    <n v="0"/>
    <n v="8"/>
    <s v="Reserva importada por HubTravel"/>
    <s v="Centro de custo não preenchido! (ACC01)"/>
    <x v="1"/>
    <x v="17"/>
    <s v="Falta de informação Gerencial"/>
    <x v="0"/>
    <s v="Qualidade dos dados"/>
    <s v="KONTIK BUSINESS TRAVEL"/>
    <x v="4"/>
  </r>
  <r>
    <n v="24862761"/>
    <n v="25701843"/>
    <s v="ACC01"/>
    <x v="507"/>
    <d v="2026-07-03T16:30:26"/>
    <x v="1"/>
    <x v="5"/>
    <s v="HIBY2C"/>
    <s v="WOOBA"/>
    <s v="CUNHA/WELTON"/>
    <s v="Welton Silva da Cunha"/>
    <s v="Welton Silva da Cunha"/>
    <d v="2026-07-03T15:29:00"/>
    <s v="-"/>
    <s v="-"/>
    <s v="OFF LINE"/>
    <s v="Invoice"/>
    <s v="Cartão convênio"/>
    <x v="0"/>
    <s v="N"/>
    <x v="86"/>
    <s v="Enesa Engenharia"/>
    <s v="-"/>
    <s v="Azul Linhas Aereas"/>
    <n v="5001736"/>
    <x v="9"/>
    <s v="-"/>
    <x v="443"/>
    <n v="33.64"/>
    <n v="0"/>
    <n v="0"/>
    <n v="0"/>
    <n v="0"/>
    <n v="0"/>
    <s v="Reserva importada do Sistema WOOBA. Id: 17561"/>
    <s v="Canal de venda não preenchido! (ACC01)"/>
    <x v="6"/>
    <x v="19"/>
    <s v="Falta de informação Gerencial"/>
    <x v="0"/>
    <s v="Qualidade dos dados"/>
    <s v="GRUPO KONTIK"/>
    <x v="0"/>
  </r>
  <r>
    <n v="24862400"/>
    <n v="25701395"/>
    <s v="ACC01"/>
    <x v="508"/>
    <d v="2026-07-04T03:31:54"/>
    <x v="2"/>
    <x v="5"/>
    <s v="h4718434"/>
    <s v="GOVER"/>
    <s v="N/I"/>
    <s v="Gover"/>
    <s v="Gover"/>
    <d v="2026-07-03T15:05:00"/>
    <n v="4718434"/>
    <s v="-"/>
    <s v="OFF LINE"/>
    <s v="Cartão de crédito"/>
    <s v="Cartão de crédito"/>
    <x v="1"/>
    <s v="N"/>
    <x v="26"/>
    <s v="Bat | Souza Cruz - Matriz"/>
    <s v="-"/>
    <s v="Charrua Hotel"/>
    <s v="-"/>
    <x v="24"/>
    <s v="-"/>
    <x v="376"/>
    <n v="0"/>
    <n v="0"/>
    <n v="0"/>
    <n v="0"/>
    <n v="0"/>
    <n v="0"/>
    <s v="Reserva importada do sistema Gover. Id: 4718434"/>
    <s v="Centro de custo não preenchido! (ACC01)"/>
    <x v="3"/>
    <x v="17"/>
    <s v="Falta de informação Gerencial"/>
    <x v="0"/>
    <s v="Qualidade dos dados"/>
    <s v="KONTIK BUSINESS TRAVEL"/>
    <x v="2"/>
  </r>
  <r>
    <n v="24862576"/>
    <n v="25701627"/>
    <s v="ACC01"/>
    <x v="509"/>
    <d v="2026-07-03T15:57:19"/>
    <x v="1"/>
    <x v="5"/>
    <n v="23580866"/>
    <s v="GOVER"/>
    <s v="Fabio Cristiano Valota"/>
    <s v="Gover"/>
    <s v="Gover"/>
    <d v="2026-07-03T15:30:00"/>
    <n v="4718561"/>
    <s v="-"/>
    <s v="ON LINE"/>
    <s v="Cartão de crédito"/>
    <s v="Cartão de crédito"/>
    <x v="1"/>
    <s v="N"/>
    <x v="80"/>
    <s v="Chicago Pneumatic Brasil Ltda - Matriz"/>
    <s v="-"/>
    <s v="Trip Hotel Uba Centro Mg - Inativo"/>
    <s v="-"/>
    <x v="3"/>
    <s v="-"/>
    <x v="92"/>
    <n v="0"/>
    <n v="0"/>
    <n v="0"/>
    <n v="0"/>
    <n v="0"/>
    <n v="0"/>
    <s v="Reserva importada do sistema Gover. Id: 4718561"/>
    <s v="Não foi possível encontrar um contrato válido para o fornecedor 69338 (Código fornecedor) "/>
    <x v="3"/>
    <x v="9"/>
    <s v="Análise Cadastro"/>
    <x v="0"/>
    <s v="Qualidade dos dados"/>
    <s v="KONTIK BUSINESS TRAVEL"/>
    <x v="4"/>
  </r>
  <r>
    <n v="24864534"/>
    <n v="25703760"/>
    <s v="ACC01"/>
    <x v="510"/>
    <d v="2026-07-03T18:26:34"/>
    <x v="1"/>
    <x v="5"/>
    <n v="16566"/>
    <s v="GOVER"/>
    <s v="Rodson de Carvalho Santos"/>
    <s v="DANIELLE RIZZETO BEZERRA ALVES"/>
    <s v="DANIELLE RIZZETO BEZERRA ALVES"/>
    <d v="2026-07-04T18:13:00"/>
    <n v="4718557"/>
    <s v="-"/>
    <s v="OFF LINE"/>
    <s v="Cartão de crédito"/>
    <s v="Cartão de crédito"/>
    <x v="1"/>
    <s v="N"/>
    <x v="39"/>
    <s v="Intercement Nacoes Unidas"/>
    <s v="-"/>
    <s v="Lagos Hotel"/>
    <s v="-"/>
    <x v="34"/>
    <s v="-"/>
    <x v="444"/>
    <n v="0"/>
    <n v="0"/>
    <n v="0"/>
    <n v="0"/>
    <n v="0"/>
    <n v="0"/>
    <s v="Reserva importada do sistema Gover. Id: 4718557"/>
    <s v=" Configurações        -&gt; Configurações do sistema turismo          -&gt; Importação das vendas            -&gt; Impedir vendas com data superior à atual"/>
    <x v="3"/>
    <x v="2"/>
    <s v="Forma PG. e REC."/>
    <x v="0"/>
    <s v="Qualidade dos dados"/>
    <s v="KONTIK BUSINESS TRAVEL"/>
    <x v="3"/>
  </r>
  <r>
    <n v="24862780"/>
    <n v="25701866"/>
    <s v="ACC01"/>
    <x v="511"/>
    <d v="2026-07-03T17:18:37"/>
    <x v="1"/>
    <x v="5"/>
    <s v="EXJVCIT"/>
    <s v="SABRE"/>
    <s v="FULEKI JUNIOR/FERNANDO"/>
    <s v="SHARON STONE RODRIGUES MARQUES"/>
    <s v="SHARON STONE RODRIGUES MARQUES"/>
    <d v="2026-07-03T09:32:00"/>
    <s v="3TF7"/>
    <s v="-"/>
    <s v="ON LINE"/>
    <s v="Cartão de crédito"/>
    <s v="Cartão de crédito"/>
    <x v="1"/>
    <s v="N"/>
    <x v="54"/>
    <s v="Atento Brasil S/a"/>
    <s v="-"/>
    <s v="Hotel Nh Bogota Pavillon Royal"/>
    <s v="-"/>
    <x v="46"/>
    <s v="-"/>
    <x v="445"/>
    <n v="131.68"/>
    <n v="0"/>
    <n v="0"/>
    <n v="0"/>
    <n v="0"/>
    <n v="0"/>
    <s v="Reserva importada por HubTravel"/>
    <s v="Centro de custo não preenchido! (ACC01)"/>
    <x v="1"/>
    <x v="17"/>
    <s v="Falta de informação Gerencial"/>
    <x v="0"/>
    <s v="Qualidade dos dados"/>
    <s v="KONTIK BUSINESS TRAVEL"/>
    <x v="2"/>
  </r>
  <r>
    <n v="24864605"/>
    <n v="25703851"/>
    <s v="ACC01"/>
    <x v="512"/>
    <d v="2026-07-03T18:54:17"/>
    <x v="1"/>
    <x v="5"/>
    <s v="FCXUXFT"/>
    <s v="SABRE"/>
    <s v="ANDRADE/RAFAEL PIRES DE MR"/>
    <s v="VITOR TEICHMANN"/>
    <s v="VITOR TEICHMANN"/>
    <d v="2026-06-12T13:57:00"/>
    <s v="FCXUXF"/>
    <s v="-"/>
    <s v="ON LINE"/>
    <s v="Cartão de crédito"/>
    <s v="Cartão de crédito"/>
    <x v="1"/>
    <s v="N"/>
    <x v="37"/>
    <s v="Amway do Brasil"/>
    <s v="-"/>
    <s v="Hyatt House Austin Downtown"/>
    <s v="-"/>
    <x v="33"/>
    <s v="-"/>
    <x v="446"/>
    <n v="408.24"/>
    <n v="0"/>
    <n v="0"/>
    <n v="0"/>
    <n v="0"/>
    <n v="0"/>
    <s v="Reserva importada por HubTravel"/>
    <s v="Matrícula não preenchida! (ACC01)"/>
    <x v="1"/>
    <x v="4"/>
    <s v="Falta de informação Gerencial"/>
    <x v="0"/>
    <s v="Qualidade dos dados"/>
    <s v="KONTIK BUSINESS TRAVEL"/>
    <x v="2"/>
  </r>
  <r>
    <n v="24862886"/>
    <n v="25701977"/>
    <s v="ACC01"/>
    <x v="513"/>
    <d v="2026-07-04T03:47:21"/>
    <x v="2"/>
    <x v="5"/>
    <s v="h4716472"/>
    <s v="GOVER"/>
    <s v="N/I"/>
    <s v="Cristiane Santos Pio Memoria"/>
    <s v="Cristiane Santos Pio Memoria"/>
    <d v="2026-06-30T19:00:00"/>
    <n v="4716472"/>
    <s v="-"/>
    <s v="OFF LINE"/>
    <s v="Cartão de crédito"/>
    <s v="Cartão de crédito"/>
    <x v="1"/>
    <s v="N"/>
    <x v="26"/>
    <s v="Bat | Souza Cruz - Matriz"/>
    <s v="-"/>
    <s v="Hotel Cangucu"/>
    <s v="-"/>
    <x v="24"/>
    <s v="-"/>
    <x v="345"/>
    <n v="0"/>
    <n v="0"/>
    <n v="0"/>
    <n v="0"/>
    <n v="0"/>
    <n v="0"/>
    <s v="Reserva importada do sistema Gover. Id: 4716472"/>
    <s v="Centro de custo não preenchido! (ACC01)"/>
    <x v="3"/>
    <x v="17"/>
    <s v="Falta de informação Gerencial"/>
    <x v="0"/>
    <s v="Qualidade dos dados"/>
    <s v="KONTIK BUSINESS TRAVEL"/>
    <x v="2"/>
  </r>
  <r>
    <n v="24862886"/>
    <n v="25701978"/>
    <s v="ACC02"/>
    <x v="513"/>
    <d v="2026-07-04T03:47:21"/>
    <x v="2"/>
    <x v="5"/>
    <s v="h4716472"/>
    <s v="GOVER"/>
    <s v="ANDRE  LOPES"/>
    <s v="Cristiane Santos Pio Memoria"/>
    <s v="Cristiane Santos Pio Memoria"/>
    <d v="2026-06-30T19:00:00"/>
    <n v="4716472"/>
    <s v="-"/>
    <s v="OFF LINE"/>
    <s v="Cartão de crédito"/>
    <s v="Cartão de crédito"/>
    <x v="1"/>
    <s v="N"/>
    <x v="26"/>
    <s v="Bat | Souza Cruz - Matriz"/>
    <s v="-"/>
    <s v="Hotel Cangucu"/>
    <s v="-"/>
    <x v="24"/>
    <s v="-"/>
    <x v="345"/>
    <n v="0"/>
    <n v="0"/>
    <n v="0"/>
    <n v="0"/>
    <n v="0"/>
    <n v="0"/>
    <s v="Reserva importada do sistema Gover. Id: 4716472"/>
    <s v="Centro de custo não preenchido! (ACC01)"/>
    <x v="3"/>
    <x v="17"/>
    <s v="Falta de informação Gerencial"/>
    <x v="0"/>
    <s v="Qualidade dos dados"/>
    <s v="KONTIK BUSINESS TRAVEL"/>
    <x v="2"/>
  </r>
  <r>
    <m/>
    <m/>
    <m/>
    <x v="514"/>
    <m/>
    <x v="7"/>
    <x v="7"/>
    <m/>
    <m/>
    <m/>
    <m/>
    <m/>
    <m/>
    <m/>
    <m/>
    <m/>
    <m/>
    <m/>
    <x v="4"/>
    <m/>
    <x v="87"/>
    <m/>
    <m/>
    <m/>
    <m/>
    <x v="64"/>
    <m/>
    <x v="447"/>
    <m/>
    <m/>
    <m/>
    <m/>
    <m/>
    <m/>
    <m/>
    <m/>
    <x v="8"/>
    <x v="23"/>
    <m/>
    <x v="4"/>
    <m/>
    <m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B000000}" name="Grupo_Empresarial_Top10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101:J190" firstHeaderRow="1" firstDataRow="2" firstDataCol="1"/>
  <pivotFields count="45">
    <pivotField showAll="0"/>
    <pivotField showAll="0"/>
    <pivotField showAll="0"/>
    <pivotField showAll="0">
      <items count="516">
        <item x="514"/>
        <item x="0"/>
        <item x="1"/>
        <item x="2"/>
        <item x="3"/>
        <item x="4"/>
        <item x="5"/>
        <item x="8"/>
        <item x="9"/>
        <item x="6"/>
        <item x="21"/>
        <item x="12"/>
        <item x="10"/>
        <item x="7"/>
        <item x="15"/>
        <item x="16"/>
        <item x="13"/>
        <item x="37"/>
        <item x="14"/>
        <item x="17"/>
        <item x="11"/>
        <item x="32"/>
        <item x="26"/>
        <item x="27"/>
        <item x="36"/>
        <item x="33"/>
        <item x="18"/>
        <item x="20"/>
        <item x="19"/>
        <item x="47"/>
        <item x="38"/>
        <item x="48"/>
        <item x="45"/>
        <item x="28"/>
        <item x="41"/>
        <item x="46"/>
        <item x="25"/>
        <item x="34"/>
        <item x="22"/>
        <item x="23"/>
        <item x="24"/>
        <item x="39"/>
        <item x="43"/>
        <item x="64"/>
        <item x="77"/>
        <item x="79"/>
        <item x="40"/>
        <item x="42"/>
        <item x="84"/>
        <item x="83"/>
        <item x="35"/>
        <item x="91"/>
        <item x="52"/>
        <item x="73"/>
        <item x="76"/>
        <item x="74"/>
        <item x="78"/>
        <item x="87"/>
        <item x="51"/>
        <item x="54"/>
        <item x="57"/>
        <item x="58"/>
        <item x="90"/>
        <item x="55"/>
        <item x="59"/>
        <item x="60"/>
        <item x="61"/>
        <item x="82"/>
        <item x="100"/>
        <item x="63"/>
        <item x="67"/>
        <item x="68"/>
        <item x="69"/>
        <item x="81"/>
        <item x="88"/>
        <item x="97"/>
        <item x="75"/>
        <item x="96"/>
        <item x="102"/>
        <item x="49"/>
        <item x="53"/>
        <item x="66"/>
        <item x="71"/>
        <item x="80"/>
        <item x="85"/>
        <item x="92"/>
        <item x="93"/>
        <item x="95"/>
        <item x="98"/>
        <item x="99"/>
        <item x="50"/>
        <item x="62"/>
        <item x="72"/>
        <item x="70"/>
        <item x="86"/>
        <item x="107"/>
        <item x="101"/>
        <item x="56"/>
        <item x="181"/>
        <item x="180"/>
        <item x="189"/>
        <item x="89"/>
        <item x="206"/>
        <item x="103"/>
        <item x="105"/>
        <item x="104"/>
        <item x="109"/>
        <item x="108"/>
        <item x="110"/>
        <item x="120"/>
        <item x="121"/>
        <item x="122"/>
        <item x="129"/>
        <item x="127"/>
        <item x="128"/>
        <item x="147"/>
        <item x="167"/>
        <item x="191"/>
        <item x="204"/>
        <item x="205"/>
        <item x="208"/>
        <item x="44"/>
        <item x="65"/>
        <item x="115"/>
        <item x="126"/>
        <item x="112"/>
        <item x="175"/>
        <item x="196"/>
        <item x="195"/>
        <item x="207"/>
        <item x="111"/>
        <item x="162"/>
        <item x="163"/>
        <item x="164"/>
        <item x="165"/>
        <item x="198"/>
        <item x="209"/>
        <item x="193"/>
        <item x="113"/>
        <item x="114"/>
        <item x="130"/>
        <item x="131"/>
        <item x="148"/>
        <item x="160"/>
        <item x="143"/>
        <item x="144"/>
        <item x="159"/>
        <item x="125"/>
        <item x="166"/>
        <item x="161"/>
        <item x="171"/>
        <item x="170"/>
        <item x="173"/>
        <item x="182"/>
        <item x="184"/>
        <item x="185"/>
        <item x="186"/>
        <item x="187"/>
        <item x="123"/>
        <item x="137"/>
        <item x="117"/>
        <item x="106"/>
        <item x="116"/>
        <item x="119"/>
        <item x="124"/>
        <item x="145"/>
        <item x="146"/>
        <item x="158"/>
        <item x="157"/>
        <item x="138"/>
        <item x="139"/>
        <item x="140"/>
        <item x="141"/>
        <item x="142"/>
        <item x="133"/>
        <item x="134"/>
        <item x="135"/>
        <item x="136"/>
        <item x="132"/>
        <item x="151"/>
        <item x="149"/>
        <item x="150"/>
        <item x="169"/>
        <item x="168"/>
        <item x="172"/>
        <item x="174"/>
        <item x="178"/>
        <item x="179"/>
        <item x="188"/>
        <item x="194"/>
        <item x="201"/>
        <item x="202"/>
        <item x="199"/>
        <item x="200"/>
        <item x="197"/>
        <item x="210"/>
        <item x="211"/>
        <item x="190"/>
        <item x="226"/>
        <item x="233"/>
        <item x="118"/>
        <item x="250"/>
        <item x="260"/>
        <item x="152"/>
        <item x="153"/>
        <item x="154"/>
        <item x="155"/>
        <item x="156"/>
        <item x="183"/>
        <item x="374"/>
        <item x="390"/>
        <item x="388"/>
        <item x="278"/>
        <item x="284"/>
        <item x="286"/>
        <item x="290"/>
        <item x="291"/>
        <item x="263"/>
        <item x="274"/>
        <item x="315"/>
        <item x="316"/>
        <item x="363"/>
        <item x="372"/>
        <item x="176"/>
        <item x="177"/>
        <item x="213"/>
        <item x="385"/>
        <item x="243"/>
        <item x="399"/>
        <item x="400"/>
        <item x="293"/>
        <item x="294"/>
        <item x="299"/>
        <item x="304"/>
        <item x="311"/>
        <item x="317"/>
        <item x="318"/>
        <item x="331"/>
        <item x="330"/>
        <item x="192"/>
        <item x="380"/>
        <item x="386"/>
        <item x="393"/>
        <item x="401"/>
        <item x="398"/>
        <item x="222"/>
        <item x="262"/>
        <item x="268"/>
        <item x="289"/>
        <item x="303"/>
        <item x="309"/>
        <item x="345"/>
        <item x="212"/>
        <item x="220"/>
        <item x="223"/>
        <item x="373"/>
        <item x="241"/>
        <item x="242"/>
        <item x="261"/>
        <item x="247"/>
        <item x="264"/>
        <item x="265"/>
        <item x="267"/>
        <item x="246"/>
        <item x="270"/>
        <item x="283"/>
        <item x="287"/>
        <item x="302"/>
        <item x="307"/>
        <item x="312"/>
        <item x="310"/>
        <item x="319"/>
        <item x="320"/>
        <item x="321"/>
        <item x="335"/>
        <item x="328"/>
        <item x="329"/>
        <item x="332"/>
        <item x="327"/>
        <item x="349"/>
        <item x="366"/>
        <item x="371"/>
        <item x="381"/>
        <item x="387"/>
        <item x="391"/>
        <item x="392"/>
        <item x="394"/>
        <item x="395"/>
        <item x="29"/>
        <item x="30"/>
        <item x="31"/>
        <item x="94"/>
        <item x="383"/>
        <item x="259"/>
        <item x="266"/>
        <item x="276"/>
        <item x="281"/>
        <item x="288"/>
        <item x="301"/>
        <item x="305"/>
        <item x="314"/>
        <item x="313"/>
        <item x="326"/>
        <item x="353"/>
        <item x="348"/>
        <item x="375"/>
        <item x="376"/>
        <item x="378"/>
        <item x="379"/>
        <item x="203"/>
        <item x="402"/>
        <item x="215"/>
        <item x="219"/>
        <item x="248"/>
        <item x="249"/>
        <item x="239"/>
        <item x="240"/>
        <item x="238"/>
        <item x="251"/>
        <item x="252"/>
        <item x="369"/>
        <item x="370"/>
        <item x="282"/>
        <item x="295"/>
        <item x="236"/>
        <item x="306"/>
        <item x="300"/>
        <item x="342"/>
        <item x="340"/>
        <item x="339"/>
        <item x="341"/>
        <item x="367"/>
        <item x="384"/>
        <item x="389"/>
        <item x="397"/>
        <item x="214"/>
        <item x="216"/>
        <item x="217"/>
        <item x="218"/>
        <item x="221"/>
        <item x="224"/>
        <item x="225"/>
        <item x="227"/>
        <item x="228"/>
        <item x="229"/>
        <item x="230"/>
        <item x="231"/>
        <item x="232"/>
        <item x="234"/>
        <item x="235"/>
        <item x="237"/>
        <item x="244"/>
        <item x="245"/>
        <item x="253"/>
        <item x="254"/>
        <item x="255"/>
        <item x="256"/>
        <item x="257"/>
        <item x="258"/>
        <item x="269"/>
        <item x="271"/>
        <item x="272"/>
        <item x="273"/>
        <item x="275"/>
        <item x="277"/>
        <item x="279"/>
        <item x="280"/>
        <item x="285"/>
        <item x="292"/>
        <item x="296"/>
        <item x="297"/>
        <item x="298"/>
        <item x="308"/>
        <item x="322"/>
        <item x="323"/>
        <item x="324"/>
        <item x="325"/>
        <item x="333"/>
        <item x="334"/>
        <item x="336"/>
        <item x="337"/>
        <item x="338"/>
        <item x="343"/>
        <item x="344"/>
        <item x="346"/>
        <item x="347"/>
        <item x="350"/>
        <item x="351"/>
        <item x="352"/>
        <item x="354"/>
        <item x="355"/>
        <item x="356"/>
        <item x="357"/>
        <item x="358"/>
        <item x="359"/>
        <item x="360"/>
        <item x="361"/>
        <item x="362"/>
        <item x="364"/>
        <item x="365"/>
        <item x="368"/>
        <item x="377"/>
        <item x="382"/>
        <item x="396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194">
        <item x="87"/>
        <item x="29"/>
        <item x="50"/>
        <item x="85"/>
        <item x="75"/>
        <item x="35"/>
        <item m="1" x="102"/>
        <item x="2"/>
        <item x="62"/>
        <item m="1" x="91"/>
        <item m="1" x="113"/>
        <item x="63"/>
        <item m="1" x="148"/>
        <item x="30"/>
        <item x="42"/>
        <item m="1" x="101"/>
        <item x="81"/>
        <item x="43"/>
        <item m="1" x="189"/>
        <item x="12"/>
        <item x="41"/>
        <item m="1" x="166"/>
        <item x="17"/>
        <item x="39"/>
        <item m="1" x="115"/>
        <item x="58"/>
        <item x="28"/>
        <item x="1"/>
        <item m="1" x="150"/>
        <item m="1" x="165"/>
        <item m="1" x="88"/>
        <item x="19"/>
        <item x="49"/>
        <item x="32"/>
        <item x="82"/>
        <item x="9"/>
        <item m="1" x="187"/>
        <item m="1" x="124"/>
        <item x="36"/>
        <item x="15"/>
        <item x="46"/>
        <item x="23"/>
        <item x="24"/>
        <item m="1" x="90"/>
        <item m="1" x="89"/>
        <item m="1" x="182"/>
        <item x="37"/>
        <item m="1" x="143"/>
        <item x="22"/>
        <item m="1" x="122"/>
        <item x="8"/>
        <item x="60"/>
        <item m="1" x="153"/>
        <item m="1" x="135"/>
        <item x="34"/>
        <item x="64"/>
        <item x="57"/>
        <item x="61"/>
        <item m="1" x="98"/>
        <item x="21"/>
        <item x="53"/>
        <item m="1" x="167"/>
        <item x="5"/>
        <item x="20"/>
        <item x="4"/>
        <item x="25"/>
        <item x="65"/>
        <item x="10"/>
        <item x="76"/>
        <item m="1" x="168"/>
        <item x="66"/>
        <item m="1" x="174"/>
        <item x="38"/>
        <item m="1" x="96"/>
        <item x="11"/>
        <item m="1" x="105"/>
        <item m="1" x="142"/>
        <item x="18"/>
        <item m="1" x="110"/>
        <item m="1" x="100"/>
        <item m="1" x="111"/>
        <item m="1" x="131"/>
        <item m="1" x="107"/>
        <item x="16"/>
        <item x="80"/>
        <item m="1" x="97"/>
        <item x="44"/>
        <item m="1" x="175"/>
        <item x="56"/>
        <item x="3"/>
        <item x="26"/>
        <item x="7"/>
        <item m="1" x="140"/>
        <item x="45"/>
        <item m="1" x="164"/>
        <item x="51"/>
        <item x="74"/>
        <item m="1" x="179"/>
        <item m="1" x="119"/>
        <item m="1" x="157"/>
        <item m="1" x="117"/>
        <item m="1" x="130"/>
        <item x="6"/>
        <item m="1" x="95"/>
        <item x="59"/>
        <item m="1" x="116"/>
        <item m="1" x="129"/>
        <item m="1" x="137"/>
        <item m="1" x="103"/>
        <item x="77"/>
        <item m="1" x="181"/>
        <item x="55"/>
        <item m="1" x="121"/>
        <item x="0"/>
        <item m="1" x="146"/>
        <item m="1" x="192"/>
        <item m="1" x="123"/>
        <item m="1" x="191"/>
        <item m="1" x="177"/>
        <item m="1" x="154"/>
        <item m="1" x="94"/>
        <item m="1" x="134"/>
        <item m="1" x="120"/>
        <item x="83"/>
        <item x="13"/>
        <item m="1" x="149"/>
        <item m="1" x="190"/>
        <item m="1" x="158"/>
        <item m="1" x="108"/>
        <item m="1" x="188"/>
        <item m="1" x="162"/>
        <item m="1" x="112"/>
        <item m="1" x="145"/>
        <item x="78"/>
        <item m="1" x="186"/>
        <item m="1" x="185"/>
        <item m="1" x="176"/>
        <item m="1" x="144"/>
        <item m="1" x="170"/>
        <item m="1" x="184"/>
        <item m="1" x="156"/>
        <item m="1" x="183"/>
        <item m="1" x="172"/>
        <item m="1" x="169"/>
        <item m="1" x="155"/>
        <item m="1" x="178"/>
        <item m="1" x="171"/>
        <item m="1" x="180"/>
        <item x="79"/>
        <item x="33"/>
        <item m="1" x="173"/>
        <item m="1" x="114"/>
        <item x="47"/>
        <item m="1" x="159"/>
        <item x="27"/>
        <item x="31"/>
        <item m="1" x="160"/>
        <item x="67"/>
        <item x="84"/>
        <item m="1" x="93"/>
        <item x="54"/>
        <item m="1" x="109"/>
        <item m="1" x="163"/>
        <item m="1" x="161"/>
        <item m="1" x="152"/>
        <item m="1" x="147"/>
        <item m="1" x="151"/>
        <item m="1" x="132"/>
        <item m="1" x="104"/>
        <item x="14"/>
        <item m="1" x="141"/>
        <item x="68"/>
        <item m="1" x="136"/>
        <item x="40"/>
        <item x="70"/>
        <item m="1" x="92"/>
        <item m="1" x="138"/>
        <item x="48"/>
        <item m="1" x="139"/>
        <item x="71"/>
        <item m="1" x="133"/>
        <item m="1" x="99"/>
        <item m="1" x="125"/>
        <item m="1" x="127"/>
        <item m="1" x="126"/>
        <item m="1" x="128"/>
        <item x="69"/>
        <item x="52"/>
        <item m="1" x="118"/>
        <item m="1" x="106"/>
        <item x="86"/>
        <item x="73"/>
        <item x="7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 sortType="ascending">
      <items count="11">
        <item x="0"/>
        <item m="1" x="9"/>
        <item x="3"/>
        <item x="4"/>
        <item x="5"/>
        <item x="2"/>
        <item x="1"/>
        <item x="6"/>
        <item x="7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0"/>
  </rowFields>
  <rowItems count="88">
    <i>
      <x v="90"/>
    </i>
    <i>
      <x v="154"/>
    </i>
    <i>
      <x v="62"/>
    </i>
    <i>
      <x v="38"/>
    </i>
    <i>
      <x v="152"/>
    </i>
    <i>
      <x v="27"/>
    </i>
    <i>
      <x v="31"/>
    </i>
    <i>
      <x v="83"/>
    </i>
    <i>
      <x v="42"/>
    </i>
    <i>
      <x v="3"/>
    </i>
    <i>
      <x v="40"/>
    </i>
    <i>
      <x v="2"/>
    </i>
    <i>
      <x v="17"/>
    </i>
    <i>
      <x v="91"/>
    </i>
    <i>
      <x v="19"/>
    </i>
    <i>
      <x v="5"/>
    </i>
    <i>
      <x v="14"/>
    </i>
    <i>
      <x v="33"/>
    </i>
    <i>
      <x v="48"/>
    </i>
    <i>
      <x v="39"/>
    </i>
    <i>
      <x v="171"/>
    </i>
    <i>
      <x v="64"/>
    </i>
    <i>
      <x v="93"/>
    </i>
    <i>
      <x v="102"/>
    </i>
    <i>
      <x v="23"/>
    </i>
    <i>
      <x v="50"/>
    </i>
    <i>
      <x v="55"/>
    </i>
    <i>
      <x v="7"/>
    </i>
    <i>
      <x v="67"/>
    </i>
    <i>
      <x v="157"/>
    </i>
    <i>
      <x v="59"/>
    </i>
    <i>
      <x v="86"/>
    </i>
    <i>
      <x v="22"/>
    </i>
    <i>
      <x v="89"/>
    </i>
    <i>
      <x v="177"/>
    </i>
    <i>
      <x v="192"/>
    </i>
    <i>
      <x v="11"/>
    </i>
    <i>
      <x v="179"/>
    </i>
    <i>
      <x v="20"/>
    </i>
    <i>
      <x v="186"/>
    </i>
    <i>
      <x v="65"/>
    </i>
    <i>
      <x v="70"/>
    </i>
    <i>
      <x v="57"/>
    </i>
    <i>
      <x v="60"/>
    </i>
    <i>
      <x v="160"/>
    </i>
    <i>
      <x v="35"/>
    </i>
    <i>
      <x v="74"/>
    </i>
    <i>
      <x v="84"/>
    </i>
    <i>
      <x v="32"/>
    </i>
    <i>
      <x v="13"/>
    </i>
    <i>
      <x v="46"/>
    </i>
    <i>
      <x v="1"/>
    </i>
    <i>
      <x v="51"/>
    </i>
    <i>
      <x v="72"/>
    </i>
    <i>
      <x v="54"/>
    </i>
    <i>
      <x v="95"/>
    </i>
    <i>
      <x v="66"/>
    </i>
    <i>
      <x v="149"/>
    </i>
    <i>
      <x v="174"/>
    </i>
    <i>
      <x v="158"/>
    </i>
    <i>
      <x v="25"/>
    </i>
    <i>
      <x v="148"/>
    </i>
    <i>
      <x v="96"/>
    </i>
    <i>
      <x v="26"/>
    </i>
    <i>
      <x v="34"/>
    </i>
    <i>
      <x v="8"/>
    </i>
    <i>
      <x v="104"/>
    </i>
    <i>
      <x v="4"/>
    </i>
    <i>
      <x v="124"/>
    </i>
    <i>
      <x v="77"/>
    </i>
    <i>
      <x v="191"/>
    </i>
    <i>
      <x v="113"/>
    </i>
    <i>
      <x v="111"/>
    </i>
    <i>
      <x v="68"/>
    </i>
    <i>
      <x v="187"/>
    </i>
    <i>
      <x v="155"/>
    </i>
    <i>
      <x v="123"/>
    </i>
    <i>
      <x v="16"/>
    </i>
    <i>
      <x v="88"/>
    </i>
    <i>
      <x v="109"/>
    </i>
    <i>
      <x v="41"/>
    </i>
    <i>
      <x v="63"/>
    </i>
    <i>
      <x v="190"/>
    </i>
    <i>
      <x v="169"/>
    </i>
    <i>
      <x v="56"/>
    </i>
    <i>
      <x v="133"/>
    </i>
    <i>
      <x v="173"/>
    </i>
    <i t="grand">
      <x/>
    </i>
  </rowItems>
  <colFields count="1">
    <field x="36"/>
  </colFields>
  <colItems count="9">
    <i>
      <x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Contagem de Grupo Empresarial" fld="20" subtotal="count" baseField="0" baseItem="0" numFmtId="3"/>
  </dataFields>
  <formats count="557">
    <format dxfId="531">
      <pivotArea outline="0" collapsedLevelsAreSubtotals="1" fieldPosition="0"/>
    </format>
    <format dxfId="530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529">
      <pivotArea dataOnly="0" labelOnly="1" grandCol="1" outline="0" fieldPosition="0"/>
    </format>
    <format dxfId="528">
      <pivotArea type="all" dataOnly="0" outline="0" fieldPosition="0"/>
    </format>
    <format dxfId="527">
      <pivotArea outline="0" collapsedLevelsAreSubtotals="1" fieldPosition="0"/>
    </format>
    <format dxfId="526">
      <pivotArea dataOnly="0" labelOnly="1" fieldPosition="0">
        <references count="1">
          <reference field="20" count="34">
            <x v="1"/>
            <x v="2"/>
            <x v="3"/>
            <x v="4"/>
            <x v="5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6"/>
            <x v="28"/>
            <x v="29"/>
            <x v="30"/>
            <x v="32"/>
            <x v="33"/>
            <x v="35"/>
            <x v="36"/>
            <x v="38"/>
            <x v="39"/>
            <x v="40"/>
            <x v="42"/>
            <x v="46"/>
            <x v="47"/>
          </reference>
        </references>
      </pivotArea>
    </format>
    <format dxfId="525">
      <pivotArea dataOnly="0" labelOnly="1" fieldPosition="0">
        <references count="1">
          <reference field="20" count="13">
            <x v="6"/>
            <x v="9"/>
            <x v="16"/>
            <x v="24"/>
            <x v="25"/>
            <x v="27"/>
            <x v="31"/>
            <x v="34"/>
            <x v="37"/>
            <x v="41"/>
            <x v="43"/>
            <x v="44"/>
            <x v="45"/>
          </reference>
        </references>
      </pivotArea>
    </format>
    <format dxfId="524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523">
      <pivotArea dataOnly="0" labelOnly="1" grandCol="1" outline="0" fieldPosition="0"/>
    </format>
    <format dxfId="522">
      <pivotArea outline="0" collapsedLevelsAreSubtotals="1" fieldPosition="0"/>
    </format>
    <format dxfId="521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520">
      <pivotArea dataOnly="0" labelOnly="1" grandCol="1" outline="0" fieldPosition="0"/>
    </format>
    <format dxfId="519">
      <pivotArea field="20" grandCol="1" collapsedLevelsAreSubtotals="1" axis="axisRow" fieldPosition="0">
        <references count="1">
          <reference field="20" count="0"/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type="origin" dataOnly="0" labelOnly="1" outline="0" fieldPosition="0"/>
    </format>
    <format dxfId="515">
      <pivotArea field="36" type="button" dataOnly="0" labelOnly="1" outline="0" axis="axisCol" fieldPosition="0"/>
    </format>
    <format dxfId="514">
      <pivotArea type="topRight" dataOnly="0" labelOnly="1" outline="0" fieldPosition="0"/>
    </format>
    <format dxfId="513">
      <pivotArea field="20" type="button" dataOnly="0" labelOnly="1" outline="0" axis="axisRow" fieldPosition="0"/>
    </format>
    <format dxfId="512">
      <pivotArea dataOnly="0" labelOnly="1" fieldPosition="0">
        <references count="1">
          <reference field="20" count="35">
            <x v="2"/>
            <x v="3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4"/>
            <x v="25"/>
            <x v="26"/>
            <x v="28"/>
            <x v="29"/>
            <x v="30"/>
            <x v="32"/>
            <x v="33"/>
            <x v="34"/>
            <x v="35"/>
            <x v="36"/>
            <x v="37"/>
            <x v="38"/>
            <x v="39"/>
            <x v="40"/>
            <x v="43"/>
            <x v="46"/>
            <x v="47"/>
            <x v="51"/>
            <x v="53"/>
          </reference>
        </references>
      </pivotArea>
    </format>
    <format dxfId="511">
      <pivotArea dataOnly="0" labelOnly="1" fieldPosition="0">
        <references count="1">
          <reference field="20" count="12">
            <x v="1"/>
            <x v="4"/>
            <x v="6"/>
            <x v="10"/>
            <x v="22"/>
            <x v="23"/>
            <x v="31"/>
            <x v="42"/>
            <x v="45"/>
            <x v="49"/>
            <x v="50"/>
            <x v="54"/>
          </reference>
        </references>
      </pivotArea>
    </format>
    <format dxfId="510">
      <pivotArea dataOnly="0" labelOnly="1" grandRow="1" outline="0" fieldPosition="0"/>
    </format>
    <format dxfId="509">
      <pivotArea dataOnly="0" labelOnly="1" fieldPosition="0">
        <references count="1">
          <reference field="36" count="0"/>
        </references>
      </pivotArea>
    </format>
    <format dxfId="508">
      <pivotArea dataOnly="0" labelOnly="1" grandCol="1" outline="0" fieldPosition="0"/>
    </format>
    <format dxfId="507">
      <pivotArea type="all" dataOnly="0" outline="0" fieldPosition="0"/>
    </format>
    <format dxfId="506">
      <pivotArea outline="0" collapsedLevelsAreSubtotals="1" fieldPosition="0"/>
    </format>
    <format dxfId="505">
      <pivotArea type="origin" dataOnly="0" labelOnly="1" outline="0" fieldPosition="0"/>
    </format>
    <format dxfId="504">
      <pivotArea field="36" type="button" dataOnly="0" labelOnly="1" outline="0" axis="axisCol" fieldPosition="0"/>
    </format>
    <format dxfId="503">
      <pivotArea type="topRight" dataOnly="0" labelOnly="1" outline="0" fieldPosition="0"/>
    </format>
    <format dxfId="502">
      <pivotArea field="20" type="button" dataOnly="0" labelOnly="1" outline="0" axis="axisRow" fieldPosition="0"/>
    </format>
    <format dxfId="501">
      <pivotArea dataOnly="0" labelOnly="1" fieldPosition="0">
        <references count="1">
          <reference field="20" count="35">
            <x v="2"/>
            <x v="3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4"/>
            <x v="25"/>
            <x v="26"/>
            <x v="28"/>
            <x v="29"/>
            <x v="30"/>
            <x v="32"/>
            <x v="33"/>
            <x v="34"/>
            <x v="35"/>
            <x v="36"/>
            <x v="37"/>
            <x v="38"/>
            <x v="39"/>
            <x v="40"/>
            <x v="43"/>
            <x v="46"/>
            <x v="47"/>
            <x v="51"/>
            <x v="53"/>
          </reference>
        </references>
      </pivotArea>
    </format>
    <format dxfId="500">
      <pivotArea dataOnly="0" labelOnly="1" fieldPosition="0">
        <references count="1">
          <reference field="20" count="12">
            <x v="1"/>
            <x v="4"/>
            <x v="6"/>
            <x v="10"/>
            <x v="22"/>
            <x v="23"/>
            <x v="31"/>
            <x v="42"/>
            <x v="45"/>
            <x v="49"/>
            <x v="50"/>
            <x v="54"/>
          </reference>
        </references>
      </pivotArea>
    </format>
    <format dxfId="499">
      <pivotArea dataOnly="0" labelOnly="1" grandRow="1" outline="0" fieldPosition="0"/>
    </format>
    <format dxfId="498">
      <pivotArea dataOnly="0" labelOnly="1" fieldPosition="0">
        <references count="1">
          <reference field="36" count="0"/>
        </references>
      </pivotArea>
    </format>
    <format dxfId="497">
      <pivotArea dataOnly="0" labelOnly="1" grandCol="1" outline="0" fieldPosition="0"/>
    </format>
    <format dxfId="496">
      <pivotArea type="all" dataOnly="0" outline="0" fieldPosition="0"/>
    </format>
    <format dxfId="495">
      <pivotArea outline="0" collapsedLevelsAreSubtotals="1" fieldPosition="0"/>
    </format>
    <format dxfId="494">
      <pivotArea type="origin" dataOnly="0" labelOnly="1" outline="0" fieldPosition="0"/>
    </format>
    <format dxfId="493">
      <pivotArea field="36" type="button" dataOnly="0" labelOnly="1" outline="0" axis="axisCol" fieldPosition="0"/>
    </format>
    <format dxfId="492">
      <pivotArea type="topRight" dataOnly="0" labelOnly="1" outline="0" fieldPosition="0"/>
    </format>
    <format dxfId="491">
      <pivotArea field="20" type="button" dataOnly="0" labelOnly="1" outline="0" axis="axisRow" fieldPosition="0"/>
    </format>
    <format dxfId="490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489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488">
      <pivotArea dataOnly="0" labelOnly="1" grandRow="1" outline="0" fieldPosition="0"/>
    </format>
    <format dxfId="487">
      <pivotArea dataOnly="0" labelOnly="1" fieldPosition="0">
        <references count="1">
          <reference field="36" count="0"/>
        </references>
      </pivotArea>
    </format>
    <format dxfId="486">
      <pivotArea dataOnly="0" labelOnly="1" grandCol="1" outline="0" fieldPosition="0"/>
    </format>
    <format dxfId="485">
      <pivotArea type="all" dataOnly="0" outline="0" fieldPosition="0"/>
    </format>
    <format dxfId="484">
      <pivotArea outline="0" collapsedLevelsAreSubtotals="1" fieldPosition="0"/>
    </format>
    <format dxfId="483">
      <pivotArea type="origin" dataOnly="0" labelOnly="1" outline="0" fieldPosition="0"/>
    </format>
    <format dxfId="482">
      <pivotArea field="36" type="button" dataOnly="0" labelOnly="1" outline="0" axis="axisCol" fieldPosition="0"/>
    </format>
    <format dxfId="481">
      <pivotArea type="topRight" dataOnly="0" labelOnly="1" outline="0" fieldPosition="0"/>
    </format>
    <format dxfId="480">
      <pivotArea field="20" type="button" dataOnly="0" labelOnly="1" outline="0" axis="axisRow" fieldPosition="0"/>
    </format>
    <format dxfId="479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478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477">
      <pivotArea dataOnly="0" labelOnly="1" grandRow="1" outline="0" fieldPosition="0"/>
    </format>
    <format dxfId="476">
      <pivotArea dataOnly="0" labelOnly="1" fieldPosition="0">
        <references count="1">
          <reference field="36" count="0"/>
        </references>
      </pivotArea>
    </format>
    <format dxfId="475">
      <pivotArea dataOnly="0" labelOnly="1" grandCol="1" outline="0" fieldPosition="0"/>
    </format>
    <format dxfId="474">
      <pivotArea type="all" dataOnly="0" outline="0" fieldPosition="0"/>
    </format>
    <format dxfId="473">
      <pivotArea outline="0" collapsedLevelsAreSubtotals="1" fieldPosition="0"/>
    </format>
    <format dxfId="472">
      <pivotArea type="origin" dataOnly="0" labelOnly="1" outline="0" fieldPosition="0"/>
    </format>
    <format dxfId="471">
      <pivotArea field="20" type="button" dataOnly="0" labelOnly="1" outline="0" axis="axisRow" fieldPosition="0"/>
    </format>
    <format dxfId="470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469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468">
      <pivotArea dataOnly="0" labelOnly="1" grandRow="1" outline="0" fieldPosition="0"/>
    </format>
    <format dxfId="467">
      <pivotArea dataOnly="0" labelOnly="1" fieldPosition="0">
        <references count="1">
          <reference field="36" count="0"/>
        </references>
      </pivotArea>
    </format>
    <format dxfId="466">
      <pivotArea dataOnly="0" labelOnly="1" grandCol="1" outline="0" fieldPosition="0"/>
    </format>
    <format dxfId="465">
      <pivotArea type="origin" dataOnly="0" labelOnly="1" outline="0" fieldPosition="0"/>
    </format>
    <format dxfId="464">
      <pivotArea field="20" type="button" dataOnly="0" labelOnly="1" outline="0" axis="axisRow" fieldPosition="0"/>
    </format>
    <format dxfId="463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462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461">
      <pivotArea dataOnly="0" labelOnly="1" grandRow="1" outline="0" fieldPosition="0"/>
    </format>
    <format dxfId="460">
      <pivotArea outline="0" collapsedLevelsAreSubtotals="1" fieldPosition="0"/>
    </format>
    <format dxfId="459">
      <pivotArea dataOnly="0" labelOnly="1" fieldPosition="0">
        <references count="1">
          <reference field="36" count="0"/>
        </references>
      </pivotArea>
    </format>
    <format dxfId="458">
      <pivotArea dataOnly="0" labelOnly="1" grandCol="1" outline="0" fieldPosition="0"/>
    </format>
    <format dxfId="457">
      <pivotArea outline="0" collapsedLevelsAreSubtotals="1" fieldPosition="0"/>
    </format>
    <format dxfId="456">
      <pivotArea dataOnly="0" labelOnly="1" fieldPosition="0">
        <references count="1">
          <reference field="36" count="0"/>
        </references>
      </pivotArea>
    </format>
    <format dxfId="455">
      <pivotArea dataOnly="0" labelOnly="1" grandCol="1" outline="0" fieldPosition="0"/>
    </format>
    <format dxfId="454">
      <pivotArea field="20" grandCol="1" collapsedLevelsAreSubtotals="1" axis="axisRow" fieldPosition="0">
        <references count="1">
          <reference field="20" count="0"/>
        </references>
      </pivotArea>
    </format>
    <format dxfId="453">
      <pivotArea field="20" grandCol="1" collapsedLevelsAreSubtotals="1" axis="axisRow" fieldPosition="0">
        <references count="1">
          <reference field="20" count="29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20"/>
            <x v="21"/>
            <x v="22"/>
            <x v="29"/>
            <x v="31"/>
            <x v="35"/>
            <x v="37"/>
            <x v="38"/>
            <x v="39"/>
            <x v="40"/>
            <x v="42"/>
            <x v="46"/>
            <x v="47"/>
            <x v="48"/>
            <x v="50"/>
            <x v="57"/>
            <x v="58"/>
            <x v="61"/>
          </reference>
        </references>
      </pivotArea>
    </format>
    <format dxfId="452">
      <pivotArea field="20" grandCol="1" collapsedLevelsAreSubtotals="1" axis="axisRow" fieldPosition="0">
        <references count="1">
          <reference field="20" count="44">
            <x v="1"/>
            <x v="2"/>
            <x v="3"/>
            <x v="4"/>
            <x v="5"/>
            <x v="8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8"/>
            <x v="29"/>
            <x v="31"/>
            <x v="32"/>
            <x v="33"/>
            <x v="34"/>
            <x v="36"/>
            <x v="37"/>
            <x v="38"/>
            <x v="39"/>
            <x v="40"/>
            <x v="42"/>
            <x v="45"/>
            <x v="46"/>
            <x v="47"/>
            <x v="48"/>
            <x v="50"/>
            <x v="53"/>
            <x v="55"/>
            <x v="57"/>
            <x v="58"/>
            <x v="61"/>
          </reference>
        </references>
      </pivotArea>
    </format>
    <format dxfId="451">
      <pivotArea field="20" grandCol="1" collapsedLevelsAreSubtotals="1" axis="axisRow" fieldPosition="0">
        <references count="1">
          <reference field="20" count="45">
            <x v="1"/>
            <x v="2"/>
            <x v="3"/>
            <x v="4"/>
            <x v="5"/>
            <x v="8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9"/>
            <x v="31"/>
            <x v="32"/>
            <x v="33"/>
            <x v="34"/>
            <x v="35"/>
            <x v="36"/>
            <x v="37"/>
            <x v="38"/>
            <x v="39"/>
            <x v="40"/>
            <x v="42"/>
            <x v="43"/>
            <x v="45"/>
            <x v="46"/>
            <x v="47"/>
            <x v="49"/>
            <x v="50"/>
            <x v="53"/>
            <x v="55"/>
            <x v="57"/>
            <x v="58"/>
            <x v="61"/>
          </reference>
        </references>
      </pivotArea>
    </format>
    <format dxfId="450">
      <pivotArea field="20" grandCol="1" collapsedLevelsAreSubtotals="1" axis="axisRow" fieldPosition="0">
        <references count="1">
          <reference field="20" count="6">
            <x v="3"/>
            <x v="18"/>
            <x v="20"/>
            <x v="29"/>
            <x v="37"/>
            <x v="42"/>
          </reference>
        </references>
      </pivotArea>
    </format>
    <format dxfId="449">
      <pivotArea field="20" grandCol="1" collapsedLevelsAreSubtotals="1" axis="axisRow" fieldPosition="0">
        <references count="1">
          <reference field="20" count="45">
            <x v="1"/>
            <x v="2"/>
            <x v="3"/>
            <x v="4"/>
            <x v="5"/>
            <x v="7"/>
            <x v="8"/>
            <x v="9"/>
            <x v="11"/>
            <x v="13"/>
            <x v="14"/>
            <x v="15"/>
            <x v="17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48"/>
            <x v="50"/>
            <x v="53"/>
            <x v="55"/>
            <x v="57"/>
            <x v="58"/>
            <x v="61"/>
          </reference>
        </references>
      </pivotArea>
    </format>
    <format dxfId="448">
      <pivotArea collapsedLevelsAreSubtotals="1" fieldPosition="0">
        <references count="2">
          <reference field="20" count="33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9"/>
            <x v="32"/>
            <x v="36"/>
            <x v="37"/>
            <x v="39"/>
            <x v="40"/>
            <x v="42"/>
            <x v="43"/>
            <x v="46"/>
            <x v="47"/>
            <x v="50"/>
            <x v="53"/>
            <x v="57"/>
            <x v="61"/>
          </reference>
          <reference field="36" count="1" selected="0">
            <x v="8"/>
          </reference>
        </references>
      </pivotArea>
    </format>
    <format dxfId="447">
      <pivotArea field="20" grandCol="1" collapsedLevelsAreSubtotals="1" axis="axisRow" fieldPosition="0">
        <references count="1">
          <reference field="20" count="33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9"/>
            <x v="32"/>
            <x v="36"/>
            <x v="37"/>
            <x v="39"/>
            <x v="40"/>
            <x v="42"/>
            <x v="43"/>
            <x v="46"/>
            <x v="47"/>
            <x v="50"/>
            <x v="53"/>
            <x v="57"/>
            <x v="61"/>
          </reference>
        </references>
      </pivotArea>
    </format>
    <format dxfId="446">
      <pivotArea field="20" grandCol="1" collapsedLevelsAreSubtotals="1" axis="axisRow" fieldPosition="0">
        <references count="1">
          <reference field="20" count="40">
            <x v="1"/>
            <x v="2"/>
            <x v="3"/>
            <x v="4"/>
            <x v="5"/>
            <x v="8"/>
            <x v="9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4"/>
            <x v="25"/>
            <x v="26"/>
            <x v="29"/>
            <x v="30"/>
            <x v="32"/>
            <x v="33"/>
            <x v="35"/>
            <x v="36"/>
            <x v="37"/>
            <x v="38"/>
            <x v="39"/>
            <x v="40"/>
            <x v="42"/>
            <x v="45"/>
            <x v="46"/>
            <x v="47"/>
            <x v="53"/>
            <x v="55"/>
            <x v="58"/>
            <x v="61"/>
          </reference>
        </references>
      </pivotArea>
    </format>
    <format dxfId="445">
      <pivotArea field="20" grandCol="1" collapsedLevelsAreSubtotals="1" axis="axisRow" fieldPosition="0">
        <references count="1">
          <reference field="20" count="27">
            <x v="3"/>
            <x v="4"/>
            <x v="5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5"/>
            <x v="26"/>
            <x v="29"/>
            <x v="31"/>
            <x v="35"/>
            <x v="37"/>
            <x v="38"/>
            <x v="39"/>
            <x v="40"/>
            <x v="42"/>
            <x v="46"/>
            <x v="47"/>
            <x v="61"/>
          </reference>
        </references>
      </pivotArea>
    </format>
    <format dxfId="444">
      <pivotArea field="20" grandCol="1" collapsedLevelsAreSubtotals="1" axis="axisRow" fieldPosition="0">
        <references count="1">
          <reference field="20" count="17">
            <x v="3"/>
            <x v="5"/>
            <x v="11"/>
            <x v="13"/>
            <x v="17"/>
            <x v="18"/>
            <x v="20"/>
            <x v="21"/>
            <x v="29"/>
            <x v="37"/>
            <x v="38"/>
            <x v="39"/>
            <x v="40"/>
            <x v="42"/>
            <x v="46"/>
            <x v="47"/>
            <x v="61"/>
          </reference>
        </references>
      </pivotArea>
    </format>
    <format dxfId="443">
      <pivotArea type="all" dataOnly="0" outline="0" fieldPosition="0"/>
    </format>
    <format dxfId="442">
      <pivotArea outline="0" collapsedLevelsAreSubtotals="1" fieldPosition="0"/>
    </format>
    <format dxfId="441">
      <pivotArea type="origin" dataOnly="0" labelOnly="1" outline="0" fieldPosition="0"/>
    </format>
    <format dxfId="440">
      <pivotArea field="36" type="button" dataOnly="0" labelOnly="1" outline="0" axis="axisCol" fieldPosition="0"/>
    </format>
    <format dxfId="439">
      <pivotArea type="topRight" dataOnly="0" labelOnly="1" outline="0" fieldPosition="0"/>
    </format>
    <format dxfId="438">
      <pivotArea field="20" type="button" dataOnly="0" labelOnly="1" outline="0" axis="axisRow" fieldPosition="0"/>
    </format>
    <format dxfId="437">
      <pivotArea dataOnly="0" labelOnly="1" fieldPosition="0">
        <references count="1">
          <reference field="20" count="39">
            <x v="1"/>
            <x v="3"/>
            <x v="4"/>
            <x v="5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3"/>
            <x v="24"/>
            <x v="25"/>
            <x v="26"/>
            <x v="29"/>
            <x v="31"/>
            <x v="32"/>
            <x v="33"/>
            <x v="35"/>
            <x v="36"/>
            <x v="37"/>
            <x v="38"/>
            <x v="39"/>
            <x v="40"/>
            <x v="42"/>
            <x v="45"/>
            <x v="47"/>
            <x v="48"/>
            <x v="51"/>
            <x v="54"/>
            <x v="55"/>
            <x v="57"/>
            <x v="59"/>
            <x v="60"/>
          </reference>
        </references>
      </pivotArea>
    </format>
    <format dxfId="436">
      <pivotArea dataOnly="0" labelOnly="1" fieldPosition="0">
        <references count="1">
          <reference field="20" count="6">
            <x v="2"/>
            <x v="6"/>
            <x v="7"/>
            <x v="22"/>
            <x v="49"/>
            <x v="50"/>
          </reference>
        </references>
      </pivotArea>
    </format>
    <format dxfId="435">
      <pivotArea dataOnly="0" labelOnly="1" grandRow="1" outline="0" fieldPosition="0"/>
    </format>
    <format dxfId="434">
      <pivotArea dataOnly="0" labelOnly="1" fieldPosition="0">
        <references count="1">
          <reference field="36" count="0"/>
        </references>
      </pivotArea>
    </format>
    <format dxfId="433">
      <pivotArea dataOnly="0" labelOnly="1" grandCol="1" outline="0" fieldPosition="0"/>
    </format>
    <format dxfId="432">
      <pivotArea type="all" dataOnly="0" outline="0" fieldPosition="0"/>
    </format>
    <format dxfId="431">
      <pivotArea outline="0" collapsedLevelsAreSubtotals="1" fieldPosition="0"/>
    </format>
    <format dxfId="430">
      <pivotArea field="36" type="button" dataOnly="0" labelOnly="1" outline="0" axis="axisCol" fieldPosition="0"/>
    </format>
    <format dxfId="429">
      <pivotArea type="topRight" dataOnly="0" labelOnly="1" outline="0" fieldPosition="0"/>
    </format>
    <format dxfId="428">
      <pivotArea dataOnly="0" labelOnly="1" fieldPosition="0">
        <references count="1">
          <reference field="36" count="0"/>
        </references>
      </pivotArea>
    </format>
    <format dxfId="427">
      <pivotArea dataOnly="0" labelOnly="1" grandCol="1" outline="0" fieldPosition="0"/>
    </format>
    <format dxfId="426">
      <pivotArea dataOnly="0" labelOnly="1" fieldPosition="0">
        <references count="1">
          <reference field="20" count="0"/>
        </references>
      </pivotArea>
    </format>
    <format dxfId="425">
      <pivotArea dataOnly="0" labelOnly="1" fieldPosition="0">
        <references count="1">
          <reference field="20" count="47">
            <x v="3"/>
            <x v="4"/>
            <x v="5"/>
            <x v="8"/>
            <x v="11"/>
            <x v="12"/>
            <x v="15"/>
            <x v="17"/>
            <x v="19"/>
            <x v="20"/>
            <x v="24"/>
            <x v="25"/>
            <x v="26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2"/>
            <x v="43"/>
            <x v="45"/>
            <x v="47"/>
            <x v="49"/>
            <x v="55"/>
            <x v="57"/>
            <x v="58"/>
            <x v="60"/>
            <x v="61"/>
            <x v="62"/>
            <x v="64"/>
            <x v="65"/>
            <x v="66"/>
            <x v="67"/>
            <x v="70"/>
            <x v="71"/>
            <x v="72"/>
            <x v="74"/>
            <x v="75"/>
            <x v="82"/>
            <x v="83"/>
            <x v="86"/>
          </reference>
        </references>
      </pivotArea>
    </format>
    <format dxfId="424">
      <pivotArea dataOnly="0" labelOnly="1" fieldPosition="0">
        <references count="1">
          <reference field="20" count="17">
            <x v="1"/>
            <x v="9"/>
            <x v="14"/>
            <x v="21"/>
            <x v="23"/>
            <x v="27"/>
            <x v="46"/>
            <x v="48"/>
            <x v="50"/>
            <x v="51"/>
            <x v="54"/>
            <x v="59"/>
            <x v="63"/>
            <x v="78"/>
            <x v="80"/>
            <x v="84"/>
            <x v="89"/>
          </reference>
        </references>
      </pivotArea>
    </format>
    <format dxfId="423">
      <pivotArea dataOnly="0" labelOnly="1" fieldPosition="0">
        <references count="1">
          <reference field="20" count="49">
            <x v="3"/>
            <x v="4"/>
            <x v="5"/>
            <x v="7"/>
            <x v="11"/>
            <x v="12"/>
            <x v="14"/>
            <x v="15"/>
            <x v="17"/>
            <x v="19"/>
            <x v="20"/>
            <x v="21"/>
            <x v="23"/>
            <x v="24"/>
            <x v="25"/>
            <x v="26"/>
            <x v="28"/>
            <x v="29"/>
            <x v="30"/>
            <x v="31"/>
            <x v="32"/>
            <x v="35"/>
            <x v="36"/>
            <x v="38"/>
            <x v="39"/>
            <x v="40"/>
            <x v="42"/>
            <x v="43"/>
            <x v="45"/>
            <x v="47"/>
            <x v="49"/>
            <x v="51"/>
            <x v="54"/>
            <x v="55"/>
            <x v="57"/>
            <x v="58"/>
            <x v="60"/>
            <x v="61"/>
            <x v="62"/>
            <x v="64"/>
            <x v="65"/>
            <x v="67"/>
            <x v="71"/>
            <x v="72"/>
            <x v="81"/>
            <x v="82"/>
            <x v="83"/>
            <x v="86"/>
            <x v="90"/>
          </reference>
        </references>
      </pivotArea>
    </format>
    <format dxfId="422">
      <pivotArea dataOnly="0" labelOnly="1" fieldPosition="0">
        <references count="1">
          <reference field="20" count="21">
            <x v="8"/>
            <x v="9"/>
            <x v="13"/>
            <x v="22"/>
            <x v="27"/>
            <x v="33"/>
            <x v="41"/>
            <x v="46"/>
            <x v="48"/>
            <x v="52"/>
            <x v="53"/>
            <x v="56"/>
            <x v="59"/>
            <x v="63"/>
            <x v="66"/>
            <x v="70"/>
            <x v="75"/>
            <x v="78"/>
            <x v="80"/>
            <x v="91"/>
            <x v="92"/>
          </reference>
        </references>
      </pivotArea>
    </format>
    <format dxfId="421">
      <pivotArea dataOnly="0" labelOnly="1" fieldPosition="0">
        <references count="1">
          <reference field="20" count="50">
            <x v="3"/>
            <x v="4"/>
            <x v="5"/>
            <x v="8"/>
            <x v="11"/>
            <x v="12"/>
            <x v="13"/>
            <x v="15"/>
            <x v="17"/>
            <x v="18"/>
            <x v="19"/>
            <x v="20"/>
            <x v="21"/>
            <x v="23"/>
            <x v="24"/>
            <x v="25"/>
            <x v="26"/>
            <x v="27"/>
            <x v="29"/>
            <x v="30"/>
            <x v="31"/>
            <x v="32"/>
            <x v="33"/>
            <x v="34"/>
            <x v="37"/>
            <x v="38"/>
            <x v="39"/>
            <x v="40"/>
            <x v="42"/>
            <x v="47"/>
            <x v="48"/>
            <x v="49"/>
            <x v="50"/>
            <x v="55"/>
            <x v="57"/>
            <x v="59"/>
            <x v="62"/>
            <x v="67"/>
            <x v="68"/>
            <x v="70"/>
            <x v="71"/>
            <x v="75"/>
            <x v="77"/>
            <x v="80"/>
            <x v="82"/>
            <x v="83"/>
            <x v="86"/>
            <x v="88"/>
            <x v="89"/>
            <x v="90"/>
          </reference>
        </references>
      </pivotArea>
    </format>
    <format dxfId="420">
      <pivotArea dataOnly="0" labelOnly="1" fieldPosition="0">
        <references count="1">
          <reference field="20" count="29">
            <x v="2"/>
            <x v="6"/>
            <x v="7"/>
            <x v="14"/>
            <x v="16"/>
            <x v="22"/>
            <x v="28"/>
            <x v="35"/>
            <x v="36"/>
            <x v="41"/>
            <x v="43"/>
            <x v="44"/>
            <x v="45"/>
            <x v="46"/>
            <x v="51"/>
            <x v="52"/>
            <x v="56"/>
            <x v="60"/>
            <x v="63"/>
            <x v="65"/>
            <x v="66"/>
            <x v="74"/>
            <x v="76"/>
            <x v="79"/>
            <x v="84"/>
            <x v="91"/>
            <x v="92"/>
            <x v="93"/>
            <x v="94"/>
          </reference>
        </references>
      </pivotArea>
    </format>
    <format dxfId="419">
      <pivotArea type="origin" dataOnly="0" labelOnly="1" outline="0" fieldPosition="0"/>
    </format>
    <format dxfId="418">
      <pivotArea field="20" type="button" dataOnly="0" labelOnly="1" outline="0" axis="axisRow" fieldPosition="0"/>
    </format>
    <format dxfId="417">
      <pivotArea dataOnly="0" labelOnly="1" fieldPosition="0">
        <references count="1">
          <reference field="20" count="50">
            <x v="3"/>
            <x v="4"/>
            <x v="5"/>
            <x v="8"/>
            <x v="11"/>
            <x v="12"/>
            <x v="13"/>
            <x v="15"/>
            <x v="17"/>
            <x v="19"/>
            <x v="20"/>
            <x v="21"/>
            <x v="23"/>
            <x v="24"/>
            <x v="25"/>
            <x v="26"/>
            <x v="27"/>
            <x v="29"/>
            <x v="30"/>
            <x v="31"/>
            <x v="34"/>
            <x v="35"/>
            <x v="38"/>
            <x v="39"/>
            <x v="40"/>
            <x v="42"/>
            <x v="43"/>
            <x v="47"/>
            <x v="49"/>
            <x v="55"/>
            <x v="57"/>
            <x v="62"/>
            <x v="65"/>
            <x v="67"/>
            <x v="68"/>
            <x v="69"/>
            <x v="71"/>
            <x v="72"/>
            <x v="73"/>
            <x v="77"/>
            <x v="80"/>
            <x v="81"/>
            <x v="82"/>
            <x v="83"/>
            <x v="84"/>
            <x v="86"/>
            <x v="89"/>
            <x v="90"/>
            <x v="94"/>
            <x v="109"/>
          </reference>
        </references>
      </pivotArea>
    </format>
    <format dxfId="416">
      <pivotArea dataOnly="0" labelOnly="1" fieldPosition="0">
        <references count="1">
          <reference field="20" count="50">
            <x v="1"/>
            <x v="2"/>
            <x v="6"/>
            <x v="7"/>
            <x v="9"/>
            <x v="10"/>
            <x v="14"/>
            <x v="16"/>
            <x v="18"/>
            <x v="22"/>
            <x v="28"/>
            <x v="32"/>
            <x v="33"/>
            <x v="36"/>
            <x v="37"/>
            <x v="41"/>
            <x v="44"/>
            <x v="45"/>
            <x v="46"/>
            <x v="48"/>
            <x v="50"/>
            <x v="51"/>
            <x v="54"/>
            <x v="56"/>
            <x v="58"/>
            <x v="60"/>
            <x v="61"/>
            <x v="63"/>
            <x v="64"/>
            <x v="66"/>
            <x v="70"/>
            <x v="75"/>
            <x v="76"/>
            <x v="78"/>
            <x v="79"/>
            <x v="85"/>
            <x v="91"/>
            <x v="92"/>
            <x v="93"/>
            <x v="95"/>
            <x v="96"/>
            <x v="97"/>
            <x v="98"/>
            <x v="99"/>
            <x v="101"/>
            <x v="102"/>
            <x v="104"/>
            <x v="105"/>
            <x v="107"/>
            <x v="108"/>
          </reference>
        </references>
      </pivotArea>
    </format>
    <format dxfId="415">
      <pivotArea dataOnly="0" labelOnly="1" fieldPosition="0">
        <references count="1">
          <reference field="20" count="3">
            <x v="52"/>
            <x v="100"/>
            <x v="110"/>
          </reference>
        </references>
      </pivotArea>
    </format>
    <format dxfId="414">
      <pivotArea dataOnly="0" labelOnly="1" grandRow="1" outline="0" fieldPosition="0"/>
    </format>
    <format dxfId="413">
      <pivotArea type="all" dataOnly="0" outline="0" fieldPosition="0"/>
    </format>
    <format dxfId="412">
      <pivotArea outline="0" collapsedLevelsAreSubtotals="1" fieldPosition="0"/>
    </format>
    <format dxfId="411">
      <pivotArea type="origin" dataOnly="0" labelOnly="1" outline="0" fieldPosition="0"/>
    </format>
    <format dxfId="410">
      <pivotArea field="36" type="button" dataOnly="0" labelOnly="1" outline="0" axis="axisCol" fieldPosition="0"/>
    </format>
    <format dxfId="409">
      <pivotArea type="topRight" dataOnly="0" labelOnly="1" outline="0" fieldPosition="0"/>
    </format>
    <format dxfId="408">
      <pivotArea field="20" type="button" dataOnly="0" labelOnly="1" outline="0" axis="axisRow" fieldPosition="0"/>
    </format>
    <format dxfId="407"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 dxfId="406"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 dxfId="405">
      <pivotArea dataOnly="0" labelOnly="1" grandRow="1" outline="0" fieldPosition="0"/>
    </format>
    <format dxfId="404">
      <pivotArea dataOnly="0" labelOnly="1" fieldPosition="0">
        <references count="1">
          <reference field="36" count="0"/>
        </references>
      </pivotArea>
    </format>
    <format dxfId="403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 dxfId="402"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2"/>
            <x v="13"/>
            <x v="14"/>
            <x v="15"/>
            <x v="17"/>
            <x v="19"/>
            <x v="20"/>
            <x v="21"/>
            <x v="23"/>
            <x v="24"/>
            <x v="25"/>
            <x v="26"/>
            <x v="27"/>
            <x v="29"/>
            <x v="31"/>
            <x v="32"/>
            <x v="35"/>
            <x v="37"/>
            <x v="38"/>
            <x v="39"/>
            <x v="40"/>
            <x v="42"/>
            <x v="47"/>
            <x v="48"/>
            <x v="55"/>
            <x v="62"/>
            <x v="64"/>
            <x v="65"/>
            <x v="67"/>
            <x v="68"/>
            <x v="70"/>
            <x v="71"/>
            <x v="72"/>
            <x v="73"/>
            <x v="78"/>
            <x v="80"/>
            <x v="82"/>
            <x v="86"/>
            <x v="88"/>
            <x v="90"/>
            <x v="93"/>
            <x v="114"/>
            <x v="116"/>
          </reference>
        </references>
      </pivotArea>
    </format>
    <format dxfId="401">
      <pivotArea dataOnly="0" labelOnly="1" fieldPosition="0">
        <references count="1">
          <reference field="20" count="37">
            <x v="2"/>
            <x v="9"/>
            <x v="16"/>
            <x v="22"/>
            <x v="28"/>
            <x v="30"/>
            <x v="33"/>
            <x v="34"/>
            <x v="41"/>
            <x v="43"/>
            <x v="46"/>
            <x v="49"/>
            <x v="50"/>
            <x v="51"/>
            <x v="54"/>
            <x v="57"/>
            <x v="66"/>
            <x v="74"/>
            <x v="75"/>
            <x v="83"/>
            <x v="84"/>
            <x v="89"/>
            <x v="94"/>
            <x v="95"/>
            <x v="102"/>
            <x v="103"/>
            <x v="104"/>
            <x v="105"/>
            <x v="107"/>
            <x v="108"/>
            <x v="109"/>
            <x v="111"/>
            <x v="120"/>
            <x v="130"/>
            <x v="132"/>
            <x v="133"/>
            <x v="136"/>
          </reference>
        </references>
      </pivotArea>
    </format>
    <format dxfId="400">
      <pivotArea dataOnly="0" labelOnly="1" fieldPosition="0">
        <references count="1">
          <reference field="20" count="50">
            <x v="3"/>
            <x v="5"/>
            <x v="7"/>
            <x v="11"/>
            <x v="12"/>
            <x v="15"/>
            <x v="17"/>
            <x v="19"/>
            <x v="20"/>
            <x v="22"/>
            <x v="24"/>
            <x v="25"/>
            <x v="27"/>
            <x v="31"/>
            <x v="34"/>
            <x v="37"/>
            <x v="38"/>
            <x v="39"/>
            <x v="40"/>
            <x v="42"/>
            <x v="43"/>
            <x v="47"/>
            <x v="49"/>
            <x v="54"/>
            <x v="55"/>
            <x v="59"/>
            <x v="61"/>
            <x v="62"/>
            <x v="64"/>
            <x v="65"/>
            <x v="67"/>
            <x v="68"/>
            <x v="70"/>
            <x v="72"/>
            <x v="82"/>
            <x v="84"/>
            <x v="86"/>
            <x v="90"/>
            <x v="93"/>
            <x v="96"/>
            <x v="105"/>
            <x v="114"/>
            <x v="120"/>
            <x v="123"/>
            <x v="131"/>
            <x v="152"/>
            <x v="153"/>
            <x v="154"/>
            <x v="156"/>
            <x v="157"/>
          </reference>
        </references>
      </pivotArea>
    </format>
    <format dxfId="399">
      <pivotArea dataOnly="0" labelOnly="1" fieldPosition="0">
        <references count="1">
          <reference field="20" count="25">
            <x v="2"/>
            <x v="8"/>
            <x v="10"/>
            <x v="14"/>
            <x v="23"/>
            <x v="28"/>
            <x v="30"/>
            <x v="33"/>
            <x v="35"/>
            <x v="46"/>
            <x v="48"/>
            <x v="51"/>
            <x v="57"/>
            <x v="60"/>
            <x v="74"/>
            <x v="79"/>
            <x v="80"/>
            <x v="83"/>
            <x v="85"/>
            <x v="94"/>
            <x v="103"/>
            <x v="104"/>
            <x v="106"/>
            <x v="111"/>
            <x v="151"/>
          </reference>
        </references>
      </pivotArea>
    </format>
    <format dxfId="398">
      <pivotArea dataOnly="0" labelOnly="1" fieldPosition="0">
        <references count="1">
          <reference field="20" count="50">
            <x v="3"/>
            <x v="4"/>
            <x v="5"/>
            <x v="7"/>
            <x v="8"/>
            <x v="11"/>
            <x v="12"/>
            <x v="14"/>
            <x v="15"/>
            <x v="16"/>
            <x v="17"/>
            <x v="19"/>
            <x v="20"/>
            <x v="23"/>
            <x v="24"/>
            <x v="25"/>
            <x v="26"/>
            <x v="27"/>
            <x v="31"/>
            <x v="35"/>
            <x v="37"/>
            <x v="38"/>
            <x v="39"/>
            <x v="40"/>
            <x v="42"/>
            <x v="47"/>
            <x v="49"/>
            <x v="51"/>
            <x v="54"/>
            <x v="55"/>
            <x v="57"/>
            <x v="59"/>
            <x v="62"/>
            <x v="64"/>
            <x v="65"/>
            <x v="67"/>
            <x v="68"/>
            <x v="70"/>
            <x v="72"/>
            <x v="82"/>
            <x v="83"/>
            <x v="86"/>
            <x v="90"/>
            <x v="93"/>
            <x v="104"/>
            <x v="120"/>
            <x v="152"/>
            <x v="153"/>
            <x v="154"/>
            <x v="157"/>
          </reference>
        </references>
      </pivotArea>
    </format>
    <format dxfId="397">
      <pivotArea dataOnly="0" labelOnly="1" fieldPosition="0">
        <references count="1">
          <reference field="20" count="26">
            <x v="2"/>
            <x v="10"/>
            <x v="22"/>
            <x v="28"/>
            <x v="30"/>
            <x v="32"/>
            <x v="33"/>
            <x v="46"/>
            <x v="50"/>
            <x v="78"/>
            <x v="79"/>
            <x v="80"/>
            <x v="85"/>
            <x v="94"/>
            <x v="96"/>
            <x v="99"/>
            <x v="102"/>
            <x v="103"/>
            <x v="105"/>
            <x v="109"/>
            <x v="111"/>
            <x v="124"/>
            <x v="131"/>
            <x v="149"/>
            <x v="156"/>
            <x v="158"/>
          </reference>
        </references>
      </pivotArea>
    </format>
    <format dxfId="396">
      <pivotArea dataOnly="0" labelOnly="1" fieldPosition="0">
        <references count="1">
          <reference field="20" count="50">
            <x v="3"/>
            <x v="5"/>
            <x v="7"/>
            <x v="8"/>
            <x v="11"/>
            <x v="12"/>
            <x v="13"/>
            <x v="14"/>
            <x v="15"/>
            <x v="17"/>
            <x v="19"/>
            <x v="20"/>
            <x v="24"/>
            <x v="26"/>
            <x v="27"/>
            <x v="30"/>
            <x v="31"/>
            <x v="32"/>
            <x v="35"/>
            <x v="37"/>
            <x v="38"/>
            <x v="39"/>
            <x v="40"/>
            <x v="42"/>
            <x v="47"/>
            <x v="55"/>
            <x v="57"/>
            <x v="59"/>
            <x v="62"/>
            <x v="64"/>
            <x v="65"/>
            <x v="67"/>
            <x v="68"/>
            <x v="70"/>
            <x v="72"/>
            <x v="82"/>
            <x v="83"/>
            <x v="85"/>
            <x v="86"/>
            <x v="90"/>
            <x v="93"/>
            <x v="102"/>
            <x v="109"/>
            <x v="111"/>
            <x v="120"/>
            <x v="152"/>
            <x v="153"/>
            <x v="154"/>
            <x v="157"/>
            <x v="158"/>
          </reference>
        </references>
      </pivotArea>
    </format>
    <format dxfId="395">
      <pivotArea dataOnly="0" labelOnly="1" fieldPosition="0">
        <references count="1">
          <reference field="20" count="26">
            <x v="4"/>
            <x v="10"/>
            <x v="16"/>
            <x v="22"/>
            <x v="23"/>
            <x v="25"/>
            <x v="28"/>
            <x v="33"/>
            <x v="34"/>
            <x v="46"/>
            <x v="48"/>
            <x v="49"/>
            <x v="51"/>
            <x v="54"/>
            <x v="75"/>
            <x v="78"/>
            <x v="79"/>
            <x v="80"/>
            <x v="89"/>
            <x v="99"/>
            <x v="103"/>
            <x v="104"/>
            <x v="124"/>
            <x v="125"/>
            <x v="128"/>
            <x v="131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20" count="50">
            <x v="3"/>
            <x v="5"/>
            <x v="7"/>
            <x v="8"/>
            <x v="11"/>
            <x v="12"/>
            <x v="14"/>
            <x v="15"/>
            <x v="17"/>
            <x v="19"/>
            <x v="20"/>
            <x v="22"/>
            <x v="23"/>
            <x v="24"/>
            <x v="26"/>
            <x v="27"/>
            <x v="31"/>
            <x v="32"/>
            <x v="33"/>
            <x v="35"/>
            <x v="37"/>
            <x v="38"/>
            <x v="39"/>
            <x v="40"/>
            <x v="42"/>
            <x v="47"/>
            <x v="50"/>
            <x v="55"/>
            <x v="57"/>
            <x v="59"/>
            <x v="62"/>
            <x v="64"/>
            <x v="65"/>
            <x v="68"/>
            <x v="70"/>
            <x v="72"/>
            <x v="78"/>
            <x v="79"/>
            <x v="82"/>
            <x v="83"/>
            <x v="86"/>
            <x v="90"/>
            <x v="93"/>
            <x v="111"/>
            <x v="120"/>
            <x v="148"/>
            <x v="152"/>
            <x v="153"/>
            <x v="154"/>
            <x v="157"/>
          </reference>
        </references>
      </pivotArea>
    </format>
    <format>
      <pivotArea dataOnly="0" labelOnly="1" fieldPosition="0">
        <references count="1">
          <reference field="20" count="25">
            <x v="2"/>
            <x v="4"/>
            <x v="10"/>
            <x v="16"/>
            <x v="25"/>
            <x v="28"/>
            <x v="30"/>
            <x v="46"/>
            <x v="49"/>
            <x v="54"/>
            <x v="58"/>
            <x v="60"/>
            <x v="66"/>
            <x v="67"/>
            <x v="75"/>
            <x v="80"/>
            <x v="85"/>
            <x v="99"/>
            <x v="100"/>
            <x v="102"/>
            <x v="103"/>
            <x v="104"/>
            <x v="131"/>
            <x v="151"/>
            <x v="158"/>
          </reference>
        </references>
      </pivotArea>
    </format>
    <format dxfId="394">
      <pivotArea dataOnly="0" labelOnly="1" fieldPosition="0">
        <references count="1">
          <reference field="20" count="50">
            <x v="2"/>
            <x v="3"/>
            <x v="4"/>
            <x v="5"/>
            <x v="7"/>
            <x v="8"/>
            <x v="11"/>
            <x v="17"/>
            <x v="19"/>
            <x v="20"/>
            <x v="22"/>
            <x v="23"/>
            <x v="24"/>
            <x v="27"/>
            <x v="32"/>
            <x v="33"/>
            <x v="35"/>
            <x v="38"/>
            <x v="39"/>
            <x v="40"/>
            <x v="42"/>
            <x v="47"/>
            <x v="48"/>
            <x v="50"/>
            <x v="54"/>
            <x v="55"/>
            <x v="57"/>
            <x v="62"/>
            <x v="64"/>
            <x v="65"/>
            <x v="67"/>
            <x v="68"/>
            <x v="72"/>
            <x v="74"/>
            <x v="75"/>
            <x v="82"/>
            <x v="86"/>
            <x v="90"/>
            <x v="92"/>
            <x v="99"/>
            <x v="104"/>
            <x v="111"/>
            <x v="114"/>
            <x v="124"/>
            <x v="149"/>
            <x v="152"/>
            <x v="154"/>
            <x v="157"/>
            <x v="158"/>
            <x v="161"/>
          </reference>
        </references>
      </pivotArea>
    </format>
    <format dxfId="393">
      <pivotArea dataOnly="0" labelOnly="1" fieldPosition="0">
        <references count="1">
          <reference field="20" count="19">
            <x v="10"/>
            <x v="12"/>
            <x v="13"/>
            <x v="15"/>
            <x v="26"/>
            <x v="41"/>
            <x v="51"/>
            <x v="60"/>
            <x v="66"/>
            <x v="70"/>
            <x v="79"/>
            <x v="83"/>
            <x v="84"/>
            <x v="93"/>
            <x v="102"/>
            <x v="105"/>
            <x v="120"/>
            <x v="148"/>
            <x v="155"/>
          </reference>
        </references>
      </pivotArea>
    </format>
    <format dxfId="392">
      <pivotArea dataOnly="0" labelOnly="1" fieldPosition="0">
        <references count="1">
          <reference field="20" count="50">
            <x v="3"/>
            <x v="5"/>
            <x v="8"/>
            <x v="11"/>
            <x v="12"/>
            <x v="15"/>
            <x v="17"/>
            <x v="19"/>
            <x v="20"/>
            <x v="22"/>
            <x v="23"/>
            <x v="24"/>
            <x v="25"/>
            <x v="26"/>
            <x v="27"/>
            <x v="31"/>
            <x v="32"/>
            <x v="33"/>
            <x v="35"/>
            <x v="37"/>
            <x v="38"/>
            <x v="39"/>
            <x v="40"/>
            <x v="41"/>
            <x v="42"/>
            <x v="47"/>
            <x v="50"/>
            <x v="55"/>
            <x v="57"/>
            <x v="60"/>
            <x v="62"/>
            <x v="65"/>
            <x v="67"/>
            <x v="68"/>
            <x v="72"/>
            <x v="74"/>
            <x v="84"/>
            <x v="86"/>
            <x v="90"/>
            <x v="103"/>
            <x v="104"/>
            <x v="105"/>
            <x v="106"/>
            <x v="111"/>
            <x v="114"/>
            <x v="152"/>
            <x v="154"/>
            <x v="157"/>
            <x v="158"/>
            <x v="167"/>
          </reference>
        </references>
      </pivotArea>
    </format>
    <format dxfId="391">
      <pivotArea dataOnly="0" labelOnly="1" fieldPosition="0">
        <references count="1">
          <reference field="20" count="29">
            <x v="6"/>
            <x v="7"/>
            <x v="13"/>
            <x v="14"/>
            <x v="16"/>
            <x v="28"/>
            <x v="43"/>
            <x v="44"/>
            <x v="46"/>
            <x v="48"/>
            <x v="49"/>
            <x v="54"/>
            <x v="56"/>
            <x v="58"/>
            <x v="64"/>
            <x v="66"/>
            <x v="77"/>
            <x v="78"/>
            <x v="79"/>
            <x v="82"/>
            <x v="83"/>
            <x v="85"/>
            <x v="95"/>
            <x v="98"/>
            <x v="102"/>
            <x v="121"/>
            <x v="149"/>
            <x v="151"/>
            <x v="160"/>
          </reference>
        </references>
      </pivotArea>
    </format>
    <format dxfId="390">
      <pivotArea dataOnly="0" labelOnly="1" fieldPosition="0">
        <references count="1">
          <reference field="20" count="50">
            <x v="3"/>
            <x v="4"/>
            <x v="5"/>
            <x v="7"/>
            <x v="12"/>
            <x v="14"/>
            <x v="15"/>
            <x v="16"/>
            <x v="19"/>
            <x v="20"/>
            <x v="22"/>
            <x v="23"/>
            <x v="24"/>
            <x v="25"/>
            <x v="27"/>
            <x v="31"/>
            <x v="33"/>
            <x v="35"/>
            <x v="37"/>
            <x v="38"/>
            <x v="39"/>
            <x v="40"/>
            <x v="42"/>
            <x v="47"/>
            <x v="49"/>
            <x v="50"/>
            <x v="55"/>
            <x v="57"/>
            <x v="58"/>
            <x v="60"/>
            <x v="62"/>
            <x v="64"/>
            <x v="65"/>
            <x v="67"/>
            <x v="68"/>
            <x v="74"/>
            <x v="83"/>
            <x v="85"/>
            <x v="90"/>
            <x v="105"/>
            <x v="108"/>
            <x v="111"/>
            <x v="114"/>
            <x v="123"/>
            <x v="151"/>
            <x v="152"/>
            <x v="154"/>
            <x v="157"/>
            <x v="159"/>
            <x v="170"/>
          </reference>
        </references>
      </pivotArea>
    </format>
    <format dxfId="389">
      <pivotArea dataOnly="0" labelOnly="1" fieldPosition="0">
        <references count="1">
          <reference field="20" count="28">
            <x v="2"/>
            <x v="6"/>
            <x v="8"/>
            <x v="11"/>
            <x v="26"/>
            <x v="30"/>
            <x v="32"/>
            <x v="41"/>
            <x v="54"/>
            <x v="59"/>
            <x v="70"/>
            <x v="72"/>
            <x v="77"/>
            <x v="78"/>
            <x v="84"/>
            <x v="86"/>
            <x v="89"/>
            <x v="91"/>
            <x v="95"/>
            <x v="100"/>
            <x v="102"/>
            <x v="104"/>
            <x v="109"/>
            <x v="124"/>
            <x v="149"/>
            <x v="160"/>
            <x v="168"/>
            <x v="169"/>
          </reference>
        </references>
      </pivotArea>
    </format>
    <format dxfId="388">
      <pivotArea dataOnly="0" labelOnly="1" fieldPosition="0">
        <references count="1">
          <reference field="20" count="50">
            <x v="3"/>
            <x v="4"/>
            <x v="5"/>
            <x v="8"/>
            <x v="11"/>
            <x v="14"/>
            <x v="15"/>
            <x v="19"/>
            <x v="20"/>
            <x v="24"/>
            <x v="25"/>
            <x v="27"/>
            <x v="35"/>
            <x v="38"/>
            <x v="39"/>
            <x v="40"/>
            <x v="42"/>
            <x v="44"/>
            <x v="47"/>
            <x v="48"/>
            <x v="50"/>
            <x v="51"/>
            <x v="54"/>
            <x v="55"/>
            <x v="57"/>
            <x v="62"/>
            <x v="63"/>
            <x v="64"/>
            <x v="68"/>
            <x v="74"/>
            <x v="82"/>
            <x v="83"/>
            <x v="84"/>
            <x v="85"/>
            <x v="86"/>
            <x v="89"/>
            <x v="90"/>
            <x v="91"/>
            <x v="95"/>
            <x v="102"/>
            <x v="105"/>
            <x v="123"/>
            <x v="137"/>
            <x v="151"/>
            <x v="152"/>
            <x v="154"/>
            <x v="157"/>
            <x v="160"/>
            <x v="170"/>
            <x v="171"/>
          </reference>
        </references>
      </pivotArea>
    </format>
    <format dxfId="387">
      <pivotArea dataOnly="0" labelOnly="1" fieldPosition="0">
        <references count="1">
          <reference field="20" count="14">
            <x v="7"/>
            <x v="13"/>
            <x v="22"/>
            <x v="26"/>
            <x v="32"/>
            <x v="33"/>
            <x v="49"/>
            <x v="58"/>
            <x v="60"/>
            <x v="67"/>
            <x v="80"/>
            <x v="93"/>
            <x v="98"/>
            <x v="124"/>
          </reference>
        </references>
      </pivotArea>
    </format>
    <format dxfId="386">
      <pivotArea dataOnly="0" labelOnly="1" fieldPosition="0">
        <references count="1">
          <reference field="20" count="50">
            <x v="3"/>
            <x v="7"/>
            <x v="8"/>
            <x v="10"/>
            <x v="14"/>
            <x v="17"/>
            <x v="19"/>
            <x v="20"/>
            <x v="23"/>
            <x v="25"/>
            <x v="27"/>
            <x v="30"/>
            <x v="32"/>
            <x v="33"/>
            <x v="38"/>
            <x v="39"/>
            <x v="40"/>
            <x v="41"/>
            <x v="42"/>
            <x v="43"/>
            <x v="48"/>
            <x v="50"/>
            <x v="55"/>
            <x v="57"/>
            <x v="60"/>
            <x v="62"/>
            <x v="64"/>
            <x v="65"/>
            <x v="67"/>
            <x v="72"/>
            <x v="74"/>
            <x v="78"/>
            <x v="84"/>
            <x v="86"/>
            <x v="89"/>
            <x v="90"/>
            <x v="91"/>
            <x v="102"/>
            <x v="104"/>
            <x v="123"/>
            <x v="152"/>
            <x v="154"/>
            <x v="157"/>
            <x v="158"/>
            <x v="160"/>
            <x v="171"/>
            <x v="173"/>
            <x v="174"/>
            <x v="177"/>
            <x v="179"/>
          </reference>
        </references>
      </pivotArea>
    </format>
    <format dxfId="385">
      <pivotArea dataOnly="0" labelOnly="1" fieldPosition="0">
        <references count="1">
          <reference field="20" count="27">
            <x v="2"/>
            <x v="4"/>
            <x v="5"/>
            <x v="11"/>
            <x v="13"/>
            <x v="15"/>
            <x v="16"/>
            <x v="22"/>
            <x v="26"/>
            <x v="31"/>
            <x v="34"/>
            <x v="35"/>
            <x v="46"/>
            <x v="51"/>
            <x v="59"/>
            <x v="70"/>
            <x v="73"/>
            <x v="79"/>
            <x v="82"/>
            <x v="93"/>
            <x v="95"/>
            <x v="105"/>
            <x v="112"/>
            <x v="113"/>
            <x v="159"/>
            <x v="161"/>
            <x v="186"/>
          </reference>
        </references>
      </pivotArea>
    </format>
    <format dxfId="384">
      <pivotArea type="origin" dataOnly="0" labelOnly="1" outline="0" fieldPosition="0"/>
    </format>
    <format dxfId="383">
      <pivotArea field="20" type="button" dataOnly="0" labelOnly="1" outline="0" axis="axisRow" fieldPosition="0"/>
    </format>
    <format dxfId="382">
      <pivotArea dataOnly="0" labelOnly="1" fieldPosition="0">
        <references count="1">
          <reference field="20" count="50">
            <x v="3"/>
            <x v="5"/>
            <x v="7"/>
            <x v="8"/>
            <x v="11"/>
            <x v="13"/>
            <x v="14"/>
            <x v="17"/>
            <x v="19"/>
            <x v="20"/>
            <x v="23"/>
            <x v="25"/>
            <x v="27"/>
            <x v="30"/>
            <x v="31"/>
            <x v="33"/>
            <x v="38"/>
            <x v="39"/>
            <x v="40"/>
            <x v="42"/>
            <x v="43"/>
            <x v="48"/>
            <x v="49"/>
            <x v="50"/>
            <x v="51"/>
            <x v="55"/>
            <x v="57"/>
            <x v="62"/>
            <x v="64"/>
            <x v="65"/>
            <x v="67"/>
            <x v="70"/>
            <x v="72"/>
            <x v="74"/>
            <x v="83"/>
            <x v="86"/>
            <x v="90"/>
            <x v="91"/>
            <x v="102"/>
            <x v="104"/>
            <x v="152"/>
            <x v="154"/>
            <x v="157"/>
            <x v="158"/>
            <x v="171"/>
            <x v="173"/>
            <x v="174"/>
            <x v="177"/>
            <x v="179"/>
            <x v="181"/>
          </reference>
        </references>
      </pivotArea>
    </format>
    <format dxfId="381">
      <pivotArea dataOnly="0" labelOnly="1" fieldPosition="0">
        <references count="1">
          <reference field="20" count="32">
            <x v="1"/>
            <x v="9"/>
            <x v="10"/>
            <x v="22"/>
            <x v="32"/>
            <x v="35"/>
            <x v="41"/>
            <x v="46"/>
            <x v="60"/>
            <x v="68"/>
            <x v="73"/>
            <x v="75"/>
            <x v="78"/>
            <x v="79"/>
            <x v="82"/>
            <x v="84"/>
            <x v="85"/>
            <x v="89"/>
            <x v="93"/>
            <x v="95"/>
            <x v="96"/>
            <x v="105"/>
            <x v="111"/>
            <x v="112"/>
            <x v="113"/>
            <x v="123"/>
            <x v="133"/>
            <x v="149"/>
            <x v="159"/>
            <x v="160"/>
            <x v="161"/>
            <x v="186"/>
          </reference>
        </references>
      </pivotArea>
    </format>
    <format dxfId="380">
      <pivotArea dataOnly="0" labelOnly="1" grandRow="1" outline="0" fieldPosition="0"/>
    </format>
    <format dxfId="379">
      <pivotArea type="origin" dataOnly="0" labelOnly="1" outline="0" fieldPosition="0"/>
    </format>
    <format dxfId="378">
      <pivotArea field="36" type="button" dataOnly="0" labelOnly="1" outline="0" axis="axisCol" fieldPosition="0"/>
    </format>
    <format dxfId="377">
      <pivotArea type="topRight" dataOnly="0" labelOnly="1" outline="0" fieldPosition="0"/>
    </format>
    <format dxfId="376">
      <pivotArea type="origin" dataOnly="0" labelOnly="1" outline="0" fieldPosition="0"/>
    </format>
    <format dxfId="375">
      <pivotArea field="36" type="button" dataOnly="0" labelOnly="1" outline="0" axis="axisCol" fieldPosition="0"/>
    </format>
    <format dxfId="374">
      <pivotArea type="topRight" dataOnly="0" labelOnly="1" outline="0" fieldPosition="0"/>
    </format>
    <format dxfId="373">
      <pivotArea type="origin" dataOnly="0" labelOnly="1" outline="0" fieldPosition="0"/>
    </format>
    <format dxfId="372">
      <pivotArea field="36" type="button" dataOnly="0" labelOnly="1" outline="0" axis="axisCol" fieldPosition="0"/>
    </format>
    <format dxfId="371">
      <pivotArea type="topRight" dataOnly="0" labelOnly="1" outline="0" fieldPosition="0"/>
    </format>
    <format dxfId="370">
      <pivotArea field="20" type="button" dataOnly="0" labelOnly="1" outline="0" axis="axisRow" fieldPosition="0"/>
    </format>
    <format dxfId="369">
      <pivotArea dataOnly="0" labelOnly="1" fieldPosition="0">
        <references count="1">
          <reference field="36" count="0"/>
        </references>
      </pivotArea>
    </format>
    <format dxfId="368">
      <pivotArea dataOnly="0" labelOnly="1" grandCol="1" outline="0" fieldPosition="0"/>
    </format>
    <format dxfId="367">
      <pivotArea field="20" type="button" dataOnly="0" labelOnly="1" outline="0" axis="axisRow" fieldPosition="0"/>
    </format>
    <format dxfId="366">
      <pivotArea dataOnly="0" labelOnly="1" fieldPosition="0">
        <references count="1">
          <reference field="36" count="0"/>
        </references>
      </pivotArea>
    </format>
    <format dxfId="365">
      <pivotArea dataOnly="0" labelOnly="1" grandCol="1" outline="0" fieldPosition="0"/>
    </format>
    <format dxfId="364">
      <pivotArea collapsedLevelsAreSubtotals="1" fieldPosition="0">
        <references count="1">
          <reference field="20" count="1">
            <x v="90"/>
          </reference>
        </references>
      </pivotArea>
    </format>
    <format dxfId="363">
      <pivotArea dataOnly="0" labelOnly="1" fieldPosition="0">
        <references count="1">
          <reference field="20" count="1">
            <x v="90"/>
          </reference>
        </references>
      </pivotArea>
    </format>
    <format dxfId="362">
      <pivotArea collapsedLevelsAreSubtotals="1" fieldPosition="0">
        <references count="1">
          <reference field="20" count="1">
            <x v="90"/>
          </reference>
        </references>
      </pivotArea>
    </format>
    <format dxfId="361">
      <pivotArea dataOnly="0" labelOnly="1" fieldPosition="0">
        <references count="1">
          <reference field="20" count="1">
            <x v="90"/>
          </reference>
        </references>
      </pivotArea>
    </format>
    <format dxfId="360">
      <pivotArea collapsedLevelsAreSubtotals="1" fieldPosition="0">
        <references count="1">
          <reference field="20" count="1">
            <x v="42"/>
          </reference>
        </references>
      </pivotArea>
    </format>
    <format dxfId="359">
      <pivotArea dataOnly="0" labelOnly="1" fieldPosition="0">
        <references count="1">
          <reference field="20" count="1">
            <x v="42"/>
          </reference>
        </references>
      </pivotArea>
    </format>
    <format dxfId="358">
      <pivotArea collapsedLevelsAreSubtotals="1" fieldPosition="0">
        <references count="1">
          <reference field="20" count="1">
            <x v="42"/>
          </reference>
        </references>
      </pivotArea>
    </format>
    <format dxfId="357">
      <pivotArea dataOnly="0" labelOnly="1" fieldPosition="0">
        <references count="1">
          <reference field="20" count="1">
            <x v="42"/>
          </reference>
        </references>
      </pivotArea>
    </format>
    <format dxfId="356">
      <pivotArea collapsedLevelsAreSubtotals="1" fieldPosition="0">
        <references count="1">
          <reference field="20" count="1">
            <x v="25"/>
          </reference>
        </references>
      </pivotArea>
    </format>
    <format dxfId="355">
      <pivotArea dataOnly="0" labelOnly="1" fieldPosition="0">
        <references count="1">
          <reference field="20" count="1">
            <x v="25"/>
          </reference>
        </references>
      </pivotArea>
    </format>
    <format dxfId="354">
      <pivotArea collapsedLevelsAreSubtotals="1" fieldPosition="0">
        <references count="1">
          <reference field="20" count="1">
            <x v="25"/>
          </reference>
        </references>
      </pivotArea>
    </format>
    <format dxfId="353">
      <pivotArea dataOnly="0" labelOnly="1" fieldPosition="0">
        <references count="1">
          <reference field="20" count="1">
            <x v="25"/>
          </reference>
        </references>
      </pivotArea>
    </format>
    <format dxfId="352">
      <pivotArea collapsedLevelsAreSubtotals="1" fieldPosition="0">
        <references count="1">
          <reference field="20" count="1">
            <x v="3"/>
          </reference>
        </references>
      </pivotArea>
    </format>
    <format dxfId="351">
      <pivotArea dataOnly="0" labelOnly="1" fieldPosition="0">
        <references count="1">
          <reference field="20" count="1">
            <x v="3"/>
          </reference>
        </references>
      </pivotArea>
    </format>
    <format dxfId="350">
      <pivotArea collapsedLevelsAreSubtotals="1" fieldPosition="0">
        <references count="1">
          <reference field="20" count="1">
            <x v="3"/>
          </reference>
        </references>
      </pivotArea>
    </format>
    <format dxfId="349">
      <pivotArea dataOnly="0" labelOnly="1" fieldPosition="0">
        <references count="1">
          <reference field="20" count="1">
            <x v="3"/>
          </reference>
        </references>
      </pivotArea>
    </format>
    <format dxfId="348">
      <pivotArea collapsedLevelsAreSubtotals="1" fieldPosition="0">
        <references count="1">
          <reference field="20" count="1">
            <x v="40"/>
          </reference>
        </references>
      </pivotArea>
    </format>
    <format dxfId="347">
      <pivotArea dataOnly="0" labelOnly="1" fieldPosition="0">
        <references count="1">
          <reference field="20" count="1">
            <x v="40"/>
          </reference>
        </references>
      </pivotArea>
    </format>
    <format dxfId="346">
      <pivotArea collapsedLevelsAreSubtotals="1" fieldPosition="0">
        <references count="1">
          <reference field="20" count="1">
            <x v="40"/>
          </reference>
        </references>
      </pivotArea>
    </format>
    <format dxfId="345">
      <pivotArea dataOnly="0" labelOnly="1" fieldPosition="0">
        <references count="1">
          <reference field="20" count="1">
            <x v="40"/>
          </reference>
        </references>
      </pivotArea>
    </format>
    <format dxfId="344">
      <pivotArea collapsedLevelsAreSubtotals="1" fieldPosition="0">
        <references count="1">
          <reference field="20" count="1">
            <x v="20"/>
          </reference>
        </references>
      </pivotArea>
    </format>
    <format dxfId="343">
      <pivotArea dataOnly="0" labelOnly="1" fieldPosition="0">
        <references count="1">
          <reference field="20" count="1">
            <x v="20"/>
          </reference>
        </references>
      </pivotArea>
    </format>
    <format dxfId="342">
      <pivotArea collapsedLevelsAreSubtotals="1" fieldPosition="0">
        <references count="1">
          <reference field="20" count="1">
            <x v="20"/>
          </reference>
        </references>
      </pivotArea>
    </format>
    <format dxfId="341">
      <pivotArea dataOnly="0" labelOnly="1" fieldPosition="0">
        <references count="1">
          <reference field="20" count="1">
            <x v="20"/>
          </reference>
        </references>
      </pivotArea>
    </format>
    <format dxfId="340">
      <pivotArea collapsedLevelsAreSubtotals="1" fieldPosition="0">
        <references count="1">
          <reference field="20" count="1">
            <x v="151"/>
          </reference>
        </references>
      </pivotArea>
    </format>
    <format dxfId="339">
      <pivotArea dataOnly="0" labelOnly="1" fieldPosition="0">
        <references count="1">
          <reference field="20" count="1">
            <x v="151"/>
          </reference>
        </references>
      </pivotArea>
    </format>
    <format dxfId="338">
      <pivotArea collapsedLevelsAreSubtotals="1" fieldPosition="0">
        <references count="1">
          <reference field="20" count="1">
            <x v="151"/>
          </reference>
        </references>
      </pivotArea>
    </format>
    <format dxfId="337">
      <pivotArea dataOnly="0" labelOnly="1" fieldPosition="0">
        <references count="1">
          <reference field="20" count="1">
            <x v="151"/>
          </reference>
        </references>
      </pivotArea>
    </format>
    <format dxfId="336">
      <pivotArea collapsedLevelsAreSubtotals="1" fieldPosition="0">
        <references count="1">
          <reference field="20" count="1">
            <x v="62"/>
          </reference>
        </references>
      </pivotArea>
    </format>
    <format dxfId="335">
      <pivotArea dataOnly="0" labelOnly="1" fieldPosition="0">
        <references count="1">
          <reference field="20" count="1">
            <x v="62"/>
          </reference>
        </references>
      </pivotArea>
    </format>
    <format dxfId="334">
      <pivotArea collapsedLevelsAreSubtotals="1" fieldPosition="0">
        <references count="1">
          <reference field="20" count="1">
            <x v="62"/>
          </reference>
        </references>
      </pivotArea>
    </format>
    <format dxfId="333">
      <pivotArea dataOnly="0" labelOnly="1" fieldPosition="0">
        <references count="1">
          <reference field="20" count="1">
            <x v="62"/>
          </reference>
        </references>
      </pivotArea>
    </format>
    <format dxfId="332">
      <pivotArea collapsedLevelsAreSubtotals="1" fieldPosition="0">
        <references count="1">
          <reference field="20" count="1">
            <x v="30"/>
          </reference>
        </references>
      </pivotArea>
    </format>
    <format dxfId="331">
      <pivotArea dataOnly="0" labelOnly="1" fieldPosition="0">
        <references count="1">
          <reference field="20" count="1">
            <x v="30"/>
          </reference>
        </references>
      </pivotArea>
    </format>
    <format dxfId="330">
      <pivotArea collapsedLevelsAreSubtotals="1" fieldPosition="0">
        <references count="1">
          <reference field="20" count="1">
            <x v="30"/>
          </reference>
        </references>
      </pivotArea>
    </format>
    <format dxfId="329">
      <pivotArea dataOnly="0" labelOnly="1" fieldPosition="0">
        <references count="1">
          <reference field="20" count="1">
            <x v="30"/>
          </reference>
        </references>
      </pivotArea>
    </format>
    <format dxfId="328">
      <pivotArea collapsedLevelsAreSubtotals="1" fieldPosition="0">
        <references count="1">
          <reference field="20" count="1">
            <x v="154"/>
          </reference>
        </references>
      </pivotArea>
    </format>
    <format dxfId="327">
      <pivotArea dataOnly="0" labelOnly="1" fieldPosition="0">
        <references count="1">
          <reference field="20" count="1">
            <x v="154"/>
          </reference>
        </references>
      </pivotArea>
    </format>
    <format dxfId="326">
      <pivotArea collapsedLevelsAreSubtotals="1" fieldPosition="0">
        <references count="1">
          <reference field="20" count="1">
            <x v="154"/>
          </reference>
        </references>
      </pivotArea>
    </format>
    <format dxfId="325">
      <pivotArea dataOnly="0" labelOnly="1" fieldPosition="0">
        <references count="1">
          <reference field="20" count="1">
            <x v="154"/>
          </reference>
        </references>
      </pivotArea>
    </format>
    <format dxfId="324">
      <pivotArea collapsedLevelsAreSubtotals="1" fieldPosition="0">
        <references count="1">
          <reference field="20" count="1">
            <x v="91"/>
          </reference>
        </references>
      </pivotArea>
    </format>
    <format dxfId="323">
      <pivotArea dataOnly="0" labelOnly="1" fieldPosition="0">
        <references count="1">
          <reference field="20" count="1">
            <x v="91"/>
          </reference>
        </references>
      </pivotArea>
    </format>
    <format dxfId="322">
      <pivotArea collapsedLevelsAreSubtotals="1" fieldPosition="0">
        <references count="1">
          <reference field="20" count="1">
            <x v="91"/>
          </reference>
        </references>
      </pivotArea>
    </format>
    <format dxfId="321">
      <pivotArea dataOnly="0" labelOnly="1" fieldPosition="0">
        <references count="1">
          <reference field="20" count="1">
            <x v="91"/>
          </reference>
        </references>
      </pivotArea>
    </format>
    <format dxfId="320">
      <pivotArea collapsedLevelsAreSubtotals="1" fieldPosition="0">
        <references count="1">
          <reference field="20" count="1">
            <x v="65"/>
          </reference>
        </references>
      </pivotArea>
    </format>
    <format dxfId="319">
      <pivotArea dataOnly="0" labelOnly="1" fieldPosition="0">
        <references count="1">
          <reference field="20" count="1">
            <x v="65"/>
          </reference>
        </references>
      </pivotArea>
    </format>
    <format dxfId="318">
      <pivotArea collapsedLevelsAreSubtotals="1" fieldPosition="0">
        <references count="1">
          <reference field="20" count="1">
            <x v="65"/>
          </reference>
        </references>
      </pivotArea>
    </format>
    <format dxfId="317">
      <pivotArea dataOnly="0" labelOnly="1" fieldPosition="0">
        <references count="1">
          <reference field="20" count="1">
            <x v="65"/>
          </reference>
        </references>
      </pivotArea>
    </format>
    <format dxfId="316">
      <pivotArea collapsedLevelsAreSubtotals="1" fieldPosition="0">
        <references count="1">
          <reference field="20" count="1">
            <x v="171"/>
          </reference>
        </references>
      </pivotArea>
    </format>
    <format dxfId="315">
      <pivotArea dataOnly="0" labelOnly="1" fieldPosition="0">
        <references count="1">
          <reference field="20" count="1">
            <x v="171"/>
          </reference>
        </references>
      </pivotArea>
    </format>
    <format dxfId="314">
      <pivotArea collapsedLevelsAreSubtotals="1" fieldPosition="0">
        <references count="1">
          <reference field="20" count="1">
            <x v="171"/>
          </reference>
        </references>
      </pivotArea>
    </format>
    <format dxfId="313">
      <pivotArea dataOnly="0" labelOnly="1" fieldPosition="0">
        <references count="1">
          <reference field="20" count="1">
            <x v="171"/>
          </reference>
        </references>
      </pivotArea>
    </format>
    <format dxfId="312">
      <pivotArea collapsedLevelsAreSubtotals="1" fieldPosition="0">
        <references count="1">
          <reference field="20" count="1">
            <x v="17"/>
          </reference>
        </references>
      </pivotArea>
    </format>
    <format dxfId="311">
      <pivotArea dataOnly="0" labelOnly="1" fieldPosition="0">
        <references count="1">
          <reference field="20" count="1">
            <x v="17"/>
          </reference>
        </references>
      </pivotArea>
    </format>
    <format dxfId="310">
      <pivotArea collapsedLevelsAreSubtotals="1" fieldPosition="0">
        <references count="1">
          <reference field="20" count="1">
            <x v="17"/>
          </reference>
        </references>
      </pivotArea>
    </format>
    <format dxfId="309">
      <pivotArea dataOnly="0" labelOnly="1" fieldPosition="0">
        <references count="1">
          <reference field="20" count="1">
            <x v="17"/>
          </reference>
        </references>
      </pivotArea>
    </format>
    <format dxfId="308">
      <pivotArea collapsedLevelsAreSubtotals="1" fieldPosition="0">
        <references count="1">
          <reference field="20" count="1">
            <x v="14"/>
          </reference>
        </references>
      </pivotArea>
    </format>
    <format dxfId="307">
      <pivotArea dataOnly="0" labelOnly="1" fieldPosition="0">
        <references count="1">
          <reference field="20" count="1">
            <x v="14"/>
          </reference>
        </references>
      </pivotArea>
    </format>
    <format dxfId="306">
      <pivotArea collapsedLevelsAreSubtotals="1" fieldPosition="0">
        <references count="1">
          <reference field="20" count="1">
            <x v="14"/>
          </reference>
        </references>
      </pivotArea>
    </format>
    <format dxfId="305">
      <pivotArea dataOnly="0" labelOnly="1" fieldPosition="0">
        <references count="1">
          <reference field="20" count="1">
            <x v="14"/>
          </reference>
        </references>
      </pivotArea>
    </format>
    <format dxfId="304">
      <pivotArea collapsedLevelsAreSubtotals="1" fieldPosition="0">
        <references count="1">
          <reference field="20" count="1">
            <x v="179"/>
          </reference>
        </references>
      </pivotArea>
    </format>
    <format dxfId="303">
      <pivotArea dataOnly="0" labelOnly="1" fieldPosition="0">
        <references count="1">
          <reference field="20" count="1">
            <x v="179"/>
          </reference>
        </references>
      </pivotArea>
    </format>
    <format dxfId="302">
      <pivotArea collapsedLevelsAreSubtotals="1" fieldPosition="0">
        <references count="1">
          <reference field="20" count="1">
            <x v="179"/>
          </reference>
        </references>
      </pivotArea>
    </format>
    <format dxfId="301">
      <pivotArea dataOnly="0" labelOnly="1" fieldPosition="0">
        <references count="1">
          <reference field="20" count="1">
            <x v="179"/>
          </reference>
        </references>
      </pivotArea>
    </format>
    <format dxfId="300">
      <pivotArea collapsedLevelsAreSubtotals="1" fieldPosition="0">
        <references count="1">
          <reference field="20" count="1">
            <x v="67"/>
          </reference>
        </references>
      </pivotArea>
    </format>
    <format dxfId="299">
      <pivotArea dataOnly="0" labelOnly="1" fieldPosition="0">
        <references count="1">
          <reference field="20" count="1">
            <x v="67"/>
          </reference>
        </references>
      </pivotArea>
    </format>
    <format dxfId="298">
      <pivotArea collapsedLevelsAreSubtotals="1" fieldPosition="0">
        <references count="1">
          <reference field="20" count="1">
            <x v="67"/>
          </reference>
        </references>
      </pivotArea>
    </format>
    <format dxfId="297">
      <pivotArea dataOnly="0" labelOnly="1" fieldPosition="0">
        <references count="1">
          <reference field="20" count="1">
            <x v="67"/>
          </reference>
        </references>
      </pivotArea>
    </format>
    <format dxfId="296">
      <pivotArea collapsedLevelsAreSubtotals="1" fieldPosition="0">
        <references count="1">
          <reference field="20" count="1">
            <x v="27"/>
          </reference>
        </references>
      </pivotArea>
    </format>
    <format dxfId="295">
      <pivotArea dataOnly="0" labelOnly="1" fieldPosition="0">
        <references count="1">
          <reference field="20" count="1">
            <x v="27"/>
          </reference>
        </references>
      </pivotArea>
    </format>
    <format dxfId="294">
      <pivotArea collapsedLevelsAreSubtotals="1" fieldPosition="0">
        <references count="1">
          <reference field="20" count="1">
            <x v="27"/>
          </reference>
        </references>
      </pivotArea>
    </format>
    <format dxfId="293">
      <pivotArea dataOnly="0" labelOnly="1" fieldPosition="0">
        <references count="1">
          <reference field="20" count="1">
            <x v="27"/>
          </reference>
        </references>
      </pivotArea>
    </format>
    <format dxfId="292">
      <pivotArea collapsedLevelsAreSubtotals="1" fieldPosition="0">
        <references count="1">
          <reference field="20" count="1">
            <x v="50"/>
          </reference>
        </references>
      </pivotArea>
    </format>
    <format dxfId="291">
      <pivotArea dataOnly="0" labelOnly="1" fieldPosition="0">
        <references count="1">
          <reference field="20" count="1">
            <x v="50"/>
          </reference>
        </references>
      </pivotArea>
    </format>
    <format dxfId="290">
      <pivotArea collapsedLevelsAreSubtotals="1" fieldPosition="0">
        <references count="1">
          <reference field="20" count="1">
            <x v="50"/>
          </reference>
        </references>
      </pivotArea>
    </format>
    <format dxfId="289">
      <pivotArea dataOnly="0" labelOnly="1" fieldPosition="0">
        <references count="1">
          <reference field="20" count="1">
            <x v="50"/>
          </reference>
        </references>
      </pivotArea>
    </format>
    <format dxfId="288">
      <pivotArea collapsedLevelsAreSubtotals="1" fieldPosition="0">
        <references count="1">
          <reference field="20" count="1">
            <x v="102"/>
          </reference>
        </references>
      </pivotArea>
    </format>
    <format dxfId="287">
      <pivotArea dataOnly="0" labelOnly="1" fieldPosition="0">
        <references count="1">
          <reference field="20" count="1">
            <x v="102"/>
          </reference>
        </references>
      </pivotArea>
    </format>
    <format dxfId="286">
      <pivotArea collapsedLevelsAreSubtotals="1" fieldPosition="0">
        <references count="1">
          <reference field="20" count="1">
            <x v="102"/>
          </reference>
        </references>
      </pivotArea>
    </format>
    <format dxfId="285">
      <pivotArea dataOnly="0" labelOnly="1" fieldPosition="0">
        <references count="1">
          <reference field="20" count="1">
            <x v="102"/>
          </reference>
        </references>
      </pivotArea>
    </format>
    <format dxfId="284">
      <pivotArea collapsedLevelsAreSubtotals="1" fieldPosition="0">
        <references count="1">
          <reference field="20" count="1">
            <x v="5"/>
          </reference>
        </references>
      </pivotArea>
    </format>
    <format dxfId="283">
      <pivotArea dataOnly="0" labelOnly="1" fieldPosition="0">
        <references count="1">
          <reference field="20" count="1">
            <x v="5"/>
          </reference>
        </references>
      </pivotArea>
    </format>
    <format dxfId="282">
      <pivotArea collapsedLevelsAreSubtotals="1" fieldPosition="0">
        <references count="1">
          <reference field="20" count="1">
            <x v="5"/>
          </reference>
        </references>
      </pivotArea>
    </format>
    <format dxfId="281">
      <pivotArea dataOnly="0" labelOnly="1" fieldPosition="0">
        <references count="1">
          <reference field="20" count="1">
            <x v="5"/>
          </reference>
        </references>
      </pivotArea>
    </format>
    <format dxfId="280">
      <pivotArea collapsedLevelsAreSubtotals="1" fieldPosition="0">
        <references count="1">
          <reference field="20" count="1">
            <x v="32"/>
          </reference>
        </references>
      </pivotArea>
    </format>
    <format dxfId="279">
      <pivotArea dataOnly="0" labelOnly="1" fieldPosition="0">
        <references count="1">
          <reference field="20" count="1">
            <x v="32"/>
          </reference>
        </references>
      </pivotArea>
    </format>
    <format dxfId="278">
      <pivotArea collapsedLevelsAreSubtotals="1" fieldPosition="0">
        <references count="1">
          <reference field="20" count="1">
            <x v="32"/>
          </reference>
        </references>
      </pivotArea>
    </format>
    <format dxfId="277">
      <pivotArea dataOnly="0" labelOnly="1" fieldPosition="0">
        <references count="1">
          <reference field="20" count="1">
            <x v="32"/>
          </reference>
        </references>
      </pivotArea>
    </format>
    <format dxfId="276">
      <pivotArea collapsedLevelsAreSubtotals="1" fieldPosition="0">
        <references count="1">
          <reference field="20" count="1">
            <x v="31"/>
          </reference>
        </references>
      </pivotArea>
    </format>
    <format dxfId="275">
      <pivotArea dataOnly="0" labelOnly="1" fieldPosition="0">
        <references count="1">
          <reference field="20" count="1">
            <x v="31"/>
          </reference>
        </references>
      </pivotArea>
    </format>
    <format dxfId="274">
      <pivotArea collapsedLevelsAreSubtotals="1" fieldPosition="0">
        <references count="1">
          <reference field="20" count="1">
            <x v="31"/>
          </reference>
        </references>
      </pivotArea>
    </format>
    <format dxfId="273">
      <pivotArea dataOnly="0" labelOnly="1" fieldPosition="0">
        <references count="1">
          <reference field="20" count="1">
            <x v="31"/>
          </reference>
        </references>
      </pivotArea>
    </format>
    <format dxfId="272">
      <pivotArea collapsedLevelsAreSubtotals="1" fieldPosition="0">
        <references count="1">
          <reference field="20" count="1">
            <x v="55"/>
          </reference>
        </references>
      </pivotArea>
    </format>
    <format dxfId="271">
      <pivotArea dataOnly="0" labelOnly="1" fieldPosition="0">
        <references count="1">
          <reference field="20" count="1">
            <x v="55"/>
          </reference>
        </references>
      </pivotArea>
    </format>
    <format dxfId="270">
      <pivotArea collapsedLevelsAreSubtotals="1" fieldPosition="0">
        <references count="1">
          <reference field="20" count="1">
            <x v="55"/>
          </reference>
        </references>
      </pivotArea>
    </format>
    <format dxfId="269">
      <pivotArea dataOnly="0" labelOnly="1" fieldPosition="0">
        <references count="1">
          <reference field="20" count="1">
            <x v="55"/>
          </reference>
        </references>
      </pivotArea>
    </format>
    <format dxfId="268">
      <pivotArea collapsedLevelsAreSubtotals="1" fieldPosition="0">
        <references count="1">
          <reference field="20" count="1">
            <x v="43"/>
          </reference>
        </references>
      </pivotArea>
    </format>
    <format dxfId="267">
      <pivotArea dataOnly="0" labelOnly="1" fieldPosition="0">
        <references count="1">
          <reference field="20" count="1">
            <x v="43"/>
          </reference>
        </references>
      </pivotArea>
    </format>
    <format dxfId="266">
      <pivotArea collapsedLevelsAreSubtotals="1" fieldPosition="0">
        <references count="1">
          <reference field="20" count="1">
            <x v="43"/>
          </reference>
        </references>
      </pivotArea>
    </format>
    <format dxfId="265">
      <pivotArea dataOnly="0" labelOnly="1" fieldPosition="0">
        <references count="1">
          <reference field="20" count="1">
            <x v="43"/>
          </reference>
        </references>
      </pivotArea>
    </format>
    <format dxfId="264">
      <pivotArea collapsedLevelsAreSubtotals="1" fieldPosition="0">
        <references count="1">
          <reference field="20" count="1">
            <x v="174"/>
          </reference>
        </references>
      </pivotArea>
    </format>
    <format dxfId="263">
      <pivotArea dataOnly="0" labelOnly="1" fieldPosition="0">
        <references count="1">
          <reference field="20" count="1">
            <x v="174"/>
          </reference>
        </references>
      </pivotArea>
    </format>
    <format dxfId="262">
      <pivotArea collapsedLevelsAreSubtotals="1" fieldPosition="0">
        <references count="1">
          <reference field="20" count="1">
            <x v="174"/>
          </reference>
        </references>
      </pivotArea>
    </format>
    <format dxfId="261">
      <pivotArea dataOnly="0" labelOnly="1" fieldPosition="0">
        <references count="1">
          <reference field="20" count="1">
            <x v="174"/>
          </reference>
        </references>
      </pivotArea>
    </format>
    <format dxfId="260">
      <pivotArea collapsedLevelsAreSubtotals="1" fieldPosition="0">
        <references count="1">
          <reference field="20" count="1">
            <x v="93"/>
          </reference>
        </references>
      </pivotArea>
    </format>
    <format dxfId="259">
      <pivotArea dataOnly="0" labelOnly="1" fieldPosition="0">
        <references count="1">
          <reference field="20" count="1">
            <x v="93"/>
          </reference>
        </references>
      </pivotArea>
    </format>
    <format dxfId="258">
      <pivotArea collapsedLevelsAreSubtotals="1" fieldPosition="0">
        <references count="1">
          <reference field="20" count="1">
            <x v="93"/>
          </reference>
        </references>
      </pivotArea>
    </format>
    <format dxfId="257">
      <pivotArea dataOnly="0" labelOnly="1" fieldPosition="0">
        <references count="1">
          <reference field="20" count="1">
            <x v="93"/>
          </reference>
        </references>
      </pivotArea>
    </format>
    <format dxfId="256">
      <pivotArea collapsedLevelsAreSubtotals="1" fieldPosition="0">
        <references count="1">
          <reference field="20" count="1">
            <x v="39"/>
          </reference>
        </references>
      </pivotArea>
    </format>
    <format dxfId="255">
      <pivotArea dataOnly="0" labelOnly="1" fieldPosition="0">
        <references count="1">
          <reference field="20" count="1">
            <x v="39"/>
          </reference>
        </references>
      </pivotArea>
    </format>
    <format dxfId="254">
      <pivotArea collapsedLevelsAreSubtotals="1" fieldPosition="0">
        <references count="1">
          <reference field="20" count="1">
            <x v="39"/>
          </reference>
        </references>
      </pivotArea>
    </format>
    <format dxfId="253">
      <pivotArea dataOnly="0" labelOnly="1" fieldPosition="0">
        <references count="1">
          <reference field="20" count="1">
            <x v="39"/>
          </reference>
        </references>
      </pivotArea>
    </format>
    <format dxfId="252">
      <pivotArea collapsedLevelsAreSubtotals="1" fieldPosition="0">
        <references count="1">
          <reference field="20" count="1">
            <x v="19"/>
          </reference>
        </references>
      </pivotArea>
    </format>
    <format dxfId="251">
      <pivotArea dataOnly="0" labelOnly="1" fieldPosition="0">
        <references count="1">
          <reference field="20" count="1">
            <x v="19"/>
          </reference>
        </references>
      </pivotArea>
    </format>
    <format dxfId="250">
      <pivotArea collapsedLevelsAreSubtotals="1" fieldPosition="0">
        <references count="1">
          <reference field="20" count="1">
            <x v="19"/>
          </reference>
        </references>
      </pivotArea>
    </format>
    <format dxfId="249">
      <pivotArea dataOnly="0" labelOnly="1" fieldPosition="0">
        <references count="1">
          <reference field="20" count="1">
            <x v="19"/>
          </reference>
        </references>
      </pivotArea>
    </format>
    <format dxfId="248">
      <pivotArea collapsedLevelsAreSubtotals="1" fieldPosition="0">
        <references count="1">
          <reference field="20" count="1">
            <x v="23"/>
          </reference>
        </references>
      </pivotArea>
    </format>
    <format dxfId="247">
      <pivotArea dataOnly="0" labelOnly="1" fieldPosition="0">
        <references count="1">
          <reference field="20" count="1">
            <x v="23"/>
          </reference>
        </references>
      </pivotArea>
    </format>
    <format dxfId="246">
      <pivotArea collapsedLevelsAreSubtotals="1" fieldPosition="0">
        <references count="1">
          <reference field="20" count="1">
            <x v="23"/>
          </reference>
        </references>
      </pivotArea>
    </format>
    <format dxfId="245">
      <pivotArea dataOnly="0" labelOnly="1" fieldPosition="0">
        <references count="1">
          <reference field="20" count="1">
            <x v="23"/>
          </reference>
        </references>
      </pivotArea>
    </format>
    <format dxfId="244">
      <pivotArea collapsedLevelsAreSubtotals="1" fieldPosition="0">
        <references count="1">
          <reference field="20" count="1">
            <x v="157"/>
          </reference>
        </references>
      </pivotArea>
    </format>
    <format dxfId="243">
      <pivotArea dataOnly="0" labelOnly="1" fieldPosition="0">
        <references count="1">
          <reference field="20" count="1">
            <x v="157"/>
          </reference>
        </references>
      </pivotArea>
    </format>
    <format dxfId="242">
      <pivotArea collapsedLevelsAreSubtotals="1" fieldPosition="0">
        <references count="1">
          <reference field="20" count="1">
            <x v="157"/>
          </reference>
        </references>
      </pivotArea>
    </format>
    <format dxfId="241">
      <pivotArea dataOnly="0" labelOnly="1" fieldPosition="0">
        <references count="1">
          <reference field="20" count="1">
            <x v="157"/>
          </reference>
        </references>
      </pivotArea>
    </format>
    <format dxfId="240">
      <pivotArea collapsedLevelsAreSubtotals="1" fieldPosition="0">
        <references count="1">
          <reference field="20" count="1">
            <x v="152"/>
          </reference>
        </references>
      </pivotArea>
    </format>
    <format dxfId="239">
      <pivotArea dataOnly="0" labelOnly="1" fieldPosition="0">
        <references count="1">
          <reference field="20" count="1">
            <x v="152"/>
          </reference>
        </references>
      </pivotArea>
    </format>
    <format dxfId="238">
      <pivotArea collapsedLevelsAreSubtotals="1" fieldPosition="0">
        <references count="1">
          <reference field="20" count="1">
            <x v="152"/>
          </reference>
        </references>
      </pivotArea>
    </format>
    <format dxfId="237">
      <pivotArea dataOnly="0" labelOnly="1" fieldPosition="0">
        <references count="1">
          <reference field="20" count="1">
            <x v="152"/>
          </reference>
        </references>
      </pivotArea>
    </format>
    <format dxfId="236">
      <pivotArea collapsedLevelsAreSubtotals="1" fieldPosition="0">
        <references count="1">
          <reference field="20" count="1">
            <x v="33"/>
          </reference>
        </references>
      </pivotArea>
    </format>
    <format dxfId="235">
      <pivotArea dataOnly="0" labelOnly="1" fieldPosition="0">
        <references count="1">
          <reference field="20" count="1">
            <x v="33"/>
          </reference>
        </references>
      </pivotArea>
    </format>
    <format dxfId="234">
      <pivotArea collapsedLevelsAreSubtotals="1" fieldPosition="0">
        <references count="1">
          <reference field="20" count="1">
            <x v="33"/>
          </reference>
        </references>
      </pivotArea>
    </format>
    <format dxfId="233">
      <pivotArea dataOnly="0" labelOnly="1" fieldPosition="0">
        <references count="1">
          <reference field="20" count="1">
            <x v="33"/>
          </reference>
        </references>
      </pivotArea>
    </format>
    <format dxfId="232">
      <pivotArea collapsedLevelsAreSubtotals="1" fieldPosition="0">
        <references count="1">
          <reference field="20" count="1">
            <x v="11"/>
          </reference>
        </references>
      </pivotArea>
    </format>
    <format dxfId="231">
      <pivotArea dataOnly="0" labelOnly="1" fieldPosition="0">
        <references count="1">
          <reference field="20" count="1">
            <x v="11"/>
          </reference>
        </references>
      </pivotArea>
    </format>
    <format dxfId="230">
      <pivotArea collapsedLevelsAreSubtotals="1" fieldPosition="0">
        <references count="1">
          <reference field="20" count="1">
            <x v="11"/>
          </reference>
        </references>
      </pivotArea>
    </format>
    <format dxfId="229">
      <pivotArea dataOnly="0" labelOnly="1" fieldPosition="0">
        <references count="1">
          <reference field="20" count="1">
            <x v="11"/>
          </reference>
        </references>
      </pivotArea>
    </format>
    <format dxfId="228">
      <pivotArea collapsedLevelsAreSubtotals="1" fieldPosition="0">
        <references count="1">
          <reference field="20" count="1">
            <x v="64"/>
          </reference>
        </references>
      </pivotArea>
    </format>
    <format dxfId="227">
      <pivotArea dataOnly="0" labelOnly="1" fieldPosition="0">
        <references count="1">
          <reference field="20" count="1">
            <x v="64"/>
          </reference>
        </references>
      </pivotArea>
    </format>
    <format dxfId="226">
      <pivotArea collapsedLevelsAreSubtotals="1" fieldPosition="0">
        <references count="1">
          <reference field="20" count="1">
            <x v="64"/>
          </reference>
        </references>
      </pivotArea>
    </format>
    <format dxfId="225">
      <pivotArea dataOnly="0" labelOnly="1" fieldPosition="0">
        <references count="1">
          <reference field="20" count="1">
            <x v="64"/>
          </reference>
        </references>
      </pivotArea>
    </format>
    <format dxfId="224">
      <pivotArea collapsedLevelsAreSubtotals="1" fieldPosition="0">
        <references count="1">
          <reference field="20" count="1">
            <x v="120"/>
          </reference>
        </references>
      </pivotArea>
    </format>
    <format dxfId="223">
      <pivotArea dataOnly="0" labelOnly="1" fieldPosition="0">
        <references count="1">
          <reference field="20" count="1">
            <x v="120"/>
          </reference>
        </references>
      </pivotArea>
    </format>
    <format dxfId="222">
      <pivotArea collapsedLevelsAreSubtotals="1" fieldPosition="0">
        <references count="1">
          <reference field="20" count="1">
            <x v="120"/>
          </reference>
        </references>
      </pivotArea>
    </format>
    <format dxfId="221">
      <pivotArea dataOnly="0" labelOnly="1" fieldPosition="0">
        <references count="1">
          <reference field="20" count="1">
            <x v="120"/>
          </reference>
        </references>
      </pivotArea>
    </format>
    <format dxfId="220">
      <pivotArea collapsedLevelsAreSubtotals="1" fieldPosition="0">
        <references count="1">
          <reference field="20" count="1">
            <x v="84"/>
          </reference>
        </references>
      </pivotArea>
    </format>
    <format dxfId="219">
      <pivotArea dataOnly="0" labelOnly="1" fieldPosition="0">
        <references count="1">
          <reference field="20" count="1">
            <x v="84"/>
          </reference>
        </references>
      </pivotArea>
    </format>
    <format dxfId="218">
      <pivotArea collapsedLevelsAreSubtotals="1" fieldPosition="0">
        <references count="1">
          <reference field="20" count="1">
            <x v="84"/>
          </reference>
        </references>
      </pivotArea>
    </format>
    <format dxfId="217">
      <pivotArea dataOnly="0" labelOnly="1" fieldPosition="0">
        <references count="1">
          <reference field="20" count="1">
            <x v="84"/>
          </reference>
        </references>
      </pivotArea>
    </format>
    <format dxfId="216">
      <pivotArea collapsedLevelsAreSubtotals="1" fieldPosition="0">
        <references count="1">
          <reference field="20" count="1">
            <x v="7"/>
          </reference>
        </references>
      </pivotArea>
    </format>
    <format dxfId="215">
      <pivotArea dataOnly="0" labelOnly="1" fieldPosition="0">
        <references count="1">
          <reference field="20" count="1">
            <x v="7"/>
          </reference>
        </references>
      </pivotArea>
    </format>
    <format dxfId="214">
      <pivotArea collapsedLevelsAreSubtotals="1" fieldPosition="0">
        <references count="1">
          <reference field="20" count="1">
            <x v="7"/>
          </reference>
        </references>
      </pivotArea>
    </format>
    <format dxfId="213">
      <pivotArea dataOnly="0" labelOnly="1" fieldPosition="0">
        <references count="1">
          <reference field="20" count="1">
            <x v="7"/>
          </reference>
        </references>
      </pivotArea>
    </format>
    <format dxfId="212">
      <pivotArea collapsedLevelsAreSubtotals="1" fieldPosition="0">
        <references count="1">
          <reference field="20" count="1">
            <x v="57"/>
          </reference>
        </references>
      </pivotArea>
    </format>
    <format dxfId="211">
      <pivotArea dataOnly="0" labelOnly="1" fieldPosition="0">
        <references count="1">
          <reference field="20" count="1">
            <x v="57"/>
          </reference>
        </references>
      </pivotArea>
    </format>
    <format dxfId="210">
      <pivotArea collapsedLevelsAreSubtotals="1" fieldPosition="0">
        <references count="1">
          <reference field="20" count="1">
            <x v="57"/>
          </reference>
        </references>
      </pivotArea>
    </format>
    <format dxfId="209">
      <pivotArea dataOnly="0" labelOnly="1" fieldPosition="0">
        <references count="1">
          <reference field="20" count="1">
            <x v="57"/>
          </reference>
        </references>
      </pivotArea>
    </format>
    <format dxfId="208">
      <pivotArea collapsedLevelsAreSubtotals="1" fieldPosition="0">
        <references count="1">
          <reference field="20" count="1">
            <x v="22"/>
          </reference>
        </references>
      </pivotArea>
    </format>
    <format dxfId="207">
      <pivotArea dataOnly="0" labelOnly="1" fieldPosition="0">
        <references count="1">
          <reference field="20" count="1">
            <x v="22"/>
          </reference>
        </references>
      </pivotArea>
    </format>
    <format dxfId="206">
      <pivotArea collapsedLevelsAreSubtotals="1" fieldPosition="0">
        <references count="1">
          <reference field="20" count="1">
            <x v="22"/>
          </reference>
        </references>
      </pivotArea>
    </format>
    <format dxfId="205">
      <pivotArea dataOnly="0" labelOnly="1" fieldPosition="0">
        <references count="1">
          <reference field="20" count="1">
            <x v="22"/>
          </reference>
        </references>
      </pivotArea>
    </format>
    <format dxfId="204">
      <pivotArea collapsedLevelsAreSubtotals="1" fieldPosition="0">
        <references count="1">
          <reference field="20" count="1">
            <x v="74"/>
          </reference>
        </references>
      </pivotArea>
    </format>
    <format dxfId="203">
      <pivotArea dataOnly="0" labelOnly="1" fieldPosition="0">
        <references count="1">
          <reference field="20" count="1">
            <x v="74"/>
          </reference>
        </references>
      </pivotArea>
    </format>
    <format dxfId="202">
      <pivotArea collapsedLevelsAreSubtotals="1" fieldPosition="0">
        <references count="1">
          <reference field="20" count="1">
            <x v="74"/>
          </reference>
        </references>
      </pivotArea>
    </format>
    <format dxfId="201">
      <pivotArea dataOnly="0" labelOnly="1" fieldPosition="0">
        <references count="1">
          <reference field="20" count="1">
            <x v="74"/>
          </reference>
        </references>
      </pivotArea>
    </format>
    <format dxfId="200">
      <pivotArea collapsedLevelsAreSubtotals="1" fieldPosition="0">
        <references count="1">
          <reference field="20" count="1">
            <x v="83"/>
          </reference>
        </references>
      </pivotArea>
    </format>
    <format dxfId="199">
      <pivotArea dataOnly="0" labelOnly="1" fieldPosition="0">
        <references count="1">
          <reference field="20" count="1">
            <x v="83"/>
          </reference>
        </references>
      </pivotArea>
    </format>
    <format dxfId="198">
      <pivotArea collapsedLevelsAreSubtotals="1" fieldPosition="0">
        <references count="1">
          <reference field="20" count="1">
            <x v="83"/>
          </reference>
        </references>
      </pivotArea>
    </format>
    <format dxfId="197">
      <pivotArea dataOnly="0" labelOnly="1" fieldPosition="0">
        <references count="1">
          <reference field="20" count="1">
            <x v="83"/>
          </reference>
        </references>
      </pivotArea>
    </format>
    <format dxfId="196">
      <pivotArea collapsedLevelsAreSubtotals="1" fieldPosition="0">
        <references count="1">
          <reference field="20" count="1">
            <x v="48"/>
          </reference>
        </references>
      </pivotArea>
    </format>
    <format dxfId="195">
      <pivotArea dataOnly="0" labelOnly="1" fieldPosition="0">
        <references count="1">
          <reference field="20" count="1">
            <x v="48"/>
          </reference>
        </references>
      </pivotArea>
    </format>
    <format dxfId="194">
      <pivotArea collapsedLevelsAreSubtotals="1" fieldPosition="0">
        <references count="1">
          <reference field="20" count="1">
            <x v="48"/>
          </reference>
        </references>
      </pivotArea>
    </format>
    <format dxfId="193">
      <pivotArea dataOnly="0" labelOnly="1" fieldPosition="0">
        <references count="1">
          <reference field="20" count="1">
            <x v="48"/>
          </reference>
        </references>
      </pivotArea>
    </format>
    <format dxfId="192">
      <pivotArea collapsedLevelsAreSubtotals="1" fieldPosition="0">
        <references count="1">
          <reference field="20" count="1">
            <x v="2"/>
          </reference>
        </references>
      </pivotArea>
    </format>
    <format dxfId="191">
      <pivotArea dataOnly="0" labelOnly="1" fieldPosition="0">
        <references count="1">
          <reference field="20" count="1">
            <x v="2"/>
          </reference>
        </references>
      </pivotArea>
    </format>
    <format dxfId="190">
      <pivotArea collapsedLevelsAreSubtotals="1" fieldPosition="0">
        <references count="1">
          <reference field="20" count="1">
            <x v="2"/>
          </reference>
        </references>
      </pivotArea>
    </format>
    <format dxfId="189">
      <pivotArea dataOnly="0" labelOnly="1" fieldPosition="0">
        <references count="1">
          <reference field="20" count="1">
            <x v="2"/>
          </reference>
        </references>
      </pivotArea>
    </format>
    <format dxfId="188">
      <pivotArea collapsedLevelsAreSubtotals="1" fieldPosition="0">
        <references count="1">
          <reference field="20" count="1">
            <x v="160"/>
          </reference>
        </references>
      </pivotArea>
    </format>
    <format dxfId="187">
      <pivotArea dataOnly="0" labelOnly="1" fieldPosition="0">
        <references count="1">
          <reference field="20" count="1">
            <x v="160"/>
          </reference>
        </references>
      </pivotArea>
    </format>
    <format dxfId="186">
      <pivotArea collapsedLevelsAreSubtotals="1" fieldPosition="0">
        <references count="1">
          <reference field="20" count="1">
            <x v="160"/>
          </reference>
        </references>
      </pivotArea>
    </format>
    <format dxfId="185">
      <pivotArea dataOnly="0" labelOnly="1" fieldPosition="0">
        <references count="1">
          <reference field="20" count="1">
            <x v="160"/>
          </reference>
        </references>
      </pivotArea>
    </format>
    <format dxfId="184">
      <pivotArea collapsedLevelsAreSubtotals="1" fieldPosition="0">
        <references count="1">
          <reference field="20" count="1">
            <x v="181"/>
          </reference>
        </references>
      </pivotArea>
    </format>
    <format dxfId="183">
      <pivotArea dataOnly="0" labelOnly="1" fieldPosition="0">
        <references count="1">
          <reference field="20" count="1">
            <x v="181"/>
          </reference>
        </references>
      </pivotArea>
    </format>
    <format dxfId="182">
      <pivotArea collapsedLevelsAreSubtotals="1" fieldPosition="0">
        <references count="1">
          <reference field="20" count="1">
            <x v="181"/>
          </reference>
        </references>
      </pivotArea>
    </format>
    <format dxfId="181">
      <pivotArea dataOnly="0" labelOnly="1" fieldPosition="0">
        <references count="1">
          <reference field="20" count="1">
            <x v="181"/>
          </reference>
        </references>
      </pivotArea>
    </format>
    <format dxfId="180">
      <pivotArea collapsedLevelsAreSubtotals="1" fieldPosition="0">
        <references count="1">
          <reference field="20" count="1">
            <x v="177"/>
          </reference>
        </references>
      </pivotArea>
    </format>
    <format dxfId="179">
      <pivotArea dataOnly="0" labelOnly="1" fieldPosition="0">
        <references count="1">
          <reference field="20" count="1">
            <x v="177"/>
          </reference>
        </references>
      </pivotArea>
    </format>
    <format dxfId="178">
      <pivotArea collapsedLevelsAreSubtotals="1" fieldPosition="0">
        <references count="1">
          <reference field="20" count="1">
            <x v="177"/>
          </reference>
        </references>
      </pivotArea>
    </format>
    <format dxfId="177">
      <pivotArea dataOnly="0" labelOnly="1" fieldPosition="0">
        <references count="1">
          <reference field="20" count="1">
            <x v="177"/>
          </reference>
        </references>
      </pivotArea>
    </format>
    <format dxfId="176">
      <pivotArea collapsedLevelsAreSubtotals="1" fieldPosition="0">
        <references count="1">
          <reference field="20" count="1">
            <x v="1"/>
          </reference>
        </references>
      </pivotArea>
    </format>
    <format dxfId="175">
      <pivotArea dataOnly="0" labelOnly="1" fieldPosition="0">
        <references count="1">
          <reference field="20" count="1">
            <x v="1"/>
          </reference>
        </references>
      </pivotArea>
    </format>
    <format dxfId="174">
      <pivotArea collapsedLevelsAreSubtotals="1" fieldPosition="0">
        <references count="1">
          <reference field="20" count="1">
            <x v="1"/>
          </reference>
        </references>
      </pivotArea>
    </format>
    <format dxfId="173">
      <pivotArea dataOnly="0" labelOnly="1" fieldPosition="0">
        <references count="1">
          <reference field="20" count="1">
            <x v="1"/>
          </reference>
        </references>
      </pivotArea>
    </format>
    <format dxfId="172">
      <pivotArea collapsedLevelsAreSubtotals="1" fieldPosition="0">
        <references count="1">
          <reference field="20" count="1">
            <x v="159"/>
          </reference>
        </references>
      </pivotArea>
    </format>
    <format dxfId="171">
      <pivotArea dataOnly="0" labelOnly="1" fieldPosition="0">
        <references count="1">
          <reference field="20" count="1">
            <x v="159"/>
          </reference>
        </references>
      </pivotArea>
    </format>
    <format dxfId="170">
      <pivotArea collapsedLevelsAreSubtotals="1" fieldPosition="0">
        <references count="1">
          <reference field="20" count="1">
            <x v="159"/>
          </reference>
        </references>
      </pivotArea>
    </format>
    <format dxfId="169">
      <pivotArea dataOnly="0" labelOnly="1" fieldPosition="0">
        <references count="1">
          <reference field="20" count="1">
            <x v="159"/>
          </reference>
        </references>
      </pivotArea>
    </format>
    <format dxfId="168">
      <pivotArea collapsedLevelsAreSubtotals="1" fieldPosition="0">
        <references count="1">
          <reference field="20" count="1">
            <x v="35"/>
          </reference>
        </references>
      </pivotArea>
    </format>
    <format dxfId="167">
      <pivotArea dataOnly="0" labelOnly="1" fieldPosition="0">
        <references count="1">
          <reference field="20" count="1">
            <x v="35"/>
          </reference>
        </references>
      </pivotArea>
    </format>
    <format dxfId="166">
      <pivotArea collapsedLevelsAreSubtotals="1" fieldPosition="0">
        <references count="1">
          <reference field="20" count="1">
            <x v="35"/>
          </reference>
        </references>
      </pivotArea>
    </format>
    <format dxfId="165">
      <pivotArea dataOnly="0" labelOnly="1" fieldPosition="0">
        <references count="1">
          <reference field="20" count="1">
            <x v="35"/>
          </reference>
        </references>
      </pivotArea>
    </format>
    <format dxfId="164">
      <pivotArea collapsedLevelsAreSubtotals="1" fieldPosition="0">
        <references count="1">
          <reference field="20" count="1">
            <x v="89"/>
          </reference>
        </references>
      </pivotArea>
    </format>
    <format dxfId="163">
      <pivotArea dataOnly="0" labelOnly="1" fieldPosition="0">
        <references count="1">
          <reference field="20" count="1">
            <x v="89"/>
          </reference>
        </references>
      </pivotArea>
    </format>
    <format dxfId="162">
      <pivotArea collapsedLevelsAreSubtotals="1" fieldPosition="0">
        <references count="1">
          <reference field="20" count="1">
            <x v="89"/>
          </reference>
        </references>
      </pivotArea>
    </format>
    <format dxfId="161">
      <pivotArea dataOnly="0" labelOnly="1" fieldPosition="0">
        <references count="1">
          <reference field="20" count="1">
            <x v="89"/>
          </reference>
        </references>
      </pivotArea>
    </format>
    <format dxfId="160">
      <pivotArea collapsedLevelsAreSubtotals="1" fieldPosition="0">
        <references count="1">
          <reference field="20" count="1">
            <x v="13"/>
          </reference>
        </references>
      </pivotArea>
    </format>
    <format dxfId="159">
      <pivotArea dataOnly="0" labelOnly="1" fieldPosition="0">
        <references count="1">
          <reference field="20" count="1">
            <x v="13"/>
          </reference>
        </references>
      </pivotArea>
    </format>
    <format dxfId="158">
      <pivotArea collapsedLevelsAreSubtotals="1" fieldPosition="0">
        <references count="1">
          <reference field="20" count="1">
            <x v="13"/>
          </reference>
        </references>
      </pivotArea>
    </format>
    <format dxfId="157">
      <pivotArea dataOnly="0" labelOnly="1" fieldPosition="0">
        <references count="1">
          <reference field="20" count="1">
            <x v="13"/>
          </reference>
        </references>
      </pivotArea>
    </format>
    <format dxfId="156">
      <pivotArea collapsedLevelsAreSubtotals="1" fieldPosition="0">
        <references count="1">
          <reference field="20" count="1">
            <x v="4"/>
          </reference>
        </references>
      </pivotArea>
    </format>
    <format dxfId="155">
      <pivotArea dataOnly="0" labelOnly="1" fieldPosition="0">
        <references count="1">
          <reference field="20" count="1">
            <x v="4"/>
          </reference>
        </references>
      </pivotArea>
    </format>
    <format dxfId="154">
      <pivotArea collapsedLevelsAreSubtotals="1" fieldPosition="0">
        <references count="1">
          <reference field="20" count="1">
            <x v="4"/>
          </reference>
        </references>
      </pivotArea>
    </format>
    <format dxfId="153">
      <pivotArea dataOnly="0" labelOnly="1" fieldPosition="0">
        <references count="1">
          <reference field="20" count="1">
            <x v="4"/>
          </reference>
        </references>
      </pivotArea>
    </format>
    <format dxfId="152">
      <pivotArea collapsedLevelsAreSubtotals="1" fieldPosition="0">
        <references count="1">
          <reference field="20" count="1">
            <x v="85"/>
          </reference>
        </references>
      </pivotArea>
    </format>
    <format dxfId="151">
      <pivotArea dataOnly="0" labelOnly="1" fieldPosition="0">
        <references count="1">
          <reference field="20" count="1">
            <x v="85"/>
          </reference>
        </references>
      </pivotArea>
    </format>
    <format dxfId="150">
      <pivotArea collapsedLevelsAreSubtotals="1" fieldPosition="0">
        <references count="1">
          <reference field="20" count="1">
            <x v="85"/>
          </reference>
        </references>
      </pivotArea>
    </format>
    <format dxfId="149">
      <pivotArea dataOnly="0" labelOnly="1" fieldPosition="0">
        <references count="1">
          <reference field="20" count="1">
            <x v="85"/>
          </reference>
        </references>
      </pivotArea>
    </format>
    <format dxfId="148">
      <pivotArea collapsedLevelsAreSubtotals="1" fieldPosition="0">
        <references count="1">
          <reference field="20" count="1">
            <x v="34"/>
          </reference>
        </references>
      </pivotArea>
    </format>
    <format dxfId="147">
      <pivotArea dataOnly="0" labelOnly="1" fieldPosition="0">
        <references count="1">
          <reference field="20" count="1">
            <x v="34"/>
          </reference>
        </references>
      </pivotArea>
    </format>
    <format dxfId="146">
      <pivotArea collapsedLevelsAreSubtotals="1" fieldPosition="0">
        <references count="1">
          <reference field="20" count="1">
            <x v="34"/>
          </reference>
        </references>
      </pivotArea>
    </format>
    <format dxfId="145">
      <pivotArea dataOnly="0" labelOnly="1" fieldPosition="0">
        <references count="1">
          <reference field="20" count="1">
            <x v="34"/>
          </reference>
        </references>
      </pivotArea>
    </format>
    <format dxfId="144">
      <pivotArea collapsedLevelsAreSubtotals="1" fieldPosition="0">
        <references count="1">
          <reference field="20" count="1">
            <x v="58"/>
          </reference>
        </references>
      </pivotArea>
    </format>
    <format dxfId="143">
      <pivotArea dataOnly="0" labelOnly="1" fieldPosition="0">
        <references count="1">
          <reference field="20" count="1">
            <x v="58"/>
          </reference>
        </references>
      </pivotArea>
    </format>
    <format dxfId="142">
      <pivotArea collapsedLevelsAreSubtotals="1" fieldPosition="0">
        <references count="1">
          <reference field="20" count="1">
            <x v="58"/>
          </reference>
        </references>
      </pivotArea>
    </format>
    <format dxfId="141">
      <pivotArea dataOnly="0" labelOnly="1" fieldPosition="0">
        <references count="1">
          <reference field="20" count="1">
            <x v="58"/>
          </reference>
        </references>
      </pivotArea>
    </format>
    <format dxfId="140">
      <pivotArea collapsedLevelsAreSubtotals="1" fieldPosition="0">
        <references count="1">
          <reference field="20" count="1">
            <x v="59"/>
          </reference>
        </references>
      </pivotArea>
    </format>
    <format dxfId="139">
      <pivotArea dataOnly="0" labelOnly="1" fieldPosition="0">
        <references count="1">
          <reference field="20" count="1">
            <x v="59"/>
          </reference>
        </references>
      </pivotArea>
    </format>
    <format dxfId="138">
      <pivotArea collapsedLevelsAreSubtotals="1" fieldPosition="0">
        <references count="1">
          <reference field="20" count="1">
            <x v="59"/>
          </reference>
        </references>
      </pivotArea>
    </format>
    <format dxfId="137">
      <pivotArea dataOnly="0" labelOnly="1" fieldPosition="0">
        <references count="1">
          <reference field="20" count="1">
            <x v="59"/>
          </reference>
        </references>
      </pivotArea>
    </format>
    <format dxfId="136">
      <pivotArea collapsedLevelsAreSubtotals="1" fieldPosition="0">
        <references count="1">
          <reference field="20" count="1">
            <x v="8"/>
          </reference>
        </references>
      </pivotArea>
    </format>
    <format dxfId="135">
      <pivotArea dataOnly="0" labelOnly="1" fieldPosition="0">
        <references count="1">
          <reference field="20" count="1">
            <x v="8"/>
          </reference>
        </references>
      </pivotArea>
    </format>
    <format dxfId="134">
      <pivotArea collapsedLevelsAreSubtotals="1" fieldPosition="0">
        <references count="1">
          <reference field="20" count="1">
            <x v="8"/>
          </reference>
        </references>
      </pivotArea>
    </format>
    <format dxfId="133">
      <pivotArea dataOnly="0" labelOnly="1" fieldPosition="0">
        <references count="1">
          <reference field="20" count="1">
            <x v="8"/>
          </reference>
        </references>
      </pivotArea>
    </format>
    <format dxfId="132">
      <pivotArea collapsedLevelsAreSubtotals="1" fieldPosition="0">
        <references count="1">
          <reference field="20" count="1">
            <x v="82"/>
          </reference>
        </references>
      </pivotArea>
    </format>
    <format dxfId="131">
      <pivotArea dataOnly="0" labelOnly="1" fieldPosition="0">
        <references count="1">
          <reference field="20" count="1">
            <x v="82"/>
          </reference>
        </references>
      </pivotArea>
    </format>
    <format dxfId="130">
      <pivotArea collapsedLevelsAreSubtotals="1" fieldPosition="0">
        <references count="1">
          <reference field="20" count="1">
            <x v="82"/>
          </reference>
        </references>
      </pivotArea>
    </format>
    <format dxfId="129">
      <pivotArea dataOnly="0" labelOnly="1" fieldPosition="0">
        <references count="1">
          <reference field="20" count="1">
            <x v="82"/>
          </reference>
        </references>
      </pivotArea>
    </format>
    <format dxfId="128">
      <pivotArea collapsedLevelsAreSubtotals="1" fieldPosition="0">
        <references count="1">
          <reference field="20" count="1">
            <x v="16"/>
          </reference>
        </references>
      </pivotArea>
    </format>
    <format dxfId="127">
      <pivotArea dataOnly="0" labelOnly="1" fieldPosition="0">
        <references count="1">
          <reference field="20" count="1">
            <x v="16"/>
          </reference>
        </references>
      </pivotArea>
    </format>
    <format dxfId="126">
      <pivotArea collapsedLevelsAreSubtotals="1" fieldPosition="0">
        <references count="1">
          <reference field="20" count="1">
            <x v="16"/>
          </reference>
        </references>
      </pivotArea>
    </format>
    <format dxfId="125">
      <pivotArea dataOnly="0" labelOnly="1" fieldPosition="0">
        <references count="1">
          <reference field="20" count="1">
            <x v="16"/>
          </reference>
        </references>
      </pivotArea>
    </format>
    <format dxfId="124">
      <pivotArea collapsedLevelsAreSubtotals="1" fieldPosition="0">
        <references count="1">
          <reference field="20" count="1">
            <x v="78"/>
          </reference>
        </references>
      </pivotArea>
    </format>
    <format dxfId="123">
      <pivotArea dataOnly="0" labelOnly="1" fieldPosition="0">
        <references count="1">
          <reference field="20" count="1">
            <x v="78"/>
          </reference>
        </references>
      </pivotArea>
    </format>
    <format dxfId="122">
      <pivotArea collapsedLevelsAreSubtotals="1" fieldPosition="0">
        <references count="1">
          <reference field="20" count="1">
            <x v="78"/>
          </reference>
        </references>
      </pivotArea>
    </format>
    <format dxfId="121">
      <pivotArea dataOnly="0" labelOnly="1" fieldPosition="0">
        <references count="1">
          <reference field="20" count="1">
            <x v="78"/>
          </reference>
        </references>
      </pivotArea>
    </format>
    <format dxfId="120">
      <pivotArea collapsedLevelsAreSubtotals="1" fieldPosition="0">
        <references count="1">
          <reference field="20" count="1">
            <x v="56"/>
          </reference>
        </references>
      </pivotArea>
    </format>
    <format dxfId="119">
      <pivotArea dataOnly="0" labelOnly="1" fieldPosition="0">
        <references count="1">
          <reference field="20" count="1">
            <x v="56"/>
          </reference>
        </references>
      </pivotArea>
    </format>
    <format dxfId="118">
      <pivotArea collapsedLevelsAreSubtotals="1" fieldPosition="0">
        <references count="1">
          <reference field="20" count="1">
            <x v="56"/>
          </reference>
        </references>
      </pivotArea>
    </format>
    <format dxfId="117">
      <pivotArea dataOnly="0" labelOnly="1" fieldPosition="0">
        <references count="1">
          <reference field="20" count="1">
            <x v="56"/>
          </reference>
        </references>
      </pivotArea>
    </format>
    <format dxfId="116">
      <pivotArea collapsedLevelsAreSubtotals="1" fieldPosition="0">
        <references count="1">
          <reference field="20" count="1">
            <x v="38"/>
          </reference>
        </references>
      </pivotArea>
    </format>
    <format dxfId="115">
      <pivotArea dataOnly="0" labelOnly="1" fieldPosition="0">
        <references count="1">
          <reference field="20" count="1">
            <x v="38"/>
          </reference>
        </references>
      </pivotArea>
    </format>
    <format dxfId="114">
      <pivotArea collapsedLevelsAreSubtotals="1" fieldPosition="0">
        <references count="1">
          <reference field="20" count="1">
            <x v="38"/>
          </reference>
        </references>
      </pivotArea>
    </format>
    <format dxfId="113">
      <pivotArea dataOnly="0" labelOnly="1" fieldPosition="0">
        <references count="1">
          <reference field="20" count="1">
            <x v="38"/>
          </reference>
        </references>
      </pivotArea>
    </format>
    <format dxfId="112">
      <pivotArea collapsedLevelsAreSubtotals="1" fieldPosition="0">
        <references count="1">
          <reference field="20" count="1">
            <x v="75"/>
          </reference>
        </references>
      </pivotArea>
    </format>
    <format dxfId="111">
      <pivotArea dataOnly="0" labelOnly="1" fieldPosition="0">
        <references count="1">
          <reference field="20" count="1">
            <x v="75"/>
          </reference>
        </references>
      </pivotArea>
    </format>
    <format dxfId="110">
      <pivotArea collapsedLevelsAreSubtotals="1" fieldPosition="0">
        <references count="1">
          <reference field="20" count="1">
            <x v="75"/>
          </reference>
        </references>
      </pivotArea>
    </format>
    <format dxfId="109">
      <pivotArea dataOnly="0" labelOnly="1" fieldPosition="0">
        <references count="1">
          <reference field="20" count="1">
            <x v="75"/>
          </reference>
        </references>
      </pivotArea>
    </format>
    <format dxfId="108">
      <pivotArea collapsedLevelsAreSubtotals="1" fieldPosition="0">
        <references count="1">
          <reference field="20" count="1">
            <x v="105"/>
          </reference>
        </references>
      </pivotArea>
    </format>
    <format dxfId="107">
      <pivotArea dataOnly="0" labelOnly="1" fieldPosition="0">
        <references count="1">
          <reference field="20" count="1">
            <x v="105"/>
          </reference>
        </references>
      </pivotArea>
    </format>
    <format dxfId="106">
      <pivotArea collapsedLevelsAreSubtotals="1" fieldPosition="0">
        <references count="1">
          <reference field="20" count="1">
            <x v="105"/>
          </reference>
        </references>
      </pivotArea>
    </format>
    <format dxfId="105">
      <pivotArea dataOnly="0" labelOnly="1" fieldPosition="0">
        <references count="1">
          <reference field="20" count="1">
            <x v="105"/>
          </reference>
        </references>
      </pivotArea>
    </format>
    <format dxfId="104">
      <pivotArea collapsedLevelsAreSubtotals="1" fieldPosition="0">
        <references count="1">
          <reference field="20" count="1">
            <x v="86"/>
          </reference>
        </references>
      </pivotArea>
    </format>
    <format dxfId="103">
      <pivotArea dataOnly="0" labelOnly="1" fieldPosition="0">
        <references count="1">
          <reference field="20" count="1">
            <x v="86"/>
          </reference>
        </references>
      </pivotArea>
    </format>
    <format dxfId="102">
      <pivotArea collapsedLevelsAreSubtotals="1" fieldPosition="0">
        <references count="1">
          <reference field="20" count="1">
            <x v="86"/>
          </reference>
        </references>
      </pivotArea>
    </format>
    <format dxfId="101">
      <pivotArea dataOnly="0" labelOnly="1" fieldPosition="0">
        <references count="1">
          <reference field="20" count="1">
            <x v="86"/>
          </reference>
        </references>
      </pivotArea>
    </format>
    <format dxfId="100">
      <pivotArea collapsedLevelsAreSubtotals="1" fieldPosition="0">
        <references count="1">
          <reference field="20" count="1">
            <x v="54"/>
          </reference>
        </references>
      </pivotArea>
    </format>
    <format dxfId="99">
      <pivotArea dataOnly="0" labelOnly="1" fieldPosition="0">
        <references count="1">
          <reference field="20" count="1">
            <x v="54"/>
          </reference>
        </references>
      </pivotArea>
    </format>
    <format dxfId="98">
      <pivotArea collapsedLevelsAreSubtotals="1" fieldPosition="0">
        <references count="1">
          <reference field="20" count="1">
            <x v="54"/>
          </reference>
        </references>
      </pivotArea>
    </format>
    <format dxfId="97">
      <pivotArea dataOnly="0" labelOnly="1" fieldPosition="0">
        <references count="1">
          <reference field="20" count="1">
            <x v="54"/>
          </reference>
        </references>
      </pivotArea>
    </format>
    <format dxfId="96">
      <pivotArea collapsedLevelsAreSubtotals="1" fieldPosition="0">
        <references count="1">
          <reference field="20" count="1">
            <x v="108"/>
          </reference>
        </references>
      </pivotArea>
    </format>
    <format dxfId="95">
      <pivotArea dataOnly="0" labelOnly="1" fieldPosition="0">
        <references count="1">
          <reference field="20" count="1">
            <x v="108"/>
          </reference>
        </references>
      </pivotArea>
    </format>
    <format dxfId="94">
      <pivotArea collapsedLevelsAreSubtotals="1" fieldPosition="0">
        <references count="1">
          <reference field="20" count="1">
            <x v="108"/>
          </reference>
        </references>
      </pivotArea>
    </format>
    <format dxfId="93">
      <pivotArea dataOnly="0" labelOnly="1" fieldPosition="0">
        <references count="1">
          <reference field="20" count="1">
            <x v="108"/>
          </reference>
        </references>
      </pivotArea>
    </format>
    <format dxfId="92">
      <pivotArea collapsedLevelsAreSubtotals="1" fieldPosition="0">
        <references count="1">
          <reference field="20" count="1">
            <x v="113"/>
          </reference>
        </references>
      </pivotArea>
    </format>
    <format dxfId="91">
      <pivotArea dataOnly="0" labelOnly="1" fieldPosition="0">
        <references count="1">
          <reference field="20" count="1">
            <x v="113"/>
          </reference>
        </references>
      </pivotArea>
    </format>
    <format dxfId="90">
      <pivotArea collapsedLevelsAreSubtotals="1" fieldPosition="0">
        <references count="1">
          <reference field="20" count="1">
            <x v="113"/>
          </reference>
        </references>
      </pivotArea>
    </format>
    <format dxfId="89">
      <pivotArea dataOnly="0" labelOnly="1" fieldPosition="0">
        <references count="1">
          <reference field="20" count="1">
            <x v="113"/>
          </reference>
        </references>
      </pivotArea>
    </format>
    <format dxfId="88">
      <pivotArea collapsedLevelsAreSubtotals="1" fieldPosition="0">
        <references count="1">
          <reference field="20" count="1">
            <x v="104"/>
          </reference>
        </references>
      </pivotArea>
    </format>
    <format dxfId="87">
      <pivotArea dataOnly="0" labelOnly="1" fieldPosition="0">
        <references count="1">
          <reference field="20" count="1">
            <x v="104"/>
          </reference>
        </references>
      </pivotArea>
    </format>
    <format dxfId="86">
      <pivotArea collapsedLevelsAreSubtotals="1" fieldPosition="0">
        <references count="1">
          <reference field="20" count="1">
            <x v="104"/>
          </reference>
        </references>
      </pivotArea>
    </format>
    <format dxfId="85">
      <pivotArea dataOnly="0" labelOnly="1" fieldPosition="0">
        <references count="1">
          <reference field="20" count="1">
            <x v="104"/>
          </reference>
        </references>
      </pivotArea>
    </format>
    <format dxfId="84">
      <pivotArea collapsedLevelsAreSubtotals="1" fieldPosition="0">
        <references count="1">
          <reference field="20" count="1">
            <x v="186"/>
          </reference>
        </references>
      </pivotArea>
    </format>
    <format dxfId="83">
      <pivotArea dataOnly="0" labelOnly="1" fieldPosition="0">
        <references count="1">
          <reference field="20" count="1">
            <x v="186"/>
          </reference>
        </references>
      </pivotArea>
    </format>
    <format dxfId="82">
      <pivotArea collapsedLevelsAreSubtotals="1" fieldPosition="0">
        <references count="1">
          <reference field="20" count="1">
            <x v="186"/>
          </reference>
        </references>
      </pivotArea>
    </format>
    <format dxfId="81">
      <pivotArea dataOnly="0" labelOnly="1" fieldPosition="0">
        <references count="1">
          <reference field="20" count="1">
            <x v="186"/>
          </reference>
        </references>
      </pivotArea>
    </format>
    <format dxfId="80">
      <pivotArea collapsedLevelsAreSubtotals="1" fieldPosition="0">
        <references count="1">
          <reference field="20" count="1">
            <x v="123"/>
          </reference>
        </references>
      </pivotArea>
    </format>
    <format dxfId="79">
      <pivotArea dataOnly="0" labelOnly="1" fieldPosition="0">
        <references count="1">
          <reference field="20" count="1">
            <x v="123"/>
          </reference>
        </references>
      </pivotArea>
    </format>
    <format dxfId="78">
      <pivotArea collapsedLevelsAreSubtotals="1" fieldPosition="0">
        <references count="1">
          <reference field="20" count="1">
            <x v="123"/>
          </reference>
        </references>
      </pivotArea>
    </format>
    <format dxfId="77">
      <pivotArea dataOnly="0" labelOnly="1" fieldPosition="0">
        <references count="1">
          <reference field="20" count="1">
            <x v="123"/>
          </reference>
        </references>
      </pivotArea>
    </format>
    <format dxfId="76">
      <pivotArea collapsedLevelsAreSubtotals="1" fieldPosition="0">
        <references count="1">
          <reference field="20" count="1">
            <x v="41"/>
          </reference>
        </references>
      </pivotArea>
    </format>
    <format dxfId="75">
      <pivotArea dataOnly="0" labelOnly="1" fieldPosition="0">
        <references count="1">
          <reference field="20" count="1">
            <x v="41"/>
          </reference>
        </references>
      </pivotArea>
    </format>
    <format dxfId="74">
      <pivotArea collapsedLevelsAreSubtotals="1" fieldPosition="0">
        <references count="1">
          <reference field="20" count="1">
            <x v="41"/>
          </reference>
        </references>
      </pivotArea>
    </format>
    <format dxfId="73">
      <pivotArea dataOnly="0" labelOnly="1" fieldPosition="0">
        <references count="1">
          <reference field="20" count="1">
            <x v="41"/>
          </reference>
        </references>
      </pivotArea>
    </format>
    <format dxfId="72">
      <pivotArea collapsedLevelsAreSubtotals="1" fieldPosition="0">
        <references count="1">
          <reference field="20" count="1">
            <x v="133"/>
          </reference>
        </references>
      </pivotArea>
    </format>
    <format dxfId="71">
      <pivotArea dataOnly="0" labelOnly="1" fieldPosition="0">
        <references count="1">
          <reference field="20" count="1">
            <x v="133"/>
          </reference>
        </references>
      </pivotArea>
    </format>
    <format dxfId="70">
      <pivotArea collapsedLevelsAreSubtotals="1" fieldPosition="0">
        <references count="1">
          <reference field="20" count="1">
            <x v="133"/>
          </reference>
        </references>
      </pivotArea>
    </format>
    <format dxfId="69">
      <pivotArea dataOnly="0" labelOnly="1" fieldPosition="0">
        <references count="1">
          <reference field="20" count="1">
            <x v="133"/>
          </reference>
        </references>
      </pivotArea>
    </format>
    <format dxfId="68">
      <pivotArea collapsedLevelsAreSubtotals="1" fieldPosition="0">
        <references count="1">
          <reference field="20" count="1">
            <x v="6"/>
          </reference>
        </references>
      </pivotArea>
    </format>
    <format dxfId="67">
      <pivotArea dataOnly="0" labelOnly="1" fieldPosition="0">
        <references count="1">
          <reference field="20" count="1">
            <x v="6"/>
          </reference>
        </references>
      </pivotArea>
    </format>
    <format dxfId="66">
      <pivotArea collapsedLevelsAreSubtotals="1" fieldPosition="0">
        <references count="1">
          <reference field="20" count="1">
            <x v="6"/>
          </reference>
        </references>
      </pivotArea>
    </format>
    <format dxfId="65">
      <pivotArea dataOnly="0" labelOnly="1" fieldPosition="0">
        <references count="1">
          <reference field="20" count="1">
            <x v="6"/>
          </reference>
        </references>
      </pivotArea>
    </format>
    <format dxfId="64">
      <pivotArea collapsedLevelsAreSubtotals="1" fieldPosition="0">
        <references count="1">
          <reference field="20" count="1">
            <x v="149"/>
          </reference>
        </references>
      </pivotArea>
    </format>
    <format dxfId="63">
      <pivotArea dataOnly="0" labelOnly="1" fieldPosition="0">
        <references count="1">
          <reference field="20" count="1">
            <x v="149"/>
          </reference>
        </references>
      </pivotArea>
    </format>
    <format dxfId="62">
      <pivotArea collapsedLevelsAreSubtotals="1" fieldPosition="0">
        <references count="1">
          <reference field="20" count="1">
            <x v="149"/>
          </reference>
        </references>
      </pivotArea>
    </format>
    <format dxfId="61">
      <pivotArea dataOnly="0" labelOnly="1" fieldPosition="0">
        <references count="1">
          <reference field="20" count="1">
            <x v="149"/>
          </reference>
        </references>
      </pivotArea>
    </format>
    <format dxfId="60">
      <pivotArea collapsedLevelsAreSubtotals="1" fieldPosition="0">
        <references count="1">
          <reference field="20" count="1">
            <x v="169"/>
          </reference>
        </references>
      </pivotArea>
    </format>
    <format dxfId="59">
      <pivotArea dataOnly="0" labelOnly="1" fieldPosition="0">
        <references count="1">
          <reference field="20" count="1">
            <x v="169"/>
          </reference>
        </references>
      </pivotArea>
    </format>
    <format dxfId="58">
      <pivotArea collapsedLevelsAreSubtotals="1" fieldPosition="0">
        <references count="1">
          <reference field="20" count="1">
            <x v="169"/>
          </reference>
        </references>
      </pivotArea>
    </format>
    <format dxfId="57">
      <pivotArea dataOnly="0" labelOnly="1" fieldPosition="0">
        <references count="1">
          <reference field="20" count="1">
            <x v="169"/>
          </reference>
        </references>
      </pivotArea>
    </format>
    <format dxfId="56">
      <pivotArea collapsedLevelsAreSubtotals="1" fieldPosition="0">
        <references count="1">
          <reference field="20" count="1">
            <x v="15"/>
          </reference>
        </references>
      </pivotArea>
    </format>
    <format dxfId="55">
      <pivotArea dataOnly="0" labelOnly="1" fieldPosition="0">
        <references count="1">
          <reference field="20" count="1">
            <x v="15"/>
          </reference>
        </references>
      </pivotArea>
    </format>
    <format dxfId="54">
      <pivotArea collapsedLevelsAreSubtotals="1" fieldPosition="0">
        <references count="1">
          <reference field="20" count="1">
            <x v="15"/>
          </reference>
        </references>
      </pivotArea>
    </format>
    <format dxfId="53">
      <pivotArea dataOnly="0" labelOnly="1" fieldPosition="0">
        <references count="1">
          <reference field="20" count="1">
            <x v="15"/>
          </reference>
        </references>
      </pivotArea>
    </format>
    <format dxfId="52">
      <pivotArea collapsedLevelsAreSubtotals="1" fieldPosition="0">
        <references count="1">
          <reference field="20" count="1">
            <x v="173"/>
          </reference>
        </references>
      </pivotArea>
    </format>
    <format dxfId="51">
      <pivotArea dataOnly="0" labelOnly="1" fieldPosition="0">
        <references count="1">
          <reference field="20" count="1">
            <x v="173"/>
          </reference>
        </references>
      </pivotArea>
    </format>
    <format dxfId="50">
      <pivotArea collapsedLevelsAreSubtotals="1" fieldPosition="0">
        <references count="1">
          <reference field="20" count="1">
            <x v="173"/>
          </reference>
        </references>
      </pivotArea>
    </format>
    <format dxfId="49">
      <pivotArea dataOnly="0" labelOnly="1" fieldPosition="0">
        <references count="1">
          <reference field="20" count="1">
            <x v="173"/>
          </reference>
        </references>
      </pivotArea>
    </format>
    <format dxfId="48">
      <pivotArea collapsedLevelsAreSubtotals="1" fieldPosition="0">
        <references count="1">
          <reference field="20" count="1">
            <x v="24"/>
          </reference>
        </references>
      </pivotArea>
    </format>
    <format dxfId="47">
      <pivotArea dataOnly="0" labelOnly="1" fieldPosition="0">
        <references count="1">
          <reference field="20" count="1">
            <x v="24"/>
          </reference>
        </references>
      </pivotArea>
    </format>
    <format dxfId="46">
      <pivotArea collapsedLevelsAreSubtotals="1" fieldPosition="0">
        <references count="1">
          <reference field="20" count="1">
            <x v="24"/>
          </reference>
        </references>
      </pivotArea>
    </format>
    <format dxfId="45">
      <pivotArea dataOnly="0" labelOnly="1" fieldPosition="0">
        <references count="1">
          <reference field="20" count="1">
            <x v="24"/>
          </reference>
        </references>
      </pivotArea>
    </format>
    <format dxfId="44">
      <pivotArea collapsedLevelsAreSubtotals="1" fieldPosition="0">
        <references count="1">
          <reference field="20" count="1">
            <x v="72"/>
          </reference>
        </references>
      </pivotArea>
    </format>
    <format dxfId="43">
      <pivotArea dataOnly="0" labelOnly="1" fieldPosition="0">
        <references count="1">
          <reference field="20" count="1">
            <x v="72"/>
          </reference>
        </references>
      </pivotArea>
    </format>
    <format dxfId="42">
      <pivotArea collapsedLevelsAreSubtotals="1" fieldPosition="0">
        <references count="1">
          <reference field="20" count="1">
            <x v="72"/>
          </reference>
        </references>
      </pivotArea>
    </format>
    <format dxfId="41">
      <pivotArea dataOnly="0" labelOnly="1" fieldPosition="0">
        <references count="1">
          <reference field="20" count="1">
            <x v="72"/>
          </reference>
        </references>
      </pivotArea>
    </format>
    <format dxfId="40">
      <pivotArea collapsedLevelsAreSubtotals="1" fieldPosition="0">
        <references count="1">
          <reference field="20" count="1">
            <x v="9"/>
          </reference>
        </references>
      </pivotArea>
    </format>
    <format dxfId="39">
      <pivotArea dataOnly="0" labelOnly="1" fieldPosition="0">
        <references count="1">
          <reference field="20" count="1">
            <x v="9"/>
          </reference>
        </references>
      </pivotArea>
    </format>
    <format dxfId="38">
      <pivotArea collapsedLevelsAreSubtotals="1" fieldPosition="0">
        <references count="1">
          <reference field="20" count="1">
            <x v="9"/>
          </reference>
        </references>
      </pivotArea>
    </format>
    <format dxfId="37">
      <pivotArea dataOnly="0" labelOnly="1" fieldPosition="0">
        <references count="1">
          <reference field="20" count="1">
            <x v="9"/>
          </reference>
        </references>
      </pivotArea>
    </format>
    <format dxfId="36">
      <pivotArea collapsedLevelsAreSubtotals="1" fieldPosition="0">
        <references count="1">
          <reference field="20" count="1">
            <x v="70"/>
          </reference>
        </references>
      </pivotArea>
    </format>
    <format dxfId="35">
      <pivotArea dataOnly="0" labelOnly="1" fieldPosition="0">
        <references count="1">
          <reference field="20" count="1">
            <x v="70"/>
          </reference>
        </references>
      </pivotArea>
    </format>
    <format dxfId="34">
      <pivotArea collapsedLevelsAreSubtotals="1" fieldPosition="0">
        <references count="1">
          <reference field="20" count="1">
            <x v="70"/>
          </reference>
        </references>
      </pivotArea>
    </format>
    <format dxfId="33">
      <pivotArea dataOnly="0" labelOnly="1" fieldPosition="0">
        <references count="1">
          <reference field="20" count="1">
            <x v="70"/>
          </reference>
        </references>
      </pivotArea>
    </format>
    <format dxfId="32">
      <pivotArea collapsedLevelsAreSubtotals="1" fieldPosition="0">
        <references count="1">
          <reference field="20" count="1">
            <x v="95"/>
          </reference>
        </references>
      </pivotArea>
    </format>
    <format dxfId="31">
      <pivotArea dataOnly="0" labelOnly="1" fieldPosition="0">
        <references count="1">
          <reference field="20" count="1">
            <x v="95"/>
          </reference>
        </references>
      </pivotArea>
    </format>
    <format dxfId="30">
      <pivotArea collapsedLevelsAreSubtotals="1" fieldPosition="0">
        <references count="1">
          <reference field="20" count="1">
            <x v="95"/>
          </reference>
        </references>
      </pivotArea>
    </format>
    <format dxfId="29">
      <pivotArea dataOnly="0" labelOnly="1" fieldPosition="0">
        <references count="1">
          <reference field="20" count="1">
            <x v="95"/>
          </reference>
        </references>
      </pivotArea>
    </format>
    <format dxfId="28">
      <pivotArea collapsedLevelsAreSubtotals="1" fieldPosition="0">
        <references count="1">
          <reference field="20" count="1">
            <x v="73"/>
          </reference>
        </references>
      </pivotArea>
    </format>
    <format dxfId="27">
      <pivotArea dataOnly="0" labelOnly="1" fieldPosition="0">
        <references count="1">
          <reference field="20" count="1">
            <x v="73"/>
          </reference>
        </references>
      </pivotArea>
    </format>
    <format dxfId="26">
      <pivotArea collapsedLevelsAreSubtotals="1" fieldPosition="0">
        <references count="1">
          <reference field="20" count="1">
            <x v="73"/>
          </reference>
        </references>
      </pivotArea>
    </format>
    <format dxfId="25">
      <pivotArea dataOnly="0" labelOnly="1" fieldPosition="0">
        <references count="1">
          <reference field="20" count="1">
            <x v="73"/>
          </reference>
        </references>
      </pivotArea>
    </format>
    <format dxfId="24">
      <pivotArea collapsedLevelsAreSubtotals="1" fieldPosition="0">
        <references count="1">
          <reference field="20" count="1">
            <x v="60"/>
          </reference>
        </references>
      </pivotArea>
    </format>
    <format dxfId="23">
      <pivotArea dataOnly="0" labelOnly="1" fieldPosition="0">
        <references count="1">
          <reference field="20" count="1">
            <x v="60"/>
          </reference>
        </references>
      </pivotArea>
    </format>
    <format dxfId="22">
      <pivotArea collapsedLevelsAreSubtotals="1" fieldPosition="0">
        <references count="1">
          <reference field="20" count="1">
            <x v="60"/>
          </reference>
        </references>
      </pivotArea>
    </format>
    <format dxfId="21">
      <pivotArea dataOnly="0" labelOnly="1" fieldPosition="0">
        <references count="1">
          <reference field="20" count="1">
            <x v="60"/>
          </reference>
        </references>
      </pivotArea>
    </format>
    <format dxfId="20">
      <pivotArea grandRow="1" outline="0" collapsedLevelsAreSubtotals="1" fieldPosition="0"/>
    </format>
    <format dxfId="19">
      <pivotArea dataOnly="0" labelOnly="1" grandRow="1" outline="0" fieldPosition="0"/>
    </format>
    <format dxfId="18">
      <pivotArea grandRow="1" outline="0" collapsedLevelsAreSubtotals="1" fieldPosition="0"/>
    </format>
    <format dxfId="17">
      <pivotArea dataOnly="0" labelOnly="1" grandRow="1" outline="0" fieldPosition="0"/>
    </format>
    <format dxfId="16">
      <pivotArea grandRow="1" outline="0" collapsedLevelsAreSubtotals="1" fieldPosition="0"/>
    </format>
    <format dxfId="15">
      <pivotArea dataOnly="0" labelOnly="1" grandRow="1" outline="0" fieldPosition="0"/>
    </format>
    <format>
      <pivotArea type="all" dataOnly="0" outline="0" fieldPosition="0"/>
    </format>
    <format>
      <pivotArea type="origin" dataOnly="0" labelOnly="1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grandRow="1" outline="0" fieldPosition="0"/>
    </format>
    <format dxfId="14">
      <pivotArea type="origin" dataOnly="0" labelOnly="1" outline="0" fieldPosition="0"/>
    </format>
    <format dxfId="13">
      <pivotArea field="36" type="button" dataOnly="0" labelOnly="1" outline="0" axis="axisCol" fieldPosition="0"/>
    </format>
    <format dxfId="12">
      <pivotArea type="topRight" dataOnly="0" labelOnly="1" outline="0" fieldPosition="0"/>
    </format>
    <format dxfId="11">
      <pivotArea type="origin" dataOnly="0" labelOnly="1" outline="0" fieldPosition="0"/>
    </format>
    <format dxfId="10">
      <pivotArea field="36" type="button" dataOnly="0" labelOnly="1" outline="0" axis="axisCol" fieldPosition="0"/>
    </format>
    <format dxfId="9">
      <pivotArea type="topRight" dataOnly="0" labelOnly="1" outline="0" fieldPosition="0"/>
    </format>
    <format dxfId="8">
      <pivotArea type="origin" dataOnly="0" labelOnly="1" outline="0" fieldPosition="0"/>
    </format>
    <format dxfId="7">
      <pivotArea field="36" type="button" dataOnly="0" labelOnly="1" outline="0" axis="axisCol" fieldPosition="0"/>
    </format>
    <format dxfId="6">
      <pivotArea type="topRight" dataOnly="0" labelOnly="1" outline="0" fieldPosition="0"/>
    </format>
    <format dxfId="5">
      <pivotArea grandRow="1" outline="0" collapsedLevelsAreSubtotals="1" fieldPosition="0"/>
    </format>
    <format dxfId="4">
      <pivotArea dataOnly="0" labelOnly="1" grandRow="1" outline="0" fieldPosition="0"/>
    </format>
    <format dxfId="3">
      <pivotArea grandRow="1" outline="0" collapsedLevelsAreSubtotals="1" fieldPosition="0"/>
    </format>
    <format dxfId="2">
      <pivotArea dataOnly="0" labelOnly="1" grandRow="1" outline="0" fieldPosition="0"/>
    </format>
    <format dxfId="1">
      <pivotArea grandRow="1" outline="0" collapsedLevelsAreSubtotals="1" fieldPosition="0"/>
    </format>
    <format dxfId="0">
      <pivotArea dataOnly="0" labelOnly="1" grandRow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type="origin" dataOnly="0" labelOnly="1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field="20" type="button" dataOnly="0" labelOnly="1" outline="0" axis="axisRow" fieldPosition="0"/>
    </format>
    <format>
      <pivotArea dataOnly="0" labelOnly="1" fieldPosition="0">
        <references count="1">
          <reference field="20" count="50">
            <x v="1"/>
            <x v="2"/>
            <x v="3"/>
            <x v="5"/>
            <x v="7"/>
            <x v="11"/>
            <x v="13"/>
            <x v="14"/>
            <x v="17"/>
            <x v="19"/>
            <x v="20"/>
            <x v="22"/>
            <x v="23"/>
            <x v="25"/>
            <x v="27"/>
            <x v="30"/>
            <x v="31"/>
            <x v="32"/>
            <x v="33"/>
            <x v="39"/>
            <x v="40"/>
            <x v="42"/>
            <x v="43"/>
            <x v="48"/>
            <x v="50"/>
            <x v="55"/>
            <x v="57"/>
            <x v="62"/>
            <x v="64"/>
            <x v="65"/>
            <x v="67"/>
            <x v="74"/>
            <x v="83"/>
            <x v="84"/>
            <x v="90"/>
            <x v="91"/>
            <x v="93"/>
            <x v="102"/>
            <x v="120"/>
            <x v="151"/>
            <x v="152"/>
            <x v="154"/>
            <x v="157"/>
            <x v="159"/>
            <x v="160"/>
            <x v="171"/>
            <x v="174"/>
            <x v="177"/>
            <x v="179"/>
            <x v="181"/>
          </reference>
        </references>
      </pivotArea>
    </format>
    <format>
      <pivotArea dataOnly="0" labelOnly="1" fieldPosition="0">
        <references count="1">
          <reference field="20" count="37">
            <x v="4"/>
            <x v="6"/>
            <x v="8"/>
            <x v="9"/>
            <x v="15"/>
            <x v="16"/>
            <x v="24"/>
            <x v="34"/>
            <x v="35"/>
            <x v="38"/>
            <x v="41"/>
            <x v="54"/>
            <x v="56"/>
            <x v="58"/>
            <x v="59"/>
            <x v="60"/>
            <x v="70"/>
            <x v="72"/>
            <x v="73"/>
            <x v="75"/>
            <x v="78"/>
            <x v="82"/>
            <x v="85"/>
            <x v="86"/>
            <x v="88"/>
            <x v="89"/>
            <x v="95"/>
            <x v="104"/>
            <x v="105"/>
            <x v="108"/>
            <x v="113"/>
            <x v="123"/>
            <x v="133"/>
            <x v="149"/>
            <x v="169"/>
            <x v="173"/>
            <x v="186"/>
          </reference>
        </references>
      </pivotArea>
    </format>
    <format>
      <pivotArea dataOnly="0" labelOnly="1" grandRow="1" outline="0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A000000}" name="Tarifa_Data_Emissao" cacheId="41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P122:Q126" firstHeaderRow="1" firstDataRow="1" firstDataCol="1" rowPageCount="1" colPageCount="1"/>
  <pivotFields count="48">
    <pivotField showAll="0"/>
    <pivotField showAll="0"/>
    <pivotField showAll="0"/>
    <pivotField showAll="0">
      <items count="516">
        <item x="514"/>
        <item x="0"/>
        <item x="1"/>
        <item x="2"/>
        <item x="3"/>
        <item x="4"/>
        <item x="5"/>
        <item x="8"/>
        <item x="9"/>
        <item x="6"/>
        <item x="21"/>
        <item x="12"/>
        <item x="10"/>
        <item x="7"/>
        <item x="15"/>
        <item x="16"/>
        <item x="13"/>
        <item x="37"/>
        <item x="14"/>
        <item x="17"/>
        <item x="11"/>
        <item x="32"/>
        <item x="26"/>
        <item x="27"/>
        <item x="36"/>
        <item x="33"/>
        <item x="18"/>
        <item x="20"/>
        <item x="19"/>
        <item x="47"/>
        <item x="38"/>
        <item x="48"/>
        <item x="45"/>
        <item x="28"/>
        <item x="41"/>
        <item x="46"/>
        <item x="25"/>
        <item x="34"/>
        <item x="22"/>
        <item x="23"/>
        <item x="24"/>
        <item x="39"/>
        <item x="43"/>
        <item x="64"/>
        <item x="77"/>
        <item x="79"/>
        <item x="40"/>
        <item x="42"/>
        <item x="84"/>
        <item x="83"/>
        <item x="35"/>
        <item x="91"/>
        <item x="52"/>
        <item x="73"/>
        <item x="76"/>
        <item x="74"/>
        <item x="78"/>
        <item x="87"/>
        <item x="51"/>
        <item x="54"/>
        <item x="57"/>
        <item x="58"/>
        <item x="90"/>
        <item x="55"/>
        <item x="59"/>
        <item x="60"/>
        <item x="61"/>
        <item x="82"/>
        <item x="100"/>
        <item x="63"/>
        <item x="67"/>
        <item x="68"/>
        <item x="69"/>
        <item x="81"/>
        <item x="88"/>
        <item x="97"/>
        <item x="75"/>
        <item x="96"/>
        <item x="102"/>
        <item x="49"/>
        <item x="53"/>
        <item x="66"/>
        <item x="71"/>
        <item x="80"/>
        <item x="85"/>
        <item x="92"/>
        <item x="93"/>
        <item x="95"/>
        <item x="98"/>
        <item x="99"/>
        <item x="50"/>
        <item x="62"/>
        <item x="72"/>
        <item x="70"/>
        <item x="86"/>
        <item x="107"/>
        <item x="101"/>
        <item x="56"/>
        <item x="181"/>
        <item x="180"/>
        <item x="189"/>
        <item x="89"/>
        <item x="206"/>
        <item x="103"/>
        <item x="105"/>
        <item x="104"/>
        <item x="109"/>
        <item x="108"/>
        <item x="110"/>
        <item x="120"/>
        <item x="121"/>
        <item x="122"/>
        <item x="129"/>
        <item x="127"/>
        <item x="128"/>
        <item x="147"/>
        <item x="167"/>
        <item x="191"/>
        <item x="204"/>
        <item x="205"/>
        <item x="208"/>
        <item x="44"/>
        <item x="65"/>
        <item x="115"/>
        <item x="126"/>
        <item x="112"/>
        <item x="175"/>
        <item x="196"/>
        <item x="195"/>
        <item x="207"/>
        <item x="111"/>
        <item x="162"/>
        <item x="163"/>
        <item x="164"/>
        <item x="165"/>
        <item x="198"/>
        <item x="209"/>
        <item x="193"/>
        <item x="113"/>
        <item x="114"/>
        <item x="130"/>
        <item x="131"/>
        <item x="148"/>
        <item x="160"/>
        <item x="143"/>
        <item x="144"/>
        <item x="159"/>
        <item x="125"/>
        <item x="166"/>
        <item x="161"/>
        <item x="171"/>
        <item x="170"/>
        <item x="173"/>
        <item x="182"/>
        <item x="184"/>
        <item x="185"/>
        <item x="186"/>
        <item x="187"/>
        <item x="123"/>
        <item x="137"/>
        <item x="117"/>
        <item x="106"/>
        <item x="116"/>
        <item x="119"/>
        <item x="124"/>
        <item x="145"/>
        <item x="146"/>
        <item x="158"/>
        <item x="157"/>
        <item x="138"/>
        <item x="139"/>
        <item x="140"/>
        <item x="141"/>
        <item x="142"/>
        <item x="133"/>
        <item x="134"/>
        <item x="135"/>
        <item x="136"/>
        <item x="132"/>
        <item x="151"/>
        <item x="149"/>
        <item x="150"/>
        <item x="169"/>
        <item x="168"/>
        <item x="172"/>
        <item x="174"/>
        <item x="178"/>
        <item x="179"/>
        <item x="188"/>
        <item x="194"/>
        <item x="201"/>
        <item x="202"/>
        <item x="199"/>
        <item x="200"/>
        <item x="197"/>
        <item x="210"/>
        <item x="211"/>
        <item x="190"/>
        <item x="226"/>
        <item x="233"/>
        <item x="118"/>
        <item x="250"/>
        <item x="260"/>
        <item x="152"/>
        <item x="153"/>
        <item x="154"/>
        <item x="155"/>
        <item x="156"/>
        <item x="183"/>
        <item x="374"/>
        <item x="390"/>
        <item x="388"/>
        <item x="278"/>
        <item x="284"/>
        <item x="286"/>
        <item x="290"/>
        <item x="291"/>
        <item x="263"/>
        <item x="274"/>
        <item x="315"/>
        <item x="316"/>
        <item x="363"/>
        <item x="372"/>
        <item x="176"/>
        <item x="177"/>
        <item x="213"/>
        <item x="385"/>
        <item x="243"/>
        <item x="399"/>
        <item x="400"/>
        <item x="293"/>
        <item x="294"/>
        <item x="299"/>
        <item x="304"/>
        <item x="311"/>
        <item x="317"/>
        <item x="318"/>
        <item x="331"/>
        <item x="330"/>
        <item x="192"/>
        <item x="380"/>
        <item x="386"/>
        <item x="393"/>
        <item x="401"/>
        <item x="398"/>
        <item x="222"/>
        <item x="262"/>
        <item x="268"/>
        <item x="289"/>
        <item x="303"/>
        <item x="309"/>
        <item x="345"/>
        <item x="212"/>
        <item x="220"/>
        <item x="223"/>
        <item x="373"/>
        <item x="241"/>
        <item x="242"/>
        <item x="261"/>
        <item x="247"/>
        <item x="264"/>
        <item x="265"/>
        <item x="267"/>
        <item x="246"/>
        <item x="270"/>
        <item x="283"/>
        <item x="287"/>
        <item x="302"/>
        <item x="307"/>
        <item x="312"/>
        <item x="310"/>
        <item x="319"/>
        <item x="320"/>
        <item x="321"/>
        <item x="335"/>
        <item x="328"/>
        <item x="329"/>
        <item x="332"/>
        <item x="327"/>
        <item x="349"/>
        <item x="366"/>
        <item x="371"/>
        <item x="381"/>
        <item x="387"/>
        <item x="391"/>
        <item x="392"/>
        <item x="394"/>
        <item x="395"/>
        <item x="29"/>
        <item x="30"/>
        <item x="31"/>
        <item x="94"/>
        <item x="383"/>
        <item x="259"/>
        <item x="266"/>
        <item x="276"/>
        <item x="281"/>
        <item x="288"/>
        <item x="301"/>
        <item x="305"/>
        <item x="314"/>
        <item x="313"/>
        <item x="326"/>
        <item x="353"/>
        <item x="348"/>
        <item x="375"/>
        <item x="376"/>
        <item x="378"/>
        <item x="379"/>
        <item x="203"/>
        <item x="402"/>
        <item x="215"/>
        <item x="219"/>
        <item x="248"/>
        <item x="249"/>
        <item x="239"/>
        <item x="240"/>
        <item x="238"/>
        <item x="251"/>
        <item x="252"/>
        <item x="369"/>
        <item x="370"/>
        <item x="282"/>
        <item x="295"/>
        <item x="236"/>
        <item x="306"/>
        <item x="300"/>
        <item x="342"/>
        <item x="340"/>
        <item x="339"/>
        <item x="341"/>
        <item x="367"/>
        <item x="384"/>
        <item x="389"/>
        <item x="397"/>
        <item x="214"/>
        <item x="216"/>
        <item x="217"/>
        <item x="218"/>
        <item x="221"/>
        <item x="224"/>
        <item x="225"/>
        <item x="227"/>
        <item x="228"/>
        <item x="229"/>
        <item x="230"/>
        <item x="231"/>
        <item x="232"/>
        <item x="234"/>
        <item x="235"/>
        <item x="237"/>
        <item x="244"/>
        <item x="245"/>
        <item x="253"/>
        <item x="254"/>
        <item x="255"/>
        <item x="256"/>
        <item x="257"/>
        <item x="258"/>
        <item x="269"/>
        <item x="271"/>
        <item x="272"/>
        <item x="273"/>
        <item x="275"/>
        <item x="277"/>
        <item x="279"/>
        <item x="280"/>
        <item x="285"/>
        <item x="292"/>
        <item x="296"/>
        <item x="297"/>
        <item x="298"/>
        <item x="308"/>
        <item x="322"/>
        <item x="323"/>
        <item x="324"/>
        <item x="325"/>
        <item x="333"/>
        <item x="334"/>
        <item x="336"/>
        <item x="337"/>
        <item x="338"/>
        <item x="343"/>
        <item x="344"/>
        <item x="346"/>
        <item x="347"/>
        <item x="350"/>
        <item x="351"/>
        <item x="352"/>
        <item x="354"/>
        <item x="355"/>
        <item x="356"/>
        <item x="357"/>
        <item x="358"/>
        <item x="359"/>
        <item x="360"/>
        <item x="361"/>
        <item x="362"/>
        <item x="364"/>
        <item x="365"/>
        <item x="368"/>
        <item x="377"/>
        <item x="382"/>
        <item x="396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66">
        <item x="464"/>
        <item x="33"/>
        <item x="0"/>
        <item x="4"/>
        <item x="1"/>
        <item x="2"/>
        <item x="10"/>
        <item x="5"/>
        <item x="8"/>
        <item x="9"/>
        <item x="6"/>
        <item x="7"/>
        <item x="21"/>
        <item x="12"/>
        <item x="15"/>
        <item x="13"/>
        <item x="16"/>
        <item x="37"/>
        <item x="14"/>
        <item x="17"/>
        <item x="11"/>
        <item x="32"/>
        <item x="26"/>
        <item x="27"/>
        <item x="36"/>
        <item x="18"/>
        <item x="20"/>
        <item x="19"/>
        <item x="47"/>
        <item x="175"/>
        <item x="45"/>
        <item x="38"/>
        <item x="28"/>
        <item x="195"/>
        <item x="41"/>
        <item x="46"/>
        <item x="25"/>
        <item x="34"/>
        <item x="22"/>
        <item x="23"/>
        <item x="24"/>
        <item x="61"/>
        <item x="39"/>
        <item x="43"/>
        <item x="63"/>
        <item x="76"/>
        <item x="66"/>
        <item x="78"/>
        <item x="40"/>
        <item x="42"/>
        <item x="82"/>
        <item x="77"/>
        <item x="53"/>
        <item x="191"/>
        <item x="35"/>
        <item x="89"/>
        <item x="51"/>
        <item x="72"/>
        <item x="75"/>
        <item x="74"/>
        <item x="85"/>
        <item x="73"/>
        <item x="50"/>
        <item x="56"/>
        <item x="57"/>
        <item x="88"/>
        <item x="54"/>
        <item x="58"/>
        <item x="59"/>
        <item x="60"/>
        <item x="81"/>
        <item x="97"/>
        <item x="62"/>
        <item x="67"/>
        <item x="94"/>
        <item x="68"/>
        <item x="80"/>
        <item x="86"/>
        <item x="93"/>
        <item x="99"/>
        <item x="48"/>
        <item x="52"/>
        <item x="95"/>
        <item x="65"/>
        <item x="70"/>
        <item x="79"/>
        <item x="83"/>
        <item x="90"/>
        <item x="92"/>
        <item x="96"/>
        <item x="69"/>
        <item x="49"/>
        <item x="174"/>
        <item x="71"/>
        <item x="84"/>
        <item x="104"/>
        <item x="98"/>
        <item x="55"/>
        <item x="170"/>
        <item x="178"/>
        <item x="87"/>
        <item x="192"/>
        <item x="100"/>
        <item x="102"/>
        <item x="101"/>
        <item x="106"/>
        <item x="105"/>
        <item x="107"/>
        <item x="117"/>
        <item x="118"/>
        <item x="119"/>
        <item x="125"/>
        <item x="124"/>
        <item x="140"/>
        <item x="160"/>
        <item x="180"/>
        <item x="190"/>
        <item x="194"/>
        <item x="44"/>
        <item x="64"/>
        <item x="112"/>
        <item x="123"/>
        <item x="158"/>
        <item x="109"/>
        <item x="167"/>
        <item x="185"/>
        <item x="184"/>
        <item x="193"/>
        <item x="108"/>
        <item x="176"/>
        <item x="155"/>
        <item x="156"/>
        <item x="157"/>
        <item x="187"/>
        <item x="182"/>
        <item x="110"/>
        <item x="111"/>
        <item x="126"/>
        <item x="127"/>
        <item x="141"/>
        <item x="153"/>
        <item x="137"/>
        <item x="152"/>
        <item x="122"/>
        <item x="159"/>
        <item x="154"/>
        <item x="163"/>
        <item x="165"/>
        <item x="171"/>
        <item x="173"/>
        <item x="120"/>
        <item x="133"/>
        <item x="114"/>
        <item x="103"/>
        <item x="113"/>
        <item x="116"/>
        <item x="121"/>
        <item x="138"/>
        <item x="139"/>
        <item x="151"/>
        <item x="150"/>
        <item x="134"/>
        <item x="135"/>
        <item x="136"/>
        <item x="129"/>
        <item x="130"/>
        <item x="131"/>
        <item x="132"/>
        <item x="128"/>
        <item x="144"/>
        <item x="142"/>
        <item x="143"/>
        <item x="162"/>
        <item x="161"/>
        <item x="164"/>
        <item x="166"/>
        <item x="169"/>
        <item x="177"/>
        <item x="183"/>
        <item x="188"/>
        <item x="186"/>
        <item x="196"/>
        <item x="197"/>
        <item x="179"/>
        <item x="212"/>
        <item x="220"/>
        <item x="115"/>
        <item x="237"/>
        <item x="345"/>
        <item x="247"/>
        <item x="277"/>
        <item x="145"/>
        <item x="146"/>
        <item x="147"/>
        <item x="148"/>
        <item x="149"/>
        <item x="357"/>
        <item x="172"/>
        <item x="346"/>
        <item x="356"/>
        <item x="264"/>
        <item x="270"/>
        <item x="272"/>
        <item x="276"/>
        <item x="250"/>
        <item x="261"/>
        <item x="299"/>
        <item x="300"/>
        <item x="338"/>
        <item x="168"/>
        <item x="199"/>
        <item x="353"/>
        <item x="230"/>
        <item x="249"/>
        <item x="365"/>
        <item x="366"/>
        <item x="278"/>
        <item x="279"/>
        <item x="284"/>
        <item x="288"/>
        <item x="295"/>
        <item x="301"/>
        <item x="311"/>
        <item x="310"/>
        <item x="181"/>
        <item x="349"/>
        <item x="354"/>
        <item x="360"/>
        <item x="364"/>
        <item x="208"/>
        <item x="255"/>
        <item x="275"/>
        <item x="287"/>
        <item x="293"/>
        <item x="323"/>
        <item x="198"/>
        <item x="344"/>
        <item x="206"/>
        <item x="209"/>
        <item x="286"/>
        <item x="228"/>
        <item x="229"/>
        <item x="248"/>
        <item x="234"/>
        <item x="251"/>
        <item x="252"/>
        <item x="254"/>
        <item x="233"/>
        <item x="257"/>
        <item x="269"/>
        <item x="362"/>
        <item x="273"/>
        <item x="368"/>
        <item x="309"/>
        <item x="291"/>
        <item x="296"/>
        <item x="294"/>
        <item x="302"/>
        <item x="303"/>
        <item x="314"/>
        <item x="312"/>
        <item x="308"/>
        <item x="327"/>
        <item x="350"/>
        <item x="355"/>
        <item x="358"/>
        <item x="359"/>
        <item x="361"/>
        <item x="3"/>
        <item x="29"/>
        <item x="30"/>
        <item x="31"/>
        <item x="91"/>
        <item x="352"/>
        <item x="451"/>
        <item x="246"/>
        <item x="253"/>
        <item x="263"/>
        <item x="267"/>
        <item x="235"/>
        <item x="274"/>
        <item x="285"/>
        <item x="289"/>
        <item x="298"/>
        <item x="297"/>
        <item x="307"/>
        <item x="331"/>
        <item x="326"/>
        <item x="347"/>
        <item x="348"/>
        <item x="189"/>
        <item x="367"/>
        <item x="280"/>
        <item x="201"/>
        <item x="205"/>
        <item x="236"/>
        <item x="226"/>
        <item x="227"/>
        <item x="225"/>
        <item x="238"/>
        <item x="239"/>
        <item x="342"/>
        <item x="343"/>
        <item x="268"/>
        <item x="245"/>
        <item x="231"/>
        <item x="223"/>
        <item x="290"/>
        <item x="320"/>
        <item x="319"/>
        <item x="318"/>
        <item x="341"/>
        <item x="304"/>
        <item x="200"/>
        <item x="202"/>
        <item x="203"/>
        <item x="204"/>
        <item x="207"/>
        <item x="210"/>
        <item x="211"/>
        <item x="213"/>
        <item x="214"/>
        <item x="215"/>
        <item x="216"/>
        <item x="217"/>
        <item x="218"/>
        <item x="219"/>
        <item x="221"/>
        <item x="222"/>
        <item x="224"/>
        <item x="232"/>
        <item x="240"/>
        <item x="241"/>
        <item x="242"/>
        <item x="243"/>
        <item x="244"/>
        <item x="256"/>
        <item x="258"/>
        <item x="259"/>
        <item x="260"/>
        <item x="262"/>
        <item x="265"/>
        <item x="266"/>
        <item x="271"/>
        <item x="281"/>
        <item x="282"/>
        <item x="283"/>
        <item x="292"/>
        <item x="305"/>
        <item x="306"/>
        <item x="313"/>
        <item x="315"/>
        <item x="316"/>
        <item x="317"/>
        <item x="321"/>
        <item x="322"/>
        <item x="324"/>
        <item x="325"/>
        <item x="328"/>
        <item x="329"/>
        <item x="330"/>
        <item x="332"/>
        <item x="333"/>
        <item x="334"/>
        <item x="335"/>
        <item x="336"/>
        <item x="337"/>
        <item x="339"/>
        <item x="340"/>
        <item x="351"/>
        <item x="363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8"/>
        <item m="1" x="1886"/>
        <item x="223"/>
        <item x="125"/>
        <item x="132"/>
        <item m="1" x="2907"/>
        <item m="1" x="7986"/>
        <item x="121"/>
        <item m="1" x="2889"/>
        <item x="63"/>
        <item x="61"/>
        <item m="1" x="2778"/>
        <item m="1" x="6535"/>
        <item x="148"/>
        <item m="1" x="565"/>
        <item m="1" x="3504"/>
        <item x="126"/>
        <item m="1" x="493"/>
        <item m="1" x="2084"/>
        <item x="332"/>
        <item m="1" x="909"/>
        <item m="1" x="464"/>
        <item m="1" x="2331"/>
        <item m="1" x="3332"/>
        <item x="239"/>
        <item x="175"/>
        <item x="134"/>
        <item x="182"/>
        <item x="114"/>
        <item m="1" x="3256"/>
        <item m="1" x="6542"/>
        <item m="1" x="2912"/>
        <item x="85"/>
        <item x="447"/>
        <item m="1" x="531"/>
        <item x="259"/>
        <item m="1" x="495"/>
        <item m="1" x="2533"/>
        <item m="1" x="1189"/>
        <item m="1" x="559"/>
        <item m="1" x="2976"/>
        <item m="1" x="4838"/>
        <item x="184"/>
        <item x="359"/>
        <item m="1" x="3007"/>
        <item x="147"/>
        <item m="1" x="3628"/>
        <item m="1" x="3995"/>
        <item m="1" x="1965"/>
        <item m="1" x="4502"/>
        <item m="1" x="902"/>
        <item m="1" x="1042"/>
        <item x="246"/>
        <item m="1" x="468"/>
        <item m="1" x="2906"/>
        <item m="1" x="918"/>
        <item x="56"/>
        <item m="1" x="3389"/>
        <item m="1" x="910"/>
        <item x="444"/>
        <item m="1" x="2569"/>
        <item x="60"/>
        <item h="1" m="1" x="666"/>
        <item h="1" x="390"/>
        <item m="1" x="3860"/>
        <item h="1" x="265"/>
        <item h="1" x="261"/>
        <item h="1" x="146"/>
        <item h="1" m="1" x="1034"/>
        <item h="1" m="1" x="610"/>
        <item h="1" m="1" x="2894"/>
        <item h="1" m="1" x="778"/>
        <item h="1" x="140"/>
        <item h="1" m="1" x="667"/>
        <item h="1" x="342"/>
        <item h="1" m="1" x="897"/>
        <item h="1" m="1" x="1125"/>
        <item h="1" m="1" x="1967"/>
        <item h="1" m="1" x="568"/>
        <item h="1" x="243"/>
        <item h="1" m="1" x="1586"/>
        <item h="1" x="40"/>
        <item h="1" m="1" x="1750"/>
        <item h="1" m="1" x="2132"/>
        <item h="1" m="1" x="1705"/>
        <item h="1" m="1" x="472"/>
        <item h="1" m="1" x="2633"/>
        <item h="1" x="131"/>
        <item h="1" x="20"/>
        <item h="1" x="124"/>
        <item h="1" x="92"/>
        <item h="1" x="129"/>
        <item h="1" m="1" x="2094"/>
        <item h="1" x="133"/>
        <item h="1" m="1" x="1223"/>
        <item h="1" x="336"/>
        <item h="1" m="1" x="2781"/>
        <item h="1" m="1" x="766"/>
        <item h="1" x="248"/>
        <item h="1" m="1" x="2981"/>
        <item h="1" m="1" x="487"/>
        <item h="1" m="1" x="4075"/>
        <item h="1" m="1" x="997"/>
        <item h="1" x="212"/>
        <item h="1" x="93"/>
        <item h="1" m="1" x="5950"/>
        <item h="1" m="1" x="3675"/>
        <item h="1" m="1" x="463"/>
        <item h="1" m="1" x="457"/>
        <item h="1" m="1" x="2753"/>
        <item h="1" m="1" x="2780"/>
        <item h="1" m="1" x="4661"/>
        <item h="1" m="1" x="6892"/>
        <item h="1" m="1" x="3439"/>
        <item h="1" x="346"/>
        <item h="1" x="242"/>
        <item h="1" m="1" x="2550"/>
        <item h="1" m="1" x="639"/>
        <item h="1" m="1" x="1524"/>
        <item h="1" m="1" x="2170"/>
        <item h="1" m="1" x="4135"/>
        <item h="1" m="1" x="2382"/>
        <item h="1" m="1" x="3736"/>
        <item h="1" m="1" x="3352"/>
        <item h="1" m="1" x="5933"/>
        <item h="1" x="249"/>
        <item h="1" m="1" x="6945"/>
        <item h="1" m="1" x="836"/>
        <item h="1" m="1" x="2899"/>
        <item h="1" m="1" x="3492"/>
        <item h="1" m="1" x="1748"/>
        <item h="1" m="1" x="1577"/>
        <item h="1" m="1" x="4882"/>
        <item h="1" m="1" x="6610"/>
        <item h="1" m="1" x="1532"/>
        <item h="1" m="1" x="3859"/>
        <item h="1" m="1" x="4153"/>
        <item h="1" m="1" x="5464"/>
        <item h="1" m="1" x="680"/>
        <item h="1" m="1" x="3901"/>
        <item h="1" m="1" x="7955"/>
        <item h="1" m="1" x="7946"/>
        <item h="1" m="1" x="7874"/>
        <item h="1" m="1" x="5316"/>
        <item h="1" m="1" x="3911"/>
        <item h="1" m="1" x="4232"/>
        <item h="1" m="1" x="6098"/>
        <item h="1" m="1" x="1117"/>
        <item h="1" m="1" x="4008"/>
        <item h="1" m="1" x="539"/>
        <item h="1" m="1" x="494"/>
        <item h="1" m="1" x="1775"/>
        <item h="1" m="1" x="1687"/>
        <item h="1" m="1" x="1904"/>
        <item h="1" m="1" x="7535"/>
        <item h="1" m="1" x="2785"/>
        <item h="1" m="1" x="3368"/>
        <item h="1" m="1" x="4668"/>
        <item h="1" m="1" x="7799"/>
        <item h="1" m="1" x="7534"/>
        <item h="1" m="1" x="6537"/>
        <item h="1" m="1" x="1912"/>
        <item h="1" m="1" x="2281"/>
        <item h="1" m="1" x="2892"/>
        <item h="1" m="1" x="563"/>
        <item h="1" m="1" x="1584"/>
        <item h="1" m="1" x="3044"/>
        <item h="1" m="1" x="1565"/>
        <item h="1" m="1" x="998"/>
        <item h="1" m="1" x="2061"/>
        <item h="1" m="1" x="2887"/>
        <item h="1" m="1" x="7395"/>
        <item h="1" x="16"/>
        <item h="1" m="1" x="6551"/>
        <item h="1" m="1" x="928"/>
        <item h="1" m="1" x="2948"/>
        <item h="1" x="76"/>
        <item h="1" m="1" x="4041"/>
        <item h="1" m="1" x="2040"/>
        <item h="1" m="1" x="6547"/>
        <item h="1" m="1" x="496"/>
        <item h="1" m="1" x="4493"/>
        <item h="1" m="1" x="3955"/>
        <item h="1" m="1" x="4572"/>
        <item h="1" m="1" x="3683"/>
        <item h="1" m="1" x="5896"/>
        <item h="1" m="1" x="4567"/>
        <item h="1" m="1" x="3814"/>
        <item h="1" x="207"/>
        <item h="1" m="1" x="6541"/>
        <item h="1" m="1" x="3268"/>
        <item h="1" m="1" x="919"/>
        <item h="1" m="1" x="6555"/>
        <item h="1" m="1" x="6921"/>
        <item h="1" x="172"/>
        <item h="1" m="1" x="2950"/>
        <item h="1" m="1" x="1708"/>
        <item h="1" m="1" x="485"/>
        <item h="1" m="1" x="7551"/>
        <item h="1" m="1" x="7992"/>
        <item h="1" m="1" x="2517"/>
        <item h="1" m="1" x="6949"/>
        <item h="1" m="1" x="791"/>
        <item h="1" m="1" x="3266"/>
        <item h="1" m="1" x="4987"/>
        <item h="1" m="1" x="1040"/>
        <item h="1" m="1" x="2152"/>
        <item h="1" m="1" x="2489"/>
        <item h="1" m="1" x="5005"/>
        <item h="1" m="1" x="7958"/>
        <item h="1" x="100"/>
        <item h="1" m="1" x="1116"/>
        <item h="1" m="1" x="4134"/>
        <item h="1" m="1" x="3419"/>
        <item h="1" m="1" x="1918"/>
        <item h="1" m="1" x="1989"/>
        <item h="1" m="1" x="1290"/>
        <item h="1" m="1" x="1220"/>
        <item h="1" m="1" x="7982"/>
        <item h="1" m="1" x="7776"/>
        <item h="1" m="1" x="6503"/>
        <item h="1" m="1" x="7218"/>
        <item h="1" m="1" x="7796"/>
        <item h="1" m="1" x="7385"/>
        <item h="1" m="1" x="2055"/>
        <item h="1" m="1" x="938"/>
        <item h="1" m="1" x="835"/>
        <item h="1" m="1" x="537"/>
        <item h="1" m="1" x="1581"/>
        <item h="1" m="1" x="6514"/>
        <item h="1" m="1" x="7661"/>
        <item h="1" m="1" x="1236"/>
        <item h="1" m="1" x="2757"/>
        <item h="1" m="1" x="1707"/>
        <item h="1" m="1" x="4981"/>
        <item h="1" m="1" x="4382"/>
        <item h="1" x="62"/>
        <item h="1" m="1" x="6613"/>
        <item h="1" m="1" x="3994"/>
        <item h="1" m="1" x="7990"/>
        <item h="1" m="1" x="7959"/>
        <item h="1" m="1" x="7896"/>
        <item h="1" m="1" x="7899"/>
        <item h="1" m="1" x="1634"/>
        <item h="1" m="1" x="2561"/>
        <item h="1" m="1" x="6377"/>
        <item h="1" m="1" x="4683"/>
        <item h="1" m="1" x="3837"/>
        <item h="1" m="1" x="4736"/>
        <item h="1" m="1" x="7202"/>
        <item h="1" m="1" x="3416"/>
        <item h="1" m="1" x="3343"/>
        <item h="1" m="1" x="3414"/>
        <item h="1" m="1" x="7794"/>
        <item h="1" m="1" x="2440"/>
        <item h="1" m="1" x="5915"/>
        <item h="1" m="1" x="501"/>
        <item h="1" m="1" x="4303"/>
        <item h="1" m="1" x="6925"/>
        <item h="1" m="1" x="1742"/>
        <item h="1" m="1" x="2110"/>
        <item h="1" m="1" x="1096"/>
        <item h="1" m="1" x="7983"/>
        <item h="1" m="1" x="2547"/>
        <item h="1" m="1" x="3642"/>
        <item h="1" m="1" x="4319"/>
        <item h="1" m="1" x="3434"/>
        <item h="1" m="1" x="7605"/>
        <item h="1" m="1" x="6788"/>
        <item h="1" m="1" x="5160"/>
        <item h="1" m="1" x="7575"/>
        <item h="1" m="1" x="546"/>
        <item h="1" x="87"/>
        <item h="1" x="206"/>
        <item h="1" m="1" x="4516"/>
        <item h="1" m="1" x="5403"/>
        <item h="1" m="1" x="7890"/>
        <item h="1" m="1" x="2513"/>
        <item h="1" x="57"/>
        <item h="1" m="1" x="7131"/>
        <item h="1" m="1" x="6745"/>
        <item h="1" m="1" x="2090"/>
        <item h="1" m="1" x="7898"/>
        <item h="1" m="1" x="7731"/>
        <item h="1" m="1" x="6656"/>
        <item h="1" m="1" x="2097"/>
        <item h="1" m="1" x="6751"/>
        <item h="1" m="1" x="2223"/>
        <item h="1" x="376"/>
        <item h="1" m="1" x="2380"/>
        <item h="1" m="1" x="4108"/>
        <item h="1" m="1" x="2446"/>
        <item h="1" m="1" x="2452"/>
        <item h="1" m="1" x="5686"/>
        <item h="1" m="1" x="5610"/>
        <item h="1" m="1" x="7996"/>
        <item h="1" m="1" x="4868"/>
        <item h="1" m="1" x="5934"/>
        <item h="1" m="1" x="5842"/>
        <item h="1" m="1" x="5843"/>
        <item h="1" m="1" x="5452"/>
        <item h="1" m="1" x="7420"/>
        <item h="1" m="1" x="6803"/>
        <item h="1" m="1" x="6836"/>
        <item h="1" m="1" x="1572"/>
        <item h="1" m="1" x="7901"/>
        <item h="1" m="1" x="1558"/>
        <item h="1" m="1" x="5578"/>
        <item h="1" m="1" x="7900"/>
        <item h="1" m="1" x="1090"/>
        <item h="1" m="1" x="2134"/>
        <item h="1" m="1" x="5555"/>
        <item h="1" m="1" x="4452"/>
        <item h="1" m="1" x="550"/>
        <item h="1" m="1" x="5832"/>
        <item h="1" m="1" x="7287"/>
        <item h="1" m="1" x="2765"/>
        <item h="1" m="1" x="6866"/>
        <item h="1" m="1" x="1925"/>
        <item h="1" m="1" x="7831"/>
        <item h="1" m="1" x="6827"/>
        <item h="1" m="1" x="5146"/>
        <item h="1" m="1" x="7424"/>
        <item h="1" m="1" x="6545"/>
        <item h="1" m="1" x="6847"/>
        <item h="1" x="235"/>
        <item h="1" m="1" x="7389"/>
        <item h="1" m="1" x="7171"/>
        <item h="1" m="1" x="4613"/>
        <item h="1" m="1" x="5368"/>
        <item h="1" m="1" x="6746"/>
        <item h="1" m="1" x="720"/>
        <item h="1" m="1" x="6662"/>
        <item h="1" m="1" x="7667"/>
        <item h="1" m="1" x="4132"/>
        <item h="1" m="1" x="7722"/>
        <item h="1" m="1" x="6819"/>
        <item h="1" m="1" x="7167"/>
        <item h="1" m="1" x="7525"/>
        <item h="1" m="1" x="7824"/>
        <item h="1" m="1" x="1044"/>
        <item h="1" m="1" x="2725"/>
        <item h="1" m="1" x="7993"/>
        <item h="1" m="1" x="2755"/>
        <item h="1" m="1" x="6604"/>
        <item h="1" m="1" x="7077"/>
        <item h="1" m="1" x="6436"/>
        <item h="1" m="1" x="7041"/>
        <item h="1" m="1" x="564"/>
        <item h="1" m="1" x="2767"/>
        <item h="1" m="1" x="7832"/>
        <item h="1" m="1" x="4436"/>
        <item h="1" m="1" x="2458"/>
        <item h="1" m="1" x="6389"/>
        <item h="1" m="1" x="4663"/>
        <item h="1" m="1" x="5913"/>
        <item h="1" m="1" x="4627"/>
        <item h="1" m="1" x="4102"/>
        <item h="1" m="1" x="6820"/>
        <item h="1" m="1" x="6775"/>
        <item h="1" m="1" x="6211"/>
        <item h="1" m="1" x="3535"/>
        <item h="1" m="1" x="6741"/>
        <item h="1" m="1" x="5621"/>
        <item h="1" m="1" x="6885"/>
        <item h="1" m="1" x="2447"/>
        <item h="1" m="1" x="4118"/>
        <item h="1" m="1" x="4728"/>
        <item h="1" m="1" x="7752"/>
        <item h="1" m="1" x="2449"/>
        <item h="1" m="1" x="6627"/>
        <item h="1" m="1" x="5353"/>
        <item h="1" m="1" x="6721"/>
        <item h="1" m="1" x="551"/>
        <item h="1" m="1" x="7109"/>
        <item h="1" m="1" x="2432"/>
        <item h="1" x="250"/>
        <item h="1" m="1" x="4323"/>
        <item h="1" m="1" x="7387"/>
        <item h="1" x="96"/>
        <item h="1" x="116"/>
        <item h="1" m="1" x="6814"/>
        <item h="1" m="1" x="4320"/>
        <item h="1" m="1" x="7625"/>
        <item h="1" m="1" x="7793"/>
        <item h="1" m="1" x="841"/>
        <item h="1" m="1" x="7465"/>
        <item h="1" m="1" x="7965"/>
        <item h="1" m="1" x="1891"/>
        <item h="1" m="1" x="7290"/>
        <item h="1" m="1" x="6546"/>
        <item h="1" m="1" x="2909"/>
        <item h="1" m="1" x="2844"/>
        <item h="1" m="1" x="6562"/>
        <item h="1" m="1" x="6235"/>
        <item h="1" m="1" x="6234"/>
        <item h="1" m="1" x="1686"/>
        <item h="1" m="1" x="7524"/>
        <item h="1" m="1" x="7356"/>
        <item h="1" m="1" x="1910"/>
        <item h="1" m="1" x="4242"/>
        <item h="1" m="1" x="1026"/>
        <item h="1" m="1" x="6378"/>
        <item h="1" m="1" x="3626"/>
        <item h="1" m="1" x="5158"/>
        <item h="1" m="1" x="6493"/>
        <item h="1" m="1" x="7373"/>
        <item h="1" m="1" x="2287"/>
        <item h="1" m="1" x="7342"/>
        <item h="1" m="1" x="6822"/>
        <item h="1" m="1" x="6167"/>
        <item h="1" m="1" x="6566"/>
        <item h="1" m="1" x="3591"/>
        <item h="1" m="1" x="6060"/>
        <item h="1" m="1" x="6327"/>
        <item h="1" m="1" x="2105"/>
        <item h="1" m="1" x="7505"/>
        <item h="1" m="1" x="3307"/>
        <item h="1" x="345"/>
        <item h="1" m="1" x="1200"/>
        <item h="1" m="1" x="4491"/>
        <item h="1" m="1" x="2510"/>
        <item h="1" m="1" x="1963"/>
        <item h="1" m="1" x="7521"/>
        <item h="1" m="1" x="3078"/>
        <item h="1" m="1" x="2923"/>
        <item h="1" m="1" x="5598"/>
        <item h="1" m="1" x="6692"/>
        <item h="1" m="1" x="5797"/>
        <item h="1" m="1" x="4891"/>
        <item h="1" m="1" x="3673"/>
        <item h="1" m="1" x="538"/>
        <item h="1" m="1" x="7517"/>
        <item h="1" m="1" x="2965"/>
        <item h="1" m="1" x="2234"/>
        <item h="1" m="1" x="5624"/>
        <item h="1" m="1" x="4564"/>
        <item h="1" m="1" x="7514"/>
        <item h="1" m="1" x="2047"/>
        <item h="1" x="322"/>
        <item h="1" m="1" x="7798"/>
        <item h="1" m="1" x="2238"/>
        <item h="1" m="1" x="7583"/>
        <item h="1" m="1" x="2135"/>
        <item h="1" m="1" x="7528"/>
        <item h="1" m="1" x="2398"/>
        <item h="1" m="1" x="7770"/>
        <item h="1" m="1" x="2451"/>
        <item h="1" m="1" x="2929"/>
        <item h="1" m="1" x="580"/>
        <item h="1" m="1" x="1982"/>
        <item h="1" m="1" x="6214"/>
        <item h="1" m="1" x="7084"/>
        <item h="1" m="1" x="7245"/>
        <item h="1" m="1" x="6739"/>
        <item h="1" m="1" x="911"/>
        <item h="1" x="373"/>
        <item h="1" m="1" x="1048"/>
        <item h="1" m="1" x="7502"/>
        <item h="1" m="1" x="4961"/>
        <item h="1" m="1" x="7838"/>
        <item h="1" m="1" x="7624"/>
        <item h="1" m="1" x="4441"/>
        <item h="1" m="1" x="894"/>
        <item h="1" m="1" x="7629"/>
        <item h="1" m="1" x="5885"/>
        <item h="1" m="1" x="6879"/>
        <item h="1" m="1" x="7417"/>
        <item h="1" m="1" x="2438"/>
        <item h="1" m="1" x="776"/>
        <item h="1" m="1" x="3651"/>
        <item h="1" m="1" x="3577"/>
        <item h="1" m="1" x="7805"/>
        <item h="1" m="1" x="7701"/>
        <item h="1" m="1" x="6528"/>
        <item h="1" m="1" x="7940"/>
        <item h="1" m="1" x="2763"/>
        <item h="1" m="1" x="2115"/>
        <item h="1" m="1" x="3206"/>
        <item h="1" m="1" x="3622"/>
        <item h="1" m="1" x="3071"/>
        <item h="1" m="1" x="7897"/>
        <item h="1" m="1" x="3650"/>
        <item h="1" m="1" x="5568"/>
        <item h="1" m="1" x="4893"/>
        <item h="1" m="1" x="6482"/>
        <item h="1" m="1" x="7829"/>
        <item h="1" m="1" x="524"/>
        <item h="1" m="1" x="640"/>
        <item h="1" m="1" x="7812"/>
        <item h="1" m="1" x="5883"/>
        <item h="1" m="1" x="7216"/>
        <item h="1" m="1" x="2453"/>
        <item h="1" m="1" x="7813"/>
        <item h="1" m="1" x="4550"/>
        <item h="1" m="1" x="6975"/>
        <item h="1" m="1" x="4735"/>
        <item h="1" m="1" x="4511"/>
        <item h="1" m="1" x="7978"/>
        <item h="1" m="1" x="2623"/>
        <item h="1" m="1" x="2926"/>
        <item h="1" m="1" x="7559"/>
        <item h="1" m="1" x="6772"/>
        <item h="1" m="1" x="7388"/>
        <item h="1" m="1" x="6624"/>
        <item h="1" m="1" x="4370"/>
        <item h="1" m="1" x="2622"/>
        <item h="1" m="1" x="4273"/>
        <item h="1" m="1" x="2109"/>
        <item h="1" m="1" x="1261"/>
        <item h="1" m="1" x="7980"/>
        <item h="1" m="1" x="2957"/>
        <item h="1" m="1" x="4726"/>
        <item h="1" m="1" x="2565"/>
        <item h="1" m="1" x="7623"/>
        <item h="1" m="1" x="5553"/>
        <item h="1" m="1" x="6715"/>
        <item h="1" m="1" x="4116"/>
        <item h="1" m="1" x="1219"/>
        <item h="1" m="1" x="6929"/>
        <item h="1" m="1" x="2789"/>
        <item h="1" m="1" x="3761"/>
        <item h="1" m="1" x="7553"/>
        <item h="1" m="1" x="5703"/>
        <item h="1" m="1" x="5712"/>
        <item h="1" m="1" x="7333"/>
        <item h="1" m="1" x="7777"/>
        <item h="1" m="1" x="5866"/>
        <item h="1" m="1" x="7293"/>
        <item h="1" m="1" x="4239"/>
        <item h="1" m="1" x="6749"/>
        <item h="1" m="1" x="6735"/>
        <item h="1" m="1" x="5825"/>
        <item h="1" m="1" x="6755"/>
        <item h="1" m="1" x="3202"/>
        <item h="1" m="1" x="1683"/>
        <item h="1" m="1" x="3052"/>
        <item h="1" m="1" x="5401"/>
        <item h="1" m="1" x="2886"/>
        <item h="1" m="1" x="3123"/>
        <item h="1" m="1" x="1892"/>
        <item h="1" m="1" x="6383"/>
        <item h="1" m="1" x="3931"/>
        <item h="1" m="1" x="6007"/>
        <item h="1" m="1" x="2112"/>
        <item h="1" m="1" x="2448"/>
        <item h="1" m="1" x="2436"/>
        <item h="1" m="1" x="3961"/>
        <item h="1" m="1" x="6987"/>
        <item h="1" m="1" x="6642"/>
        <item h="1" m="1" x="558"/>
        <item h="1" m="1" x="2707"/>
        <item h="1" m="1" x="4826"/>
        <item h="1" m="1" x="6616"/>
        <item h="1" m="1" x="4304"/>
        <item h="1" m="1" x="7062"/>
        <item h="1" m="1" x="7070"/>
        <item h="1" m="1" x="4585"/>
        <item h="1" x="253"/>
        <item h="1" m="1" x="3353"/>
        <item h="1" m="1" x="1749"/>
        <item h="1" m="1" x="898"/>
        <item h="1" m="1" x="3766"/>
        <item h="1" m="1" x="6533"/>
        <item h="1" m="1" x="5453"/>
        <item h="1" x="109"/>
        <item h="1" m="1" x="5665"/>
        <item h="1" m="1" x="5651"/>
        <item h="1" m="1" x="5661"/>
        <item h="1" m="1" x="4029"/>
        <item h="1" m="1" x="7759"/>
        <item h="1" m="1" x="6835"/>
        <item h="1" m="1" x="6304"/>
        <item h="1" m="1" x="4272"/>
        <item h="1" m="1" x="6054"/>
        <item h="1" m="1" x="4854"/>
        <item h="1" m="1" x="2284"/>
        <item h="1" m="1" x="4681"/>
        <item h="1" m="1" x="7956"/>
        <item h="1" m="1" x="3657"/>
        <item h="1" m="1" x="462"/>
        <item h="1" x="225"/>
        <item h="1" m="1" x="5660"/>
        <item h="1" m="1" x="7570"/>
        <item h="1" m="1" x="5835"/>
        <item h="1" m="1" x="6946"/>
        <item h="1" m="1" x="5367"/>
        <item h="1" m="1" x="4213"/>
        <item h="1" m="1" x="5097"/>
        <item h="1" m="1" x="4343"/>
        <item h="1" m="1" x="5481"/>
        <item h="1" m="1" x="2450"/>
        <item h="1" m="1" x="3456"/>
        <item h="1" m="1" x="6626"/>
        <item h="1" m="1" x="6865"/>
        <item h="1" m="1" x="5656"/>
        <item h="1" m="1" x="5646"/>
        <item h="1" m="1" x="7370"/>
        <item h="1" m="1" x="5625"/>
        <item h="1" m="1" x="5697"/>
        <item h="1" m="1" x="3392"/>
        <item h="1" m="1" x="5635"/>
        <item h="1" m="1" x="1171"/>
        <item h="1" m="1" x="3073"/>
        <item h="1" m="1" x="3633"/>
        <item h="1" m="1" x="6985"/>
        <item h="1" x="23"/>
        <item h="1" m="1" x="7348"/>
        <item h="1" m="1" x="5627"/>
        <item h="1" m="1" x="7574"/>
        <item h="1" m="1" x="5648"/>
        <item h="1" m="1" x="985"/>
        <item h="1" m="1" x="679"/>
        <item h="1" m="1" x="4583"/>
        <item h="1" m="1" x="7780"/>
        <item h="1" m="1" x="7833"/>
        <item h="1" m="1" x="3760"/>
        <item h="1" m="1" x="7738"/>
        <item h="1" m="1" x="5612"/>
        <item h="1" m="1" x="5633"/>
        <item h="1" m="1" x="2901"/>
        <item h="1" m="1" x="6657"/>
        <item h="1" m="1" x="5381"/>
        <item h="1" m="1" x="5639"/>
        <item h="1" m="1" x="7739"/>
        <item h="1" m="1" x="7998"/>
        <item h="1" m="1" x="5979"/>
        <item h="1" m="1" x="471"/>
        <item h="1" m="1" x="3152"/>
        <item h="1" m="1" x="4973"/>
        <item h="1" m="1" x="7879"/>
        <item h="1" m="1" x="7894"/>
        <item h="1" m="1" x="2279"/>
        <item h="1" m="1" x="7200"/>
        <item h="1" m="1" x="6625"/>
        <item h="1" m="1" x="2762"/>
        <item h="1" m="1" x="7204"/>
        <item h="1" m="1" x="6737"/>
        <item h="1" m="1" x="6601"/>
        <item h="1" m="1" x="7440"/>
        <item h="1" m="1" x="5932"/>
        <item h="1" m="1" x="6939"/>
        <item h="1" m="1" x="6366"/>
        <item h="1" m="1" x="4180"/>
        <item h="1" m="1" x="7285"/>
        <item h="1" m="1" x="6960"/>
        <item h="1" m="1" x="2900"/>
        <item h="1" m="1" x="7347"/>
        <item h="1" m="1" x="7944"/>
        <item h="1" m="1" x="7937"/>
        <item h="1" m="1" x="7936"/>
        <item h="1" m="1" x="6769"/>
        <item h="1" m="1" x="7905"/>
        <item h="1" x="143"/>
        <item h="1" m="1" x="7543"/>
        <item h="1" m="1" x="6742"/>
        <item h="1" m="1" x="5643"/>
        <item h="1" m="1" x="5649"/>
        <item h="1" m="1" x="5616"/>
        <item h="1" m="1" x="6996"/>
        <item h="1" m="1" x="6909"/>
        <item h="1" m="1" x="7932"/>
        <item h="1" m="1" x="7836"/>
        <item h="1" m="1" x="5764"/>
        <item h="1" m="1" x="7046"/>
        <item h="1" m="1" x="7620"/>
        <item h="1" m="1" x="2503"/>
        <item h="1" m="1" x="5873"/>
        <item h="1" m="1" x="7344"/>
        <item h="1" m="1" x="5388"/>
        <item h="1" m="1" x="7772"/>
        <item h="1" m="1" x="4819"/>
        <item h="1" m="1" x="7774"/>
        <item h="1" m="1" x="7790"/>
        <item h="1" x="29"/>
        <item h="1" m="1" x="6570"/>
        <item h="1" m="1" x="7357"/>
        <item h="1" m="1" x="7358"/>
        <item h="1" m="1" x="4515"/>
        <item h="1" m="1" x="1788"/>
        <item h="1" m="1" x="5947"/>
        <item h="1" m="1" x="6095"/>
        <item h="1" m="1" x="6785"/>
        <item h="1" m="1" x="5540"/>
        <item h="1" m="1" x="3551"/>
        <item h="1" m="1" x="7016"/>
        <item h="1" m="1" x="7882"/>
        <item h="1" m="1" x="6619"/>
        <item h="1" m="1" x="7341"/>
        <item h="1" m="1" x="7346"/>
        <item h="1" m="1" x="7345"/>
        <item h="1" m="1" x="7876"/>
        <item h="1" m="1" x="4088"/>
        <item h="1" m="1" x="7784"/>
        <item h="1" m="1" x="7788"/>
        <item h="1" m="1" x="6034"/>
        <item h="1" m="1" x="7991"/>
        <item h="1" m="1" x="7359"/>
        <item h="1" m="1" x="7835"/>
        <item h="1" m="1" x="5615"/>
        <item h="1" m="1" x="7683"/>
        <item h="1" m="1" x="6959"/>
        <item h="1" m="1" x="7880"/>
        <item h="1" m="1" x="7881"/>
        <item h="1" m="1" x="7340"/>
        <item h="1" m="1" x="7343"/>
        <item h="1" m="1" x="4595"/>
        <item h="1" m="1" x="7715"/>
        <item h="1" m="1" x="7935"/>
        <item h="1" m="1" x="7501"/>
        <item h="1" m="1" x="3218"/>
        <item h="1" m="1" x="6950"/>
        <item h="1" m="1" x="7974"/>
        <item h="1" m="1" x="7360"/>
        <item h="1" m="1" x="7361"/>
        <item h="1" m="1" x="7979"/>
        <item h="1" m="1" x="3987"/>
        <item h="1" m="1" x="920"/>
        <item h="1" m="1" x="6997"/>
        <item h="1" m="1" x="6647"/>
        <item h="1" m="1" x="6648"/>
        <item h="1" m="1" x="7430"/>
        <item h="1" m="1" x="7431"/>
        <item h="1" m="1" x="6784"/>
        <item h="1" m="1" x="6787"/>
        <item h="1" m="1" x="7734"/>
        <item h="1" m="1" x="5629"/>
        <item h="1" m="1" x="7743"/>
        <item h="1" m="1" x="2751"/>
        <item h="1" m="1" x="7860"/>
        <item h="1" m="1" x="7934"/>
        <item h="1" m="1" x="4513"/>
        <item h="1" m="1" x="6981"/>
        <item h="1" m="1" x="4853"/>
        <item h="1" x="30"/>
        <item h="1" m="1" x="5364"/>
        <item h="1" m="1" x="7917"/>
        <item h="1" m="1" x="7658"/>
        <item h="1" m="1" x="2953"/>
        <item h="1" m="1" x="7981"/>
        <item h="1" m="1" x="6659"/>
        <item h="1" m="1" x="6998"/>
        <item h="1" m="1" x="7730"/>
        <item h="1" m="1" x="7802"/>
        <item h="1" m="1" x="7383"/>
        <item h="1" m="1" x="7366"/>
        <item h="1" m="1" x="7988"/>
        <item h="1" m="1" x="7989"/>
        <item h="1" m="1" x="7362"/>
        <item h="1" m="1" x="7987"/>
        <item h="1" m="1" x="7367"/>
        <item h="1" m="1" x="7810"/>
        <item h="1" x="149"/>
        <item h="1" m="1" x="7811"/>
        <item h="1" m="1" x="7808"/>
        <item h="1" m="1" x="7337"/>
        <item h="1" m="1" x="7554"/>
        <item h="1" m="1" x="2041"/>
        <item h="1" m="1" x="7819"/>
        <item h="1" m="1" x="661"/>
        <item h="1" m="1" x="7843"/>
        <item h="1" m="1" x="2361"/>
        <item h="1" m="1" x="6828"/>
        <item h="1" m="1" x="7626"/>
        <item h="1" m="1" x="1403"/>
        <item h="1" m="1" x="7643"/>
        <item h="1" m="1" x="1172"/>
        <item h="1" m="1" x="2600"/>
        <item h="1" m="1" x="1696"/>
        <item h="1" m="1" x="6144"/>
        <item h="1" m="1" x="1888"/>
        <item h="1" m="1" x="6886"/>
        <item h="1" m="1" x="7949"/>
        <item h="1" m="1" x="6593"/>
        <item h="1" m="1" x="6592"/>
        <item h="1" m="1" x="4415"/>
        <item h="1" m="1" x="6988"/>
        <item h="1" m="1" x="6618"/>
        <item h="1" m="1" x="7970"/>
        <item h="1" m="1" x="7368"/>
        <item h="1" m="1" x="7369"/>
        <item h="1" m="1" x="7364"/>
        <item h="1" m="1" x="7365"/>
        <item h="1" m="1" x="7363"/>
        <item h="1" m="1" x="7807"/>
        <item h="1" m="1" x="7806"/>
        <item h="1" m="1" x="7338"/>
        <item h="1" m="1" x="7339"/>
        <item h="1" m="1" x="7565"/>
        <item h="1" m="1" x="6776"/>
        <item h="1" m="1" x="1947"/>
        <item h="1" m="1" x="7849"/>
        <item h="1" m="1" x="3380"/>
        <item h="1" m="1" x="7746"/>
        <item h="1" m="1" x="4099"/>
        <item h="1" m="1" x="7947"/>
        <item h="1" m="1" x="7948"/>
        <item h="1" m="1" x="7950"/>
        <item h="1" m="1" x="2111"/>
        <item h="1" m="1" x="7526"/>
        <item h="1" m="1" x="7893"/>
        <item h="1" m="1" x="6572"/>
        <item h="1" m="1" x="7920"/>
        <item h="1" m="1" x="7679"/>
        <item h="1" m="1" x="7977"/>
        <item h="1" m="1" x="7336"/>
        <item h="1" m="1" x="2521"/>
        <item h="1" m="1" x="7374"/>
        <item h="1" m="1" x="6650"/>
        <item h="1" m="1" x="6649"/>
        <item h="1" m="1" x="7432"/>
        <item h="1" m="1" x="5914"/>
        <item h="1" m="1" x="6809"/>
        <item h="1" m="1" x="2297"/>
        <item h="1" m="1" x="4176"/>
        <item h="1" m="1" x="6958"/>
        <item h="1" m="1" x="6957"/>
        <item h="1" m="1" x="7951"/>
        <item h="1" m="1" x="7952"/>
        <item h="1" m="1" x="7323"/>
        <item h="1" m="1" x="7954"/>
        <item h="1" m="1" x="7953"/>
        <item h="1" m="1" x="7943"/>
        <item h="1" m="1" x="7718"/>
        <item h="1" m="1" x="7719"/>
        <item h="1" m="1" x="7887"/>
        <item h="1" m="1" x="7889"/>
        <item h="1" m="1" x="7891"/>
        <item h="1" m="1" x="7906"/>
        <item h="1" m="1" x="7914"/>
        <item h="1" m="1" x="7350"/>
        <item h="1" m="1" x="7782"/>
        <item h="1" m="1" x="7785"/>
        <item h="1" m="1" x="7428"/>
        <item h="1" m="1" x="7429"/>
        <item h="1" m="1" x="7351"/>
        <item h="1" m="1" x="7334"/>
        <item h="1" m="1" x="7335"/>
        <item h="1" m="1" x="7963"/>
        <item h="1" m="1" x="2067"/>
        <item h="1" m="1" x="5659"/>
        <item h="1" m="1" x="7558"/>
        <item h="1" m="1" x="5664"/>
        <item h="1" m="1" x="671"/>
        <item h="1" m="1" x="7997"/>
        <item h="1" m="1" x="7818"/>
        <item h="1" m="1" x="6786"/>
        <item h="1" m="1" x="5912"/>
        <item h="1" m="1" x="7762"/>
        <item h="1" m="1" x="7761"/>
        <item h="1" m="1" x="7763"/>
        <item h="1" m="1" x="7764"/>
        <item h="1" m="1" x="7621"/>
        <item h="1" m="1" x="7655"/>
        <item h="1" m="1" x="7497"/>
        <item h="1" m="1" x="7500"/>
        <item h="1" m="1" x="7942"/>
        <item h="1" m="1" x="7941"/>
        <item h="1" m="1" x="6571"/>
        <item h="1" m="1" x="7902"/>
        <item h="1" m="1" x="5689"/>
        <item h="1" m="1" x="6595"/>
        <item h="1" m="1" x="6594"/>
        <item h="1" m="1" x="7922"/>
        <item h="1" m="1" x="7923"/>
        <item h="1" m="1" x="7924"/>
        <item h="1" m="1" x="7925"/>
        <item h="1" m="1" x="7926"/>
        <item h="1" m="1" x="6165"/>
        <item h="1" m="1" x="7787"/>
        <item h="1" m="1" x="7927"/>
        <item h="1" m="1" x="7929"/>
        <item h="1" m="1" x="7931"/>
        <item h="1" m="1" x="7984"/>
        <item h="1" m="1" x="6640"/>
        <item h="1" m="1" x="7324"/>
        <item h="1" m="1" x="6643"/>
        <item h="1" m="1" x="7966"/>
        <item h="1" m="1" x="7967"/>
        <item h="1" m="1" x="7968"/>
        <item h="1" m="1" x="7969"/>
        <item h="1" m="1" x="6713"/>
        <item h="1" m="1" x="7014"/>
        <item h="1" m="1" x="7567"/>
        <item h="1" m="1" x="7975"/>
        <item h="1" m="1" x="5609"/>
        <item h="1" m="1" x="6753"/>
        <item h="1" m="1" x="6760"/>
        <item h="1" m="1" x="1692"/>
        <item h="1" m="1" x="4173"/>
        <item h="1" m="1" x="7390"/>
        <item h="1" m="1" x="7462"/>
        <item h="1" m="1" x="7475"/>
        <item h="1" m="1" x="1991"/>
        <item h="1" m="1" x="6754"/>
        <item h="1" m="1" x="7877"/>
        <item h="1" m="1" x="7875"/>
        <item h="1" m="1" x="7878"/>
        <item h="1" m="1" x="7895"/>
        <item h="1" x="352"/>
        <item h="1" m="1" x="7903"/>
        <item h="1" m="1" x="7907"/>
        <item h="1" m="1" x="7908"/>
        <item h="1" m="1" x="2283"/>
        <item h="1" m="1" x="7913"/>
        <item h="1" m="1" x="7523"/>
        <item h="1" m="1" x="7888"/>
        <item h="1" m="1" x="7885"/>
        <item h="1" m="1" x="7886"/>
        <item h="1" m="1" x="7921"/>
        <item h="1" m="1" x="7918"/>
        <item h="1" m="1" x="7919"/>
        <item h="1" m="1" x="6990"/>
        <item h="1" m="1" x="6628"/>
        <item h="1" m="1" x="7945"/>
        <item h="1" m="1" x="7939"/>
        <item h="1" m="1" x="7938"/>
        <item h="1" m="1" x="7727"/>
        <item h="1" m="1" x="7728"/>
        <item h="1" m="1" x="7789"/>
        <item h="1" m="1" x="7930"/>
        <item h="1" m="1" x="7433"/>
        <item h="1" m="1" x="7976"/>
        <item h="1" m="1" x="6711"/>
        <item h="1" m="1" x="6709"/>
        <item h="1" m="1" x="6708"/>
        <item h="1" m="1" x="478"/>
        <item h="1" m="1" x="6704"/>
        <item h="1" m="1" x="4665"/>
        <item h="1" m="1" x="5006"/>
        <item h="1" m="1" x="7017"/>
        <item h="1" m="1" x="7015"/>
        <item h="1" m="1" x="2613"/>
        <item h="1" m="1" x="7834"/>
        <item h="1" m="1" x="7837"/>
        <item h="1" m="1" x="922"/>
        <item h="1" m="1" x="7328"/>
        <item h="1" m="1" x="1198"/>
        <item h="1" m="1" x="7329"/>
        <item h="1" m="1" x="7330"/>
        <item h="1" m="1" x="7327"/>
        <item h="1" m="1" x="7962"/>
        <item h="1" m="1" x="6914"/>
        <item h="1" m="1" x="7427"/>
        <item h="1" m="1" x="7325"/>
        <item h="1" m="1" x="7391"/>
        <item h="1" m="1" x="7737"/>
        <item h="1" m="1" x="7225"/>
        <item h="1" m="1" x="7677"/>
        <item h="1" m="1" x="7678"/>
        <item h="1" m="1" x="7999"/>
        <item h="1" m="1" x="6816"/>
        <item h="1" m="1" x="6817"/>
        <item h="1" m="1" x="2661"/>
        <item h="1" m="1" x="6029"/>
        <item h="1" m="1" x="6883"/>
        <item h="1" m="1" x="6951"/>
        <item h="1" m="1" x="7870"/>
        <item h="1" m="1" x="6904"/>
        <item h="1" m="1" x="7423"/>
        <item h="1" m="1" x="7498"/>
        <item h="1" m="1" x="7883"/>
        <item h="1" m="1" x="7884"/>
        <item h="1" m="1" x="7892"/>
        <item h="1" m="1" x="7904"/>
        <item h="1" m="1" x="6596"/>
        <item h="1" m="1" x="7723"/>
        <item h="1" m="1" x="7909"/>
        <item h="1" m="1" x="7910"/>
        <item h="1" m="1" x="7911"/>
        <item h="1" m="1" x="7912"/>
        <item h="1" m="1" x="7522"/>
        <item h="1" m="1" x="7915"/>
        <item h="1" m="1" x="7916"/>
        <item h="1" m="1" x="7786"/>
        <item h="1" m="1" x="7928"/>
        <item h="1" m="1" x="6620"/>
        <item h="1" m="1" x="6621"/>
        <item h="1" m="1" x="7933"/>
        <item h="1" m="1" x="6629"/>
        <item h="1" m="1" x="7957"/>
        <item h="1" m="1" x="7800"/>
        <item h="1" m="1" x="7733"/>
        <item h="1" m="1" x="7732"/>
        <item h="1" m="1" x="7332"/>
        <item h="1" m="1" x="7960"/>
        <item h="1" m="1" x="7961"/>
        <item h="1" m="1" x="7331"/>
        <item h="1" m="1" x="7326"/>
        <item h="1" m="1" x="7804"/>
        <item h="1" m="1" x="7964"/>
        <item h="1" m="1" x="5898"/>
        <item h="1" m="1" x="7803"/>
        <item h="1" m="1" x="7971"/>
        <item h="1" m="1" x="7972"/>
        <item h="1" m="1" x="7973"/>
        <item h="1" m="1" x="4639"/>
        <item h="1" m="1" x="6710"/>
        <item h="1" m="1" x="7729"/>
        <item h="1" m="1" x="6646"/>
        <item h="1" m="1" x="6645"/>
        <item h="1" m="1" x="7985"/>
        <item h="1" m="1" x="7994"/>
        <item h="1" m="1" x="7995"/>
        <item h="1" m="1" x="4287"/>
        <item h="1" m="1" x="7846"/>
        <item h="1" m="1" x="7066"/>
        <item h="1" m="1" x="4155"/>
        <item h="1" m="1" x="6818"/>
        <item h="1" m="1" x="7854"/>
        <item h="1" m="1" x="7392"/>
        <item h="1" m="1" x="7741"/>
        <item h="1" m="1" x="7740"/>
        <item h="1" m="1" x="7393"/>
        <item h="1" m="1" x="7394"/>
        <item h="1" m="1" x="4069"/>
        <item h="1" m="1" x="6888"/>
        <item h="1" m="1" x="6887"/>
        <item h="1" m="1" x="7765"/>
        <item h="1" m="1" x="7724"/>
        <item h="1" m="1" x="7725"/>
        <item h="1" m="1" x="7766"/>
        <item h="1" m="1" x="7767"/>
        <item h="1" m="1" x="7768"/>
        <item h="1" m="1" x="1095"/>
        <item h="1" m="1" x="7769"/>
        <item h="1" m="1" x="7771"/>
        <item h="1" m="1" x="6597"/>
        <item h="1" m="1" x="7529"/>
        <item h="1" m="1" x="7717"/>
        <item h="1" m="1" x="7773"/>
        <item h="1" m="1" x="7716"/>
        <item h="1" m="1" x="6854"/>
        <item h="1" m="1" x="7775"/>
        <item h="1" m="1" x="3750"/>
        <item h="1" m="1" x="7720"/>
        <item h="1" m="1" x="7778"/>
        <item h="1" m="1" x="7779"/>
        <item h="1" m="1" x="7425"/>
        <item h="1" m="1" x="7781"/>
        <item h="1" m="1" x="7721"/>
        <item h="1" m="1" x="6591"/>
        <item h="1" m="1" x="7783"/>
        <item h="1" m="1" x="6614"/>
        <item h="1" m="1" x="7791"/>
        <item h="1" m="1" x="7726"/>
        <item h="1" m="1" x="1615"/>
        <item h="1" m="1" x="7792"/>
        <item h="1" m="1" x="7795"/>
        <item h="1" m="1" x="7797"/>
        <item h="1" m="1" x="7665"/>
        <item h="1" m="1" x="6633"/>
        <item h="1" m="1" x="6631"/>
        <item h="1" m="1" x="6634"/>
        <item h="1" m="1" x="7434"/>
        <item h="1" m="1" x="7435"/>
        <item h="1" m="1" x="7801"/>
        <item h="1" m="1" x="6691"/>
        <item h="1" m="1" x="6690"/>
        <item h="1" m="1" x="7809"/>
        <item h="1" m="1" x="6728"/>
        <item h="1" m="1" x="6729"/>
        <item h="1" m="1" x="6730"/>
        <item h="1" m="1" x="7814"/>
        <item h="1" m="1" x="7815"/>
        <item h="1" m="1" x="6759"/>
        <item h="1" m="1" x="7816"/>
        <item h="1" m="1" x="7817"/>
        <item h="1" m="1" x="7820"/>
        <item h="1" m="1" x="7821"/>
        <item h="1" m="1" x="7822"/>
        <item h="1" m="1" x="7823"/>
        <item h="1" m="1" x="7825"/>
        <item h="1" m="1" x="7826"/>
        <item h="1" m="1" x="7827"/>
        <item h="1" m="1" x="7735"/>
        <item h="1" m="1" x="7828"/>
        <item h="1" m="1" x="7830"/>
        <item h="1" m="1" x="7839"/>
        <item h="1" m="1" x="6752"/>
        <item h="1" m="1" x="7840"/>
        <item h="1" m="1" x="7841"/>
        <item h="1" m="1" x="6940"/>
        <item h="1" m="1" x="7842"/>
        <item h="1" m="1" x="7592"/>
        <item h="1" m="1" x="7736"/>
        <item h="1" m="1" x="7223"/>
        <item h="1" m="1" x="7224"/>
        <item h="1" m="1" x="7591"/>
        <item h="1" m="1" x="7386"/>
        <item h="1" m="1" x="7844"/>
        <item h="1" m="1" x="1631"/>
        <item h="1" m="1" x="7845"/>
        <item h="1" m="1" x="5990"/>
        <item h="1" m="1" x="7847"/>
        <item h="1" m="1" x="7848"/>
        <item h="1" m="1" x="7850"/>
        <item h="1" m="1" x="7744"/>
        <item h="1" m="1" x="7622"/>
        <item h="1" m="1" x="5343"/>
        <item h="1" m="1" x="7851"/>
        <item h="1" m="1" x="7852"/>
        <item h="1" m="1" x="7853"/>
        <item h="1" m="1" x="7855"/>
        <item h="1" m="1" x="7856"/>
        <item h="1" m="1" x="7857"/>
        <item h="1" m="1" x="7858"/>
        <item h="1" m="1" x="7859"/>
        <item h="1" m="1" x="6826"/>
        <item h="1" m="1" x="7745"/>
        <item h="1" m="1" x="7861"/>
        <item h="1" m="1" x="7862"/>
        <item h="1" m="1" x="7863"/>
        <item h="1" m="1" x="7463"/>
        <item h="1" m="1" x="7864"/>
        <item h="1" m="1" x="7865"/>
        <item h="1" m="1" x="7866"/>
        <item h="1" m="1" x="6930"/>
        <item h="1" m="1" x="6928"/>
        <item h="1" m="1" x="7302"/>
        <item h="1" m="1" x="6938"/>
        <item h="1" m="1" x="7469"/>
        <item h="1" m="1" x="3887"/>
        <item h="1" m="1" x="6862"/>
        <item h="1" m="1" x="7867"/>
        <item h="1" m="1" x="7868"/>
        <item h="1" m="1" x="7869"/>
        <item h="1" m="1" x="7477"/>
        <item h="1" m="1" x="7478"/>
        <item h="1" m="1" x="6889"/>
        <item h="1" m="1" x="7481"/>
        <item h="1" m="1" x="7871"/>
        <item h="1" m="1" x="7872"/>
        <item h="1" m="1" x="7873"/>
        <item h="1" m="1" x="2154"/>
        <item h="1" m="1" x="7495"/>
        <item h="1" m="1" x="7496"/>
        <item h="1" m="1" x="6917"/>
        <item h="1" m="1" x="7656"/>
        <item h="1" m="1" x="6853"/>
        <item h="1" m="1" x="6855"/>
        <item h="1" m="1" x="6569"/>
        <item h="1" m="1" x="7503"/>
        <item h="1" m="1" x="7504"/>
        <item h="1" m="1" x="7510"/>
        <item h="1" m="1" x="7516"/>
        <item h="1" m="1" x="7515"/>
        <item h="1" m="1" x="2719"/>
        <item h="1" m="1" x="7659"/>
        <item h="1" m="1" x="7657"/>
        <item h="1" m="1" x="6617"/>
        <item h="1" m="1" x="7662"/>
        <item h="1" m="1" x="6630"/>
        <item h="1" m="1" x="6641"/>
        <item h="1" m="1" x="6653"/>
        <item h="1" m="1" x="6664"/>
        <item h="1" m="1" x="6651"/>
        <item h="1" m="1" x="7668"/>
        <item h="1" m="1" x="7671"/>
        <item h="1" m="1" x="7552"/>
        <item h="1" m="1" x="7572"/>
        <item h="1" m="1" x="7576"/>
        <item h="1" m="1" x="7577"/>
        <item h="1" m="1" x="7564"/>
        <item h="1" m="1" x="7569"/>
        <item h="1" m="1" x="7571"/>
        <item h="1" m="1" x="7573"/>
        <item h="1" m="1" x="7674"/>
        <item h="1" m="1" x="7579"/>
        <item h="1" m="1" x="6774"/>
        <item h="1" m="1" x="6780"/>
        <item h="1" m="1" x="6778"/>
        <item h="1" m="1" x="4652"/>
        <item h="1" m="1" x="6083"/>
        <item h="1" m="1" x="7680"/>
        <item h="1" m="1" x="7742"/>
        <item h="1" m="1" x="7684"/>
        <item h="1" m="1" x="7686"/>
        <item h="1" m="1" x="4936"/>
        <item h="1" m="1" x="6586"/>
        <item h="1" m="1" x="7689"/>
        <item h="1" m="1" x="7687"/>
        <item h="1" m="1" x="7688"/>
        <item h="1" m="1" x="7747"/>
        <item h="1" m="1" x="7748"/>
        <item h="1" m="1" x="7690"/>
        <item h="1" m="1" x="7749"/>
        <item h="1" m="1" x="7750"/>
        <item h="1" m="1" x="7751"/>
        <item h="1" m="1" x="7695"/>
        <item h="1" m="1" x="7692"/>
        <item h="1" m="1" x="7693"/>
        <item h="1" m="1" x="7646"/>
        <item h="1" m="1" x="7753"/>
        <item h="1" m="1" x="7700"/>
        <item h="1" m="1" x="7702"/>
        <item h="1" m="1" x="6860"/>
        <item h="1" m="1" x="7698"/>
        <item h="1" m="1" x="7699"/>
        <item h="1" m="1" x="7703"/>
        <item h="1" m="1" x="6585"/>
        <item h="1" m="1" x="7754"/>
        <item h="1" m="1" x="7755"/>
        <item h="1" m="1" x="7710"/>
        <item h="1" m="1" x="7756"/>
        <item h="1" x="174"/>
        <item h="1" m="1" x="6587"/>
        <item h="1" m="1" x="7757"/>
        <item h="1" m="1" x="7758"/>
        <item h="1" m="1" x="6902"/>
        <item h="1" m="1" x="7760"/>
        <item h="1" m="1" x="7419"/>
        <item h="1" m="1" x="6661"/>
        <item h="1" m="1" x="6654"/>
        <item h="1" m="1" x="1700"/>
        <item h="1" m="1" x="6773"/>
        <item h="1" m="1" x="6663"/>
        <item h="1" m="1" x="6652"/>
        <item h="1" m="1" x="7211"/>
        <item h="1" x="101"/>
        <item h="1" m="1" x="6863"/>
        <item h="1" m="1" x="6864"/>
        <item h="1" m="1" x="7507"/>
        <item h="1" m="1" x="7508"/>
        <item h="1" m="1" x="7509"/>
        <item h="1" m="1" x="1257"/>
        <item h="1" m="1" x="7519"/>
        <item h="1" m="1" x="7518"/>
        <item h="1" m="1" x="7520"/>
        <item h="1" m="1" x="5392"/>
        <item h="1" m="1" x="7660"/>
        <item h="1" m="1" x="6218"/>
        <item h="1" m="1" x="7663"/>
        <item h="1" m="1" x="7664"/>
        <item h="1" m="1" x="7536"/>
        <item h="1" m="1" x="4376"/>
        <item h="1" m="1" x="3613"/>
        <item h="1" m="1" x="6660"/>
        <item h="1" m="1" x="4151"/>
        <item h="1" m="1" x="6724"/>
        <item h="1" m="1" x="7666"/>
        <item h="1" m="1" x="7669"/>
        <item h="1" m="1" x="7670"/>
        <item h="1" m="1" x="5657"/>
        <item h="1" m="1" x="5644"/>
        <item h="1" m="1" x="7672"/>
        <item h="1" m="1" x="7673"/>
        <item h="1" m="1" x="6237"/>
        <item h="1" m="1" x="7580"/>
        <item h="1" m="1" x="7581"/>
        <item h="1" m="1" x="7582"/>
        <item h="1" m="1" x="7584"/>
        <item h="1" m="1" x="7585"/>
        <item h="1" m="1" x="7675"/>
        <item h="1" m="1" x="7590"/>
        <item h="1" m="1" x="7588"/>
        <item h="1" m="1" x="7589"/>
        <item h="1" m="1" x="7676"/>
        <item h="1" m="1" x="7286"/>
        <item h="1" m="1" x="7681"/>
        <item h="1" m="1" x="7682"/>
        <item h="1" m="1" x="7685"/>
        <item h="1" m="1" x="2026"/>
        <item h="1" m="1" x="7616"/>
        <item h="1" m="1" x="6812"/>
        <item h="1" m="1" x="7614"/>
        <item h="1" m="1" x="7615"/>
        <item h="1" m="1" x="6821"/>
        <item h="1" m="1" x="5501"/>
        <item h="1" m="1" x="5502"/>
        <item h="1" m="1" x="7633"/>
        <item h="1" m="1" x="7691"/>
        <item h="1" m="1" x="7300"/>
        <item h="1" m="1" x="7694"/>
        <item h="1" m="1" x="7696"/>
        <item h="1" m="1" x="7697"/>
        <item h="1" m="1" x="7087"/>
        <item h="1" m="1" x="7704"/>
        <item h="1" m="1" x="7705"/>
        <item h="1" m="1" x="7706"/>
        <item h="1" m="1" x="7707"/>
        <item h="1" m="1" x="7708"/>
        <item h="1" m="1" x="7709"/>
        <item h="1" m="1" x="7416"/>
        <item h="1" m="1" x="5111"/>
        <item h="1" m="1" x="6900"/>
        <item h="1" m="1" x="7711"/>
        <item h="1" m="1" x="6903"/>
        <item h="1" m="1" x="7712"/>
        <item h="1" m="1" x="5558"/>
        <item h="1" m="1" x="7713"/>
        <item h="1" m="1" x="7714"/>
        <item h="1" m="1" x="1890"/>
        <item h="1" m="1" x="5563"/>
        <item h="1" m="1" x="6208"/>
        <item h="1" m="1" x="7506"/>
        <item h="1" m="1" x="3149"/>
        <item h="1" m="1" x="7511"/>
        <item h="1" m="1" x="7512"/>
        <item h="1" m="1" x="7513"/>
        <item h="1" m="1" x="7210"/>
        <item h="1" m="1" x="7099"/>
        <item h="1" m="1" x="7527"/>
        <item h="1" m="1" x="7530"/>
        <item h="1" m="1" x="7531"/>
        <item h="1" m="1" x="7532"/>
        <item h="1" m="1" x="7533"/>
        <item h="1" m="1" x="7604"/>
        <item h="1" m="1" x="4643"/>
        <item h="1" m="1" x="7537"/>
        <item h="1" m="1" x="6644"/>
        <item h="1" m="1" x="5409"/>
        <item h="1" m="1" x="6693"/>
        <item h="1" m="1" x="6688"/>
        <item h="1" m="1" x="6689"/>
        <item h="1" m="1" x="7438"/>
        <item h="1" m="1" x="7538"/>
        <item h="1" m="1" x="7539"/>
        <item h="1" m="1" x="7540"/>
        <item h="1" m="1" x="6725"/>
        <item h="1" m="1" x="7541"/>
        <item h="1" m="1" x="6727"/>
        <item h="1" m="1" x="6920"/>
        <item h="1" m="1" x="6726"/>
        <item h="1" m="1" x="7542"/>
        <item h="1" m="1" x="7436"/>
        <item h="1" m="1" x="7437"/>
        <item h="1" m="1" x="7544"/>
        <item h="1" m="1" x="7545"/>
        <item h="1" m="1" x="470"/>
        <item h="1" m="1" x="7546"/>
        <item h="1" m="1" x="7547"/>
        <item h="1" m="1" x="7548"/>
        <item h="1" m="1" x="7549"/>
        <item h="1" m="1" x="7550"/>
        <item h="1" m="1" x="7555"/>
        <item h="1" m="1" x="7556"/>
        <item h="1" m="1" x="7557"/>
        <item h="1" m="1" x="7560"/>
        <item h="1" m="1" x="6734"/>
        <item h="1" m="1" x="7561"/>
        <item h="1" m="1" x="7562"/>
        <item h="1" m="1" x="7563"/>
        <item h="1" m="1" x="7566"/>
        <item h="1" m="1" x="5628"/>
        <item h="1" m="1" x="7568"/>
        <item h="1" m="1" x="6236"/>
        <item h="1" m="1" x="7578"/>
        <item h="1" m="1" x="7586"/>
        <item h="1" m="1" x="7587"/>
        <item h="1" m="1" x="7593"/>
        <item h="1" m="1" x="7594"/>
        <item h="1" m="1" x="6258"/>
        <item h="1" m="1" x="7595"/>
        <item h="1" m="1" x="929"/>
        <item h="1" m="1" x="7596"/>
        <item h="1" m="1" x="7597"/>
        <item h="1" m="1" x="7598"/>
        <item h="1" m="1" x="7599"/>
        <item h="1" m="1" x="660"/>
        <item h="1" m="1" x="7600"/>
        <item h="1" m="1" x="7601"/>
        <item h="1" m="1" x="7602"/>
        <item h="1" m="1" x="7603"/>
        <item h="1" m="1" x="7606"/>
        <item h="1" m="1" x="7607"/>
        <item h="1" m="1" x="7608"/>
        <item h="1" m="1" x="7609"/>
        <item h="1" m="1" x="6611"/>
        <item h="1" m="1" x="7610"/>
        <item h="1" m="1" x="7611"/>
        <item h="1" m="1" x="7612"/>
        <item h="1" m="1" x="7613"/>
        <item h="1" m="1" x="7617"/>
        <item h="1" m="1" x="7618"/>
        <item h="1" m="1" x="7619"/>
        <item h="1" m="1" x="5488"/>
        <item h="1" m="1" x="5487"/>
        <item h="1" m="1" x="2686"/>
        <item h="1" m="1" x="7627"/>
        <item h="1" m="1" x="7628"/>
        <item h="1" m="1" x="7630"/>
        <item h="1" m="1" x="6255"/>
        <item h="1" m="1" x="7631"/>
        <item h="1" m="1" x="7632"/>
        <item h="1" m="1" x="7460"/>
        <item h="1" m="1" x="7461"/>
        <item h="1" m="1" x="7459"/>
        <item h="1" m="1" x="7634"/>
        <item h="1" m="1" x="5083"/>
        <item h="1" m="1" x="7635"/>
        <item h="1" m="1" x="7636"/>
        <item h="1" m="1" x="7637"/>
        <item h="1" m="1" x="7638"/>
        <item h="1" m="1" x="7639"/>
        <item h="1" m="1" x="7640"/>
        <item h="1" m="1" x="7641"/>
        <item h="1" m="1" x="7642"/>
        <item h="1" m="1" x="4395"/>
        <item h="1" m="1" x="7644"/>
        <item h="1" m="1" x="7645"/>
        <item h="1" m="1" x="6846"/>
        <item h="1" m="1" x="7647"/>
        <item h="1" m="1" x="7648"/>
        <item h="1" x="286"/>
        <item h="1" m="1" x="7649"/>
        <item h="1" m="1" x="7650"/>
        <item h="1" m="1" x="6867"/>
        <item h="1" x="296"/>
        <item h="1" m="1" x="7651"/>
        <item h="1" m="1" x="7479"/>
        <item h="1" m="1" x="7480"/>
        <item h="1" m="1" x="7652"/>
        <item h="1" m="1" x="7653"/>
        <item h="1" m="1" x="7654"/>
        <item h="1" m="1" x="6852"/>
        <item h="1" m="1" x="7421"/>
        <item h="1" m="1" x="6895"/>
        <item h="1" m="1" x="6918"/>
        <item h="1" m="1" x="5379"/>
        <item h="1" m="1" x="5378"/>
        <item h="1" m="1" x="7176"/>
        <item h="1" m="1" x="7177"/>
        <item h="1" m="1" x="7175"/>
        <item h="1" m="1" x="7181"/>
        <item h="1" m="1" x="7187"/>
        <item h="1" m="1" x="7188"/>
        <item h="1" m="1" x="7189"/>
        <item h="1" m="1" x="5386"/>
        <item h="1" m="1" x="5393"/>
        <item h="1" m="1" x="2759"/>
        <item h="1" m="1" x="7426"/>
        <item h="1" m="1" x="5394"/>
        <item h="1" m="1" x="5399"/>
        <item h="1" m="1" x="5814"/>
        <item h="1" m="1" x="6658"/>
        <item h="1" m="1" x="3260"/>
        <item h="1" m="1" x="7439"/>
        <item h="1" m="1" x="6655"/>
        <item h="1" m="1" x="6712"/>
        <item h="1" m="1" x="7352"/>
        <item h="1" m="1" x="7353"/>
        <item h="1" m="1" x="7376"/>
        <item h="1" m="1" x="5447"/>
        <item h="1" m="1" x="5448"/>
        <item h="1" m="1" x="5449"/>
        <item h="1" m="1" x="7205"/>
        <item h="1" m="1" x="7213"/>
        <item h="1" m="1" x="7214"/>
        <item h="1" m="1" x="7215"/>
        <item h="1" m="1" x="7378"/>
        <item h="1" m="1" x="7217"/>
        <item h="1" m="1" x="6767"/>
        <item h="1" m="1" x="6768"/>
        <item h="1" m="1" x="7379"/>
        <item h="1" m="1" x="7380"/>
        <item h="1" m="1" x="7384"/>
        <item h="1" m="1" x="7246"/>
        <item h="1" m="1" x="7247"/>
        <item h="1" m="1" x="7248"/>
        <item h="1" m="1" x="7249"/>
        <item h="1" m="1" x="7250"/>
        <item h="1" m="1" x="7251"/>
        <item h="1" m="1" x="7252"/>
        <item h="1" m="1" x="7253"/>
        <item h="1" m="1" x="7149"/>
        <item h="1" m="1" x="7254"/>
        <item h="1" m="1" x="7255"/>
        <item h="1" m="1" x="7244"/>
        <item h="1" m="1" x="7259"/>
        <item h="1" m="1" x="7260"/>
        <item h="1" m="1" x="7261"/>
        <item h="1" m="1" x="7262"/>
        <item h="1" m="1" x="7263"/>
        <item h="1" m="1" x="6882"/>
        <item h="1" m="1" x="7264"/>
        <item h="1" m="1" x="1544"/>
        <item h="1" m="1" x="7265"/>
        <item h="1" m="1" x="7266"/>
        <item h="1" m="1" x="7267"/>
        <item h="1" m="1" x="7256"/>
        <item h="1" m="1" x="7258"/>
        <item h="1" m="1" x="7276"/>
        <item h="1" m="1" x="7282"/>
        <item h="1" m="1" x="6243"/>
        <item h="1" m="1" x="7283"/>
        <item h="1" m="1" x="6811"/>
        <item h="1" m="1" x="7295"/>
        <item h="1" m="1" x="7291"/>
        <item h="1" m="1" x="7441"/>
        <item h="1" m="1" x="7442"/>
        <item h="1" m="1" x="7443"/>
        <item h="1" m="1" x="7444"/>
        <item h="1" m="1" x="7445"/>
        <item h="1" m="1" x="7446"/>
        <item h="1" m="1" x="7447"/>
        <item h="1" m="1" x="7448"/>
        <item h="1" m="1" x="7449"/>
        <item h="1" m="1" x="7450"/>
        <item h="1" m="1" x="7451"/>
        <item h="1" m="1" x="7452"/>
        <item h="1" m="1" x="7453"/>
        <item h="1" m="1" x="7454"/>
        <item h="1" m="1" x="7455"/>
        <item h="1" m="1" x="7456"/>
        <item h="1" m="1" x="7457"/>
        <item h="1" m="1" x="7458"/>
        <item h="1" m="1" x="7399"/>
        <item h="1" m="1" x="5504"/>
        <item h="1" m="1" x="7464"/>
        <item h="1" m="1" x="7466"/>
        <item h="1" m="1" x="6932"/>
        <item h="1" m="1" x="6931"/>
        <item h="1" m="1" x="7008"/>
        <item h="1" m="1" x="7467"/>
        <item h="1" m="1" x="7468"/>
        <item h="1" m="1" x="6934"/>
        <item h="1" m="1" x="7414"/>
        <item h="1" m="1" x="7470"/>
        <item h="1" m="1" x="7471"/>
        <item h="1" m="1" x="5531"/>
        <item h="1" m="1" x="6563"/>
        <item h="1" m="1" x="7472"/>
        <item h="1" m="1" x="7473"/>
        <item h="1" m="1" x="7474"/>
        <item h="1" m="1" x="7476"/>
        <item h="1" m="1" x="7408"/>
        <item h="1" m="1" x="7142"/>
        <item h="1" m="1" x="6942"/>
        <item h="1" m="1" x="7418"/>
        <item h="1" m="1" x="6561"/>
        <item h="1" m="1" x="7482"/>
        <item h="1" m="1" x="7483"/>
        <item h="1" m="1" x="7484"/>
        <item h="1" m="1" x="7485"/>
        <item h="1" m="1" x="7486"/>
        <item h="1" m="1" x="7487"/>
        <item h="1" m="1" x="7488"/>
        <item h="1" m="1" x="7489"/>
        <item h="1" m="1" x="7490"/>
        <item h="1" m="1" x="7491"/>
        <item h="1" m="1" x="7492"/>
        <item h="1" m="1" x="7493"/>
        <item h="1" m="1" x="6884"/>
        <item h="1" m="1" x="6935"/>
        <item h="1" m="1" x="7494"/>
        <item h="1" m="1" x="6897"/>
        <item h="1" m="1" x="6896"/>
        <item h="1" m="1" x="7499"/>
        <item h="1" m="1" x="6933"/>
        <item h="1" m="1" x="7168"/>
        <item h="1" m="1" x="6564"/>
        <item h="1" m="1" x="4125"/>
        <item h="1" m="1" x="2330"/>
        <item h="1" m="1" x="7172"/>
        <item h="1" m="1" x="6575"/>
        <item h="1" m="1" x="7321"/>
        <item h="1" m="1" x="5375"/>
        <item h="1" m="1" x="7179"/>
        <item h="1" m="1" x="7180"/>
        <item h="1" m="1" x="7182"/>
        <item h="1" m="1" x="7106"/>
        <item h="1" m="1" x="7183"/>
        <item h="1" m="1" x="5385"/>
        <item h="1" m="1" x="4123"/>
        <item h="1" m="1" x="7322"/>
        <item h="1" m="1" x="6899"/>
        <item h="1" m="1" x="6220"/>
        <item h="1" m="1" x="6635"/>
        <item h="1" m="1" x="6219"/>
        <item h="1" m="1" x="7118"/>
        <item h="1" m="1" x="6526"/>
        <item h="1" m="1" x="6687"/>
        <item h="1" m="1" x="7349"/>
        <item h="1" m="1" x="7354"/>
        <item h="1" m="1" x="7355"/>
        <item h="1" m="1" x="6714"/>
        <item h="1" m="1" x="6926"/>
        <item h="1" m="1" x="7198"/>
        <item h="1" m="1" x="7199"/>
        <item h="1" m="1" x="7371"/>
        <item h="1" m="1" x="7372"/>
        <item h="1" m="1" x="7375"/>
        <item h="1" m="1" x="7377"/>
        <item h="1" m="1" x="5460"/>
        <item h="1" m="1" x="7381"/>
        <item h="1" m="1" x="7382"/>
        <item h="1" m="1" x="6084"/>
        <item h="1" m="1" x="7396"/>
        <item h="1" m="1" x="7397"/>
        <item h="1" m="1" x="7219"/>
        <item h="1" m="1" x="7220"/>
        <item h="1" m="1" x="7398"/>
        <item h="1" m="1" x="7221"/>
        <item h="1" m="1" x="6100"/>
        <item h="1" m="1" x="7257"/>
        <item h="1" m="1" x="7277"/>
        <item h="1" m="1" x="7278"/>
        <item h="1" m="1" x="7279"/>
        <item h="1" m="1" x="7280"/>
        <item h="1" m="1" x="7281"/>
        <item h="1" m="1" x="7289"/>
        <item h="1" m="1" x="5500"/>
        <item h="1" m="1" x="6815"/>
        <item h="1" m="1" x="7292"/>
        <item h="1" m="1" x="7294"/>
        <item h="1" m="1" x="7226"/>
        <item h="1" m="1" x="7239"/>
        <item h="1" m="1" x="7240"/>
        <item h="1" m="1" x="7241"/>
        <item h="1" m="1" x="7243"/>
        <item h="1" m="1" x="6810"/>
        <item h="1" m="1" x="7400"/>
        <item h="1" m="1" x="7401"/>
        <item h="1" m="1" x="7402"/>
        <item h="1" m="1" x="7403"/>
        <item h="1" m="1" x="7301"/>
        <item h="1" m="1" x="7404"/>
        <item h="1" m="1" x="7405"/>
        <item h="1" m="1" x="7406"/>
        <item h="1" m="1" x="7407"/>
        <item h="1" m="1" x="7409"/>
        <item h="1" m="1" x="7410"/>
        <item h="1" m="1" x="7411"/>
        <item h="1" m="1" x="7412"/>
        <item h="1" m="1" x="7413"/>
        <item h="1" m="1" x="7415"/>
        <item h="1" m="1" x="7311"/>
        <item h="1" m="1" x="3472"/>
        <item h="1" m="1" x="6861"/>
        <item h="1" m="1" x="7088"/>
        <item h="1" m="1" x="6995"/>
        <item h="1" m="1" x="7422"/>
        <item h="1" m="1" x="6898"/>
        <item h="1" m="1" x="6565"/>
        <item h="1" m="1" x="7169"/>
        <item h="1" m="1" x="7170"/>
        <item h="1" m="1" x="6856"/>
        <item h="1" m="1" x="6848"/>
        <item h="1" m="1" x="4832"/>
        <item h="1" m="1" x="1968"/>
        <item h="1" m="1" x="6577"/>
        <item h="1" m="1" x="717"/>
        <item h="1" m="1" x="7173"/>
        <item h="1" m="1" x="7174"/>
        <item h="1" m="1" x="6869"/>
        <item h="1" m="1" x="7178"/>
        <item h="1" m="1" x="7184"/>
        <item h="1" m="1" x="7185"/>
        <item h="1" m="1" x="6603"/>
        <item h="1" m="1" x="7186"/>
        <item h="1" m="1" x="6590"/>
        <item h="1" m="1" x="7190"/>
        <item h="1" m="1" x="6612"/>
        <item h="1" m="1" x="7191"/>
        <item h="1" m="1" x="7192"/>
        <item h="1" m="1" x="5812"/>
        <item h="1" m="1" x="2165"/>
        <item h="1" m="1" x="6637"/>
        <item h="1" m="1" x="993"/>
        <item h="1" m="1" x="7193"/>
        <item h="1" m="1" x="6666"/>
        <item h="1" m="1" x="6667"/>
        <item h="1" m="1" x="6665"/>
        <item h="1" m="1" x="6685"/>
        <item h="1" m="1" x="6695"/>
        <item h="1" m="1" x="6686"/>
        <item h="1" m="1" x="7003"/>
        <item h="1" m="1" x="7194"/>
        <item h="1" m="1" x="6905"/>
        <item h="1" m="1" x="7195"/>
        <item h="1" m="1" x="7196"/>
        <item h="1" m="1" x="7197"/>
        <item h="1" m="1" x="6050"/>
        <item h="1" m="1" x="6922"/>
        <item h="1" m="1" x="7201"/>
        <item h="1" m="1" x="6732"/>
        <item h="1" m="1" x="7203"/>
        <item h="1" m="1" x="4951"/>
        <item h="1" m="1" x="4952"/>
        <item h="1" m="1" x="7206"/>
        <item h="1" m="1" x="6941"/>
        <item h="1" m="1" x="7207"/>
        <item h="1" m="1" x="7208"/>
        <item h="1" m="1" x="6762"/>
        <item h="1" m="1" x="7209"/>
        <item h="1" m="1" x="7212"/>
        <item h="1" m="1" x="6947"/>
        <item h="1" m="1" x="7222"/>
        <item h="1" m="1" x="6245"/>
        <item h="1" m="1" x="6791"/>
        <item h="1" m="1" x="7227"/>
        <item h="1" m="1" x="7228"/>
        <item h="1" m="1" x="7229"/>
        <item h="1" m="1" x="7230"/>
        <item h="1" m="1" x="7231"/>
        <item h="1" m="1" x="7232"/>
        <item h="1" m="1" x="7233"/>
        <item h="1" m="1" x="7234"/>
        <item h="1" m="1" x="7235"/>
        <item h="1" m="1" x="7236"/>
        <item h="1" m="1" x="7028"/>
        <item h="1" m="1" x="7237"/>
        <item h="1" m="1" x="7238"/>
        <item h="1" m="1" x="6798"/>
        <item h="1" m="1" x="7242"/>
        <item h="1" m="1" x="7268"/>
        <item h="1" m="1" x="7269"/>
        <item h="1" m="1" x="3328"/>
        <item h="1" m="1" x="7270"/>
        <item h="1" m="1" x="7271"/>
        <item h="1" m="1" x="7272"/>
        <item h="1" m="1" x="7273"/>
        <item h="1" m="1" x="7274"/>
        <item h="1" m="1" x="7275"/>
        <item h="1" m="1" x="6099"/>
        <item h="1" m="1" x="7284"/>
        <item h="1" m="1" x="7288"/>
        <item h="1" m="1" x="7296"/>
        <item h="1" m="1" x="7297"/>
        <item h="1" m="1" x="7298"/>
        <item h="1" m="1" x="7299"/>
        <item h="1" m="1" x="6894"/>
        <item h="1" m="1" x="6891"/>
        <item h="1" x="0"/>
        <item h="1" m="1" x="7139"/>
        <item h="1" m="1" x="7140"/>
        <item h="1" m="1" x="1794"/>
        <item h="1" m="1" x="6893"/>
        <item h="1" m="1" x="7303"/>
        <item h="1" m="1" x="7304"/>
        <item h="1" m="1" x="7305"/>
        <item h="1" m="1" x="7306"/>
        <item h="1" m="1" x="7307"/>
        <item h="1" m="1" x="7308"/>
        <item h="1" m="1" x="1727"/>
        <item h="1" m="1" x="7309"/>
        <item h="1" m="1" x="7310"/>
        <item h="1" m="1" x="6877"/>
        <item h="1" m="1" x="7312"/>
        <item h="1" m="1" x="6937"/>
        <item h="1" m="1" x="6890"/>
        <item h="1" m="1" x="7313"/>
        <item h="1" m="1" x="7314"/>
        <item h="1" m="1" x="7315"/>
        <item h="1" m="1" x="6859"/>
        <item h="1" m="1" x="7316"/>
        <item h="1" m="1" x="7317"/>
        <item h="1" m="1" x="7318"/>
        <item h="1" m="1" x="6881"/>
        <item h="1" m="1" x="6944"/>
        <item h="1" m="1" x="6973"/>
        <item h="1" m="1" x="7319"/>
        <item h="1" m="1" x="7320"/>
        <item h="1" m="1" x="7049"/>
        <item h="1" m="1" x="7050"/>
        <item h="1" m="1" x="4820"/>
        <item h="1" m="1" x="7051"/>
        <item h="1" m="1" x="7052"/>
        <item h="1" m="1" x="1809"/>
        <item h="1" m="1" x="7053"/>
        <item h="1" m="1" x="7054"/>
        <item h="1" m="1" x="7055"/>
        <item h="1" m="1" x="7056"/>
        <item h="1" m="1" x="7057"/>
        <item h="1" m="1" x="7058"/>
        <item h="1" m="1" x="7059"/>
        <item h="1" m="1" x="7060"/>
        <item h="1" m="1" x="7061"/>
        <item h="1" m="1" x="7063"/>
        <item h="1" m="1" x="7064"/>
        <item h="1" m="1" x="7065"/>
        <item h="1" m="1" x="7067"/>
        <item h="1" m="1" x="7068"/>
        <item h="1" m="1" x="5894"/>
        <item h="1" m="1" x="7069"/>
        <item h="1" m="1" x="7071"/>
        <item h="1" m="1" x="7072"/>
        <item h="1" m="1" x="7073"/>
        <item h="1" m="1" x="7074"/>
        <item h="1" m="1" x="7075"/>
        <item h="1" m="1" x="7076"/>
        <item h="1" m="1" x="7078"/>
        <item h="1" m="1" x="7079"/>
        <item h="1" m="1" x="7080"/>
        <item h="1" m="1" x="7081"/>
        <item h="1" m="1" x="7082"/>
        <item h="1" m="1" x="6967"/>
        <item h="1" m="1" x="1719"/>
        <item h="1" m="1" x="7083"/>
        <item h="1" m="1" x="7085"/>
        <item h="1" m="1" x="7086"/>
        <item h="1" m="1" x="7089"/>
        <item h="1" m="1" x="7090"/>
        <item h="1" m="1" x="6870"/>
        <item h="1" m="1" x="7091"/>
        <item h="1" m="1" x="7092"/>
        <item h="1" m="1" x="7093"/>
        <item h="1" m="1" x="7094"/>
        <item h="1" m="1" x="7095"/>
        <item h="1" m="1" x="6979"/>
        <item h="1" m="1" x="6874"/>
        <item h="1" m="1" x="4805"/>
        <item h="1" m="1" x="7096"/>
        <item h="1" m="1" x="7097"/>
        <item h="1" m="1" x="5365"/>
        <item h="1" m="1" x="7098"/>
        <item h="1" m="1" x="7100"/>
        <item h="1" m="1" x="7101"/>
        <item h="1" m="1" x="7102"/>
        <item h="1" m="1" x="7103"/>
        <item h="1" m="1" x="7104"/>
        <item h="1" m="1" x="7105"/>
        <item h="1" m="1" x="7107"/>
        <item h="1" m="1" x="7108"/>
        <item h="1" m="1" x="5366"/>
        <item h="1" m="1" x="5906"/>
        <item h="1" m="1" x="4625"/>
        <item h="1" m="1" x="7110"/>
        <item h="1" m="1" x="5854"/>
        <item h="1" m="1" x="7111"/>
        <item h="1" m="1" x="7112"/>
        <item h="1" m="1" x="4394"/>
        <item h="1" m="1" x="7113"/>
        <item h="1" x="2"/>
        <item h="1" m="1" x="7114"/>
        <item h="1" m="1" x="6222"/>
        <item h="1" m="1" x="7115"/>
        <item h="1" m="1" x="6639"/>
        <item h="1" m="1" x="4590"/>
        <item h="1" m="1" x="7116"/>
        <item h="1" m="1" x="6638"/>
        <item h="1" m="1" x="7117"/>
        <item h="1" m="1" x="6670"/>
        <item h="1" m="1" x="7119"/>
        <item h="1" m="1" x="6908"/>
        <item h="1" m="1" x="6910"/>
        <item h="1" m="1" x="7120"/>
        <item h="1" m="1" x="6696"/>
        <item h="1" m="1" x="6683"/>
        <item h="1" m="1" x="6684"/>
        <item h="1" m="1" x="7121"/>
        <item h="1" x="3"/>
        <item h="1" x="4"/>
        <item h="1" m="1" x="3150"/>
        <item h="1" m="1" x="3599"/>
        <item h="1" x="5"/>
        <item h="1" m="1" x="7122"/>
        <item h="1" m="1" x="7123"/>
        <item h="1" x="387"/>
        <item h="1" m="1" x="5606"/>
        <item h="1" m="1" x="7124"/>
        <item h="1" m="1" x="7125"/>
        <item h="1" m="1" x="6702"/>
        <item h="1" m="1" x="6701"/>
        <item h="1" m="1" x="7126"/>
        <item h="1" m="1" x="7127"/>
        <item h="1" m="1" x="6705"/>
        <item h="1" m="1" x="6706"/>
        <item h="1" m="1" x="7128"/>
        <item h="1" m="1" x="6717"/>
        <item h="1" m="1" x="6719"/>
        <item h="1" m="1" x="6720"/>
        <item h="1" m="1" x="6919"/>
        <item h="1" x="91"/>
        <item h="1" m="1" x="6388"/>
        <item h="1" m="1" x="6718"/>
        <item h="1" m="1" x="6716"/>
        <item h="1" m="1" x="7007"/>
        <item h="1" m="1" x="7012"/>
        <item h="1" m="1" x="7013"/>
        <item h="1" m="1" x="7010"/>
        <item h="1" m="1" x="7006"/>
        <item h="1" m="1" x="7011"/>
        <item h="1" m="1" x="1167"/>
        <item h="1" m="1" x="7009"/>
        <item h="1" m="1" x="613"/>
        <item h="1" m="1" x="6738"/>
        <item h="1" m="1" x="6740"/>
        <item h="1" m="1" x="6736"/>
        <item h="1" m="1" x="7129"/>
        <item h="1" m="1" x="7130"/>
        <item h="1" m="1" x="7019"/>
        <item h="1" m="1" x="759"/>
        <item h="1" m="1" x="838"/>
        <item h="1" m="1" x="6761"/>
        <item h="1" m="1" x="7132"/>
        <item h="1" m="1" x="7133"/>
        <item h="1" m="1" x="5455"/>
        <item h="1" m="1" x="7134"/>
        <item h="1" m="1" x="7135"/>
        <item h="1" m="1" x="7136"/>
        <item h="1" m="1" x="7137"/>
        <item h="1" m="1" x="7138"/>
        <item h="1" m="1" x="4464"/>
        <item h="1" m="1" x="6082"/>
        <item h="1" m="1" x="6090"/>
        <item h="1" m="1" x="6091"/>
        <item h="1" x="14"/>
        <item h="1" m="1" x="5945"/>
        <item h="1" m="1" x="4982"/>
        <item h="1" m="1" x="6092"/>
        <item h="1" m="1" x="6093"/>
        <item h="1" m="1" x="5944"/>
        <item h="1" m="1" x="5684"/>
        <item h="1" m="1" x="5946"/>
        <item h="1" m="1" x="5685"/>
        <item h="1" m="1" x="7141"/>
        <item h="1" m="1" x="5329"/>
        <item h="1" m="1" x="6246"/>
        <item h="1" m="1" x="7143"/>
        <item h="1" m="1" x="7144"/>
        <item h="1" m="1" x="7145"/>
        <item h="1" m="1" x="7146"/>
        <item h="1" m="1" x="7147"/>
        <item h="1" m="1" x="7148"/>
        <item h="1" m="1" x="7150"/>
        <item h="1" m="1" x="7151"/>
        <item h="1" m="1" x="7152"/>
        <item h="1" m="1" x="7153"/>
        <item h="1" m="1" x="7154"/>
        <item h="1" m="1" x="7155"/>
        <item h="1" m="1" x="7156"/>
        <item h="1" m="1" x="7157"/>
        <item h="1" m="1" x="7158"/>
        <item h="1" m="1" x="7159"/>
        <item h="1" m="1" x="7160"/>
        <item h="1" m="1" x="7161"/>
        <item h="1" m="1" x="7162"/>
        <item h="1" m="1" x="7163"/>
        <item h="1" m="1" x="5709"/>
        <item h="1" m="1" x="7164"/>
        <item h="1" m="1" x="5708"/>
        <item h="1" m="1" x="7165"/>
        <item h="1" m="1" x="7166"/>
        <item h="1" m="1" x="5051"/>
        <item h="1" m="1" x="6291"/>
        <item h="1" m="1" x="6963"/>
        <item h="1" m="1" x="6830"/>
        <item h="1" m="1" x="5798"/>
        <item h="1" m="1" x="6833"/>
        <item h="1" m="1" x="6832"/>
        <item h="1" m="1" x="6831"/>
        <item h="1" m="1" x="6834"/>
        <item h="1" m="1" x="6964"/>
        <item h="1" m="1" x="6965"/>
        <item h="1" m="1" x="6966"/>
        <item h="1" m="1" x="5746"/>
        <item h="1" m="1" x="5194"/>
        <item h="1" m="1" x="6968"/>
        <item h="1" m="1" x="6969"/>
        <item h="1" m="1" x="6970"/>
        <item h="1" m="1" x="6971"/>
        <item h="1" m="1" x="6972"/>
        <item h="1" m="1" x="6849"/>
        <item h="1" m="1" x="6850"/>
        <item h="1" m="1" x="4546"/>
        <item h="1" m="1" x="6851"/>
        <item h="1" m="1" x="6974"/>
        <item h="1" m="1" x="6858"/>
        <item h="1" m="1" x="6857"/>
        <item h="1" m="1" x="6868"/>
        <item h="1" m="1" x="4837"/>
        <item h="1" m="1" x="6873"/>
        <item h="1" m="1" x="6976"/>
        <item h="1" m="1" x="6977"/>
        <item h="1" m="1" x="3284"/>
        <item h="1" m="1" x="6978"/>
        <item h="1" m="1" x="5747"/>
        <item h="1" m="1" x="6980"/>
        <item h="1" m="1" x="5377"/>
        <item h="1" m="1" x="6602"/>
        <item h="1" m="1" x="5571"/>
        <item h="1" m="1" x="6605"/>
        <item h="1" m="1" x="6982"/>
        <item h="1" m="1" x="482"/>
        <item h="1" m="1" x="6216"/>
        <item h="1" m="1" x="5907"/>
        <item h="1" m="1" x="6875"/>
        <item h="1" m="1" x="6876"/>
        <item h="1" m="1" x="6878"/>
        <item h="1" m="1" x="6880"/>
        <item h="1" m="1" x="6983"/>
        <item h="1" m="1" x="6984"/>
        <item h="1" m="1" x="6986"/>
        <item h="1" x="6"/>
        <item h="1" x="1"/>
        <item h="1" m="1" x="6989"/>
        <item h="1" m="1" x="834"/>
        <item h="1" m="1" x="4469"/>
        <item h="1" m="1" x="4575"/>
        <item h="1" m="1" x="6991"/>
        <item h="1" m="1" x="6992"/>
        <item h="1" m="1" x="6993"/>
        <item h="1" m="1" x="6221"/>
        <item h="1" m="1" x="6994"/>
        <item h="1" m="1" x="4573"/>
        <item h="1" m="1" x="6669"/>
        <item h="1" m="1" x="5215"/>
        <item h="1" m="1" x="733"/>
        <item h="1" m="1" x="6999"/>
        <item h="1" m="1" x="7000"/>
        <item h="1" m="1" x="6675"/>
        <item h="1" m="1" x="6907"/>
        <item h="1" m="1" x="6906"/>
        <item h="1" m="1" x="7001"/>
        <item h="1" m="1" x="7002"/>
        <item h="1" m="1" x="6916"/>
        <item h="1" m="1" x="6915"/>
        <item h="1" m="1" x="6682"/>
        <item h="1" m="1" x="6679"/>
        <item h="1" m="1" x="7004"/>
        <item h="1" m="1" x="6901"/>
        <item h="1" m="1" x="6681"/>
        <item h="1" m="1" x="3163"/>
        <item h="1" m="1" x="5430"/>
        <item h="1" m="1" x="5607"/>
        <item h="1" m="1" x="6722"/>
        <item h="1" m="1" x="4977"/>
        <item h="1" m="1" x="6924"/>
        <item h="1" m="1" x="6923"/>
        <item h="1" m="1" x="6513"/>
        <item h="1" m="1" x="7005"/>
        <item h="1" m="1" x="7018"/>
        <item h="1" x="9"/>
        <item h="1" m="1" x="6744"/>
        <item h="1" m="1" x="6743"/>
        <item h="1" m="1" x="6936"/>
        <item h="1" m="1" x="5446"/>
        <item h="1" m="1" x="7020"/>
        <item h="1" x="317"/>
        <item h="1" m="1" x="7021"/>
        <item h="1" m="1" x="7022"/>
        <item h="1" m="1" x="5943"/>
        <item h="1" m="1" x="5065"/>
        <item h="1" m="1" x="5675"/>
        <item h="1" m="1" x="6094"/>
        <item h="1" m="1" x="5948"/>
        <item h="1" m="1" x="5677"/>
        <item h="1" m="1" x="5949"/>
        <item h="1" m="1" x="5687"/>
        <item h="1" m="1" x="5688"/>
        <item h="1" m="1" x="5951"/>
        <item h="1" m="1" x="7023"/>
        <item h="1" m="1" x="7024"/>
        <item h="1" m="1" x="1695"/>
        <item h="1" m="1" x="7025"/>
        <item h="1" m="1" x="7026"/>
        <item h="1" m="1" x="7027"/>
        <item h="1" m="1" x="7029"/>
        <item h="1" m="1" x="4675"/>
        <item h="1" m="1" x="7030"/>
        <item h="1" m="1" x="7031"/>
        <item h="1" m="1" x="7032"/>
        <item h="1" m="1" x="7033"/>
        <item h="1" m="1" x="7034"/>
        <item h="1" m="1" x="7035"/>
        <item h="1" m="1" x="7036"/>
        <item h="1" m="1" x="7037"/>
        <item h="1" m="1" x="7038"/>
        <item h="1" m="1" x="7039"/>
        <item h="1" m="1" x="7040"/>
        <item h="1" m="1" x="7042"/>
        <item h="1" m="1" x="7043"/>
        <item h="1" m="1" x="7044"/>
        <item h="1" m="1" x="7045"/>
        <item h="1" m="1" x="7047"/>
        <item h="1" m="1" x="6962"/>
        <item h="1" m="1" x="7048"/>
        <item h="1" m="1" x="4047"/>
        <item h="1" m="1" x="5989"/>
        <item h="1" m="1" x="6829"/>
        <item h="1" m="1" x="5339"/>
        <item h="1" m="1" x="6837"/>
        <item h="1" m="1" x="6838"/>
        <item h="1" m="1" x="6839"/>
        <item h="1" m="1" x="6840"/>
        <item h="1" m="1" x="6841"/>
        <item h="1" m="1" x="6842"/>
        <item h="1" m="1" x="6843"/>
        <item h="1" m="1" x="6844"/>
        <item h="1" m="1" x="6845"/>
        <item h="1" m="1" x="6568"/>
        <item h="1" m="1" x="4290"/>
        <item h="1" m="1" x="4901"/>
        <item h="1" m="1" x="5897"/>
        <item h="1" m="1" x="3656"/>
        <item h="1" m="1" x="6576"/>
        <item h="1" m="1" x="6343"/>
        <item h="1" m="1" x="6344"/>
        <item h="1" m="1" x="6313"/>
        <item h="1" m="1" x="6582"/>
        <item h="1" m="1" x="6871"/>
        <item h="1" m="1" x="6872"/>
        <item h="1" m="1" x="5380"/>
        <item h="1" m="1" x="4842"/>
        <item h="1" m="1" x="6598"/>
        <item h="1" m="1" x="6599"/>
        <item h="1" m="1" x="5358"/>
        <item h="1" m="1" x="4168"/>
        <item h="1" m="1" x="6608"/>
        <item h="1" m="1" x="6609"/>
        <item h="1" m="1" x="6600"/>
        <item h="1" x="31"/>
        <item h="1" m="1" x="4878"/>
        <item h="1" m="1" x="5391"/>
        <item h="1" m="1" x="4879"/>
        <item h="1" m="1" x="5579"/>
        <item h="1" m="1" x="3922"/>
        <item h="1" m="1" x="5808"/>
        <item h="1" m="1" x="6632"/>
        <item h="1" m="1" x="6636"/>
        <item h="1" m="1" x="6668"/>
        <item h="1" m="1" x="912"/>
        <item h="1" m="1" x="6671"/>
        <item h="1" m="1" x="6672"/>
        <item h="1" m="1" x="6911"/>
        <item h="1" m="1" x="6912"/>
        <item h="1" m="1" x="6678"/>
        <item h="1" m="1" x="6677"/>
        <item h="1" m="1" x="6676"/>
        <item h="1" m="1" x="6680"/>
        <item h="1" m="1" x="6694"/>
        <item h="1" m="1" x="6913"/>
        <item h="1" m="1" x="4915"/>
        <item h="1" m="1" x="6699"/>
        <item h="1" m="1" x="5605"/>
        <item h="1" m="1" x="6698"/>
        <item h="1" m="1" x="6703"/>
        <item h="1" m="1" x="5604"/>
        <item h="1" m="1" x="6723"/>
        <item h="1" m="1" x="4898"/>
        <item h="1" m="1" x="6707"/>
        <item h="1" m="1" x="5931"/>
        <item h="1" m="1" x="6927"/>
        <item h="1" m="1" x="6733"/>
        <item h="1" m="1" x="6731"/>
        <item h="1" m="1" x="760"/>
        <item h="1" m="1" x="6756"/>
        <item h="1" m="1" x="6757"/>
        <item h="1" m="1" x="6765"/>
        <item h="1" m="1" x="6763"/>
        <item h="1" m="1" x="4966"/>
        <item h="1" m="1" x="6770"/>
        <item h="1" m="1" x="6771"/>
        <item h="1" m="1" x="6943"/>
        <item h="1" m="1" x="6948"/>
        <item h="1" m="1" x="6952"/>
        <item h="1" m="1" x="6953"/>
        <item h="1" m="1" x="2741"/>
        <item h="1" m="1" x="6954"/>
        <item h="1" m="1" x="6955"/>
        <item h="1" m="1" x="6089"/>
        <item h="1" m="1" x="5960"/>
        <item h="1" m="1" x="6777"/>
        <item h="1" m="1" x="6956"/>
        <item h="1" m="1" x="6783"/>
        <item h="1" m="1" x="6792"/>
        <item h="1" m="1" x="6790"/>
        <item h="1" m="1" x="6793"/>
        <item h="1" m="1" x="6806"/>
        <item h="1" m="1" x="6804"/>
        <item h="1" m="1" x="6805"/>
        <item h="1" m="1" x="6807"/>
        <item h="1" m="1" x="5345"/>
        <item h="1" m="1" x="6799"/>
        <item h="1" m="1" x="6800"/>
        <item h="1" m="1" x="5034"/>
        <item h="1" m="1" x="6257"/>
        <item h="1" m="1" x="6961"/>
        <item h="1" m="1" x="5978"/>
        <item h="1" m="1" x="6560"/>
        <item h="1" m="1" x="6539"/>
        <item h="1" m="1" x="6567"/>
        <item h="1" m="1" x="6169"/>
        <item h="1" m="1" x="6213"/>
        <item h="1" m="1" x="6212"/>
        <item h="1" m="1" x="6573"/>
        <item h="1" m="1" x="6574"/>
        <item h="1" m="1" x="6578"/>
        <item h="1" m="1" x="6579"/>
        <item h="1" m="1" x="6580"/>
        <item h="1" m="1" x="6581"/>
        <item h="1" m="1" x="6583"/>
        <item h="1" m="1" x="6584"/>
        <item h="1" m="1" x="6588"/>
        <item h="1" m="1" x="6589"/>
        <item h="1" m="1" x="5332"/>
        <item h="1" m="1" x="5376"/>
        <item h="1" m="1" x="636"/>
        <item h="1" m="1" x="6606"/>
        <item h="1" m="1" x="6607"/>
        <item h="1" m="1" x="4857"/>
        <item h="1" m="1" x="6615"/>
        <item h="1" m="1" x="6622"/>
        <item h="1" m="1" x="6623"/>
        <item h="1" m="1" x="4691"/>
        <item h="1" m="1" x="1795"/>
        <item h="1" m="1" x="6267"/>
        <item h="1" m="1" x="1796"/>
        <item h="1" m="1" x="6360"/>
        <item h="1" m="1" x="6223"/>
        <item h="1" m="1" x="5303"/>
        <item h="1" m="1" x="6673"/>
        <item h="1" m="1" x="6674"/>
        <item h="1" m="1" x="6361"/>
        <item h="1" m="1" x="6697"/>
        <item h="1" m="1" x="2027"/>
        <item h="1" m="1" x="6700"/>
        <item h="1" m="1" x="6527"/>
        <item h="1" m="1" x="6483"/>
        <item h="1" m="1" x="6451"/>
        <item h="1" m="1" x="6747"/>
        <item h="1" m="1" x="6748"/>
        <item h="1" m="1" x="6750"/>
        <item h="1" m="1" x="6758"/>
        <item h="1" m="1" x="6764"/>
        <item h="1" m="1" x="6766"/>
        <item h="1" m="1" x="5937"/>
        <item h="1" m="1" x="5875"/>
        <item h="1" m="1" x="6466"/>
        <item h="1" m="1" x="6088"/>
        <item h="1" m="1" x="5148"/>
        <item h="1" m="1" x="5958"/>
        <item h="1" m="1" x="5959"/>
        <item h="1" m="1" x="5674"/>
        <item h="1" m="1" x="6779"/>
        <item h="1" m="1" x="6781"/>
        <item h="1" m="1" x="6782"/>
        <item h="1" m="1" x="6789"/>
        <item h="1" m="1" x="6794"/>
        <item h="1" m="1" x="6795"/>
        <item h="1" m="1" x="6796"/>
        <item h="1" m="1" x="6797"/>
        <item h="1" m="1" x="6248"/>
        <item h="1" m="1" x="6801"/>
        <item h="1" m="1" x="6802"/>
        <item h="1" m="1" x="6808"/>
        <item h="1" m="1" x="6813"/>
        <item h="1" m="1" x="6256"/>
        <item h="1" m="1" x="6823"/>
        <item h="1" m="1" x="6824"/>
        <item h="1" m="1" x="6825"/>
        <item h="1" m="1" x="6367"/>
        <item h="1" m="1" x="6207"/>
        <item h="1" m="1" x="6368"/>
        <item h="1" m="1" x="6209"/>
        <item h="1" m="1" x="5567"/>
        <item h="1" m="1" x="3991"/>
        <item h="1" m="1" x="4829"/>
        <item h="1" m="1" x="6369"/>
        <item h="1" m="1" x="6370"/>
        <item h="1" m="1" x="6371"/>
        <item h="1" m="1" x="6372"/>
        <item h="1" m="1" x="5905"/>
        <item h="1" m="1" x="6373"/>
        <item h="1" m="1" x="6374"/>
        <item h="1" m="1" x="5220"/>
        <item h="1" m="1" x="5222"/>
        <item h="1" m="1" x="5221"/>
        <item h="1" m="1" x="5574"/>
        <item h="1" m="1" x="5575"/>
        <item h="1" m="1" x="5223"/>
        <item h="1" m="1" x="5224"/>
        <item h="1" m="1" x="1743"/>
        <item h="1" m="1" x="2282"/>
        <item h="1" m="1" x="6375"/>
        <item h="1" m="1" x="6376"/>
        <item h="1" m="1" x="4856"/>
        <item h="1" m="1" x="5465"/>
        <item h="1" m="1" x="1840"/>
        <item h="1" m="1" x="1088"/>
        <item h="1" m="1" x="4831"/>
        <item h="1" m="1" x="6049"/>
        <item h="1" m="1" x="5924"/>
        <item h="1" m="1" x="5903"/>
        <item h="1" m="1" x="5902"/>
        <item h="1" m="1" x="5577"/>
        <item h="1" m="1" x="4870"/>
        <item h="1" m="1" x="4869"/>
        <item h="1" m="1" x="6379"/>
        <item h="1" m="1" x="6380"/>
        <item h="1" m="1" x="6381"/>
        <item h="1" m="1" x="1735"/>
        <item h="1" m="1" x="6230"/>
        <item h="1" m="1" x="5397"/>
        <item h="1" m="1" x="6226"/>
        <item h="1" m="1" x="6227"/>
        <item h="1" m="1" x="6228"/>
        <item h="1" m="1" x="6229"/>
        <item h="1" m="1" x="6224"/>
        <item h="1" m="1" x="6225"/>
        <item h="1" m="1" x="4268"/>
        <item h="1" m="1" x="6382"/>
        <item h="1" m="1" x="5927"/>
        <item h="1" m="1" x="5404"/>
        <item h="1" m="1" x="5402"/>
        <item h="1" m="1" x="6384"/>
        <item h="1" m="1" x="5423"/>
        <item h="1" m="1" x="5422"/>
        <item h="1" m="1" x="5425"/>
        <item h="1" m="1" x="5424"/>
        <item h="1" m="1" x="4914"/>
        <item h="1" m="1" x="5429"/>
        <item h="1" m="1" x="6385"/>
        <item h="1" m="1" x="5613"/>
        <item h="1" m="1" x="6386"/>
        <item h="1" m="1" x="6387"/>
        <item h="1" m="1" x="4924"/>
        <item h="1" m="1" x="4919"/>
        <item h="1" m="1" x="6073"/>
        <item h="1" m="1" x="6075"/>
        <item h="1" m="1" x="6074"/>
        <item h="1" x="211"/>
        <item h="1" m="1" x="5437"/>
        <item h="1" m="1" x="1156"/>
        <item h="1" m="1" x="5655"/>
        <item h="1" m="1" x="5650"/>
        <item h="1" m="1" x="6390"/>
        <item h="1" m="1" x="6359"/>
        <item h="1" m="1" x="5645"/>
        <item h="1" m="1" x="5647"/>
        <item h="1" m="1" x="5642"/>
        <item h="1" m="1" x="5640"/>
        <item h="1" m="1" x="5641"/>
        <item h="1" m="1" x="5662"/>
        <item h="1" m="1" x="5450"/>
        <item h="1" m="1" x="4945"/>
        <item h="1" m="1" x="6391"/>
        <item h="1" m="1" x="6392"/>
        <item h="1" m="1" x="6393"/>
        <item h="1" m="1" x="6394"/>
        <item h="1" x="226"/>
        <item h="1" m="1" x="6395"/>
        <item h="1" m="1" x="5961"/>
        <item h="1" m="1" x="5673"/>
        <item h="1" m="1" x="6097"/>
        <item h="1" m="1" x="3440"/>
        <item h="1" m="1" x="5672"/>
        <item h="1" m="1" x="5324"/>
        <item h="1" m="1" x="2157"/>
        <item h="1" m="1" x="6085"/>
        <item h="1" m="1" x="6086"/>
        <item h="1" m="1" x="6087"/>
        <item h="1" m="1" x="3410"/>
        <item h="1" m="1" x="6396"/>
        <item h="1" m="1" x="6244"/>
        <item h="1" m="1" x="6397"/>
        <item h="1" m="1" x="6398"/>
        <item h="1" m="1" x="6399"/>
        <item h="1" m="1" x="6400"/>
        <item h="1" m="1" x="6401"/>
        <item h="1" m="1" x="5470"/>
        <item h="1" m="1" x="5482"/>
        <item h="1" m="1" x="6402"/>
        <item h="1" m="1" x="6403"/>
        <item h="1" m="1" x="5484"/>
        <item h="1" m="1" x="6404"/>
        <item h="1" m="1" x="6405"/>
        <item h="1" m="1" x="6406"/>
        <item h="1" m="1" x="6407"/>
        <item h="1" m="1" x="6408"/>
        <item h="1" m="1" x="6409"/>
        <item h="1" m="1" x="6410"/>
        <item h="1" m="1" x="6411"/>
        <item h="1" m="1" x="6412"/>
        <item h="1" m="1" x="6413"/>
        <item h="1" m="1" x="5480"/>
        <item h="1" m="1" x="6252"/>
        <item h="1" m="1" x="5060"/>
        <item h="1" m="1" x="4718"/>
        <item h="1" m="1" x="5008"/>
        <item h="1" m="1" x="5009"/>
        <item h="1" m="1" x="6414"/>
        <item h="1" m="1" x="6415"/>
        <item h="1" m="1" x="6416"/>
        <item h="1" m="1" x="6417"/>
        <item h="1" m="1" x="4404"/>
        <item h="1" m="1" x="734"/>
        <item h="1" m="1" x="5489"/>
        <item h="1" m="1" x="6418"/>
        <item h="1" m="1" x="6419"/>
        <item h="1" m="1" x="6420"/>
        <item h="1" m="1" x="6421"/>
        <item h="1" m="1" x="6422"/>
        <item h="1" m="1" x="6423"/>
        <item h="1" m="1" x="5048"/>
        <item h="1" m="1" x="5874"/>
        <item h="1" m="1" x="5965"/>
        <item h="1" m="1" x="6424"/>
        <item h="1" m="1" x="5483"/>
        <item h="1" m="1" x="6425"/>
        <item h="1" m="1" x="6426"/>
        <item h="1" m="1" x="2834"/>
        <item h="1" m="1" x="975"/>
        <item h="1" m="1" x="6427"/>
        <item h="1" m="1" x="6428"/>
        <item h="1" m="1" x="6429"/>
        <item h="1" m="1" x="6430"/>
        <item h="1" m="1" x="6431"/>
        <item h="1" m="1" x="6432"/>
        <item h="1" m="1" x="6433"/>
        <item h="1" m="1" x="6434"/>
        <item h="1" m="1" x="6435"/>
        <item h="1" m="1" x="6437"/>
        <item h="1" m="1" x="6438"/>
        <item h="1" m="1" x="6439"/>
        <item h="1" m="1" x="6440"/>
        <item h="1" m="1" x="6441"/>
        <item h="1" m="1" x="6442"/>
        <item h="1" m="1" x="6443"/>
        <item h="1" m="1" x="6444"/>
        <item h="1" m="1" x="6445"/>
        <item h="1" m="1" x="6446"/>
        <item h="1" m="1" x="6447"/>
        <item h="1" m="1" x="6448"/>
        <item h="1" m="1" x="6449"/>
        <item h="1" m="1" x="6450"/>
        <item h="1" m="1" x="6452"/>
        <item h="1" m="1" x="6453"/>
        <item h="1" m="1" x="6454"/>
        <item h="1" m="1" x="6455"/>
        <item h="1" m="1" x="6456"/>
        <item h="1" m="1" x="6457"/>
        <item h="1" m="1" x="6458"/>
        <item h="1" m="1" x="6459"/>
        <item h="1" m="1" x="6460"/>
        <item h="1" m="1" x="6461"/>
        <item h="1" m="1" x="5067"/>
        <item h="1" m="1" x="6275"/>
        <item h="1" m="1" x="6462"/>
        <item h="1" m="1" x="708"/>
        <item h="1" m="1" x="6271"/>
        <item h="1" m="1" x="6270"/>
        <item h="1" m="1" x="6269"/>
        <item h="1" m="1" x="6297"/>
        <item h="1" m="1" x="6285"/>
        <item h="1" m="1" x="6286"/>
        <item h="1" m="1" x="6295"/>
        <item h="1" m="1" x="6292"/>
        <item h="1" m="1" x="6293"/>
        <item h="1" m="1" x="6294"/>
        <item h="1" m="1" x="6289"/>
        <item h="1" m="1" x="6288"/>
        <item h="1" m="1" x="6290"/>
        <item h="1" m="1" x="6296"/>
        <item h="1" m="1" x="6274"/>
        <item h="1" m="1" x="6278"/>
        <item h="1" m="1" x="6279"/>
        <item h="1" m="1" x="6280"/>
        <item h="1" m="1" x="6281"/>
        <item h="1" m="1" x="5198"/>
        <item h="1" m="1" x="6282"/>
        <item h="1" m="1" x="6283"/>
        <item h="1" m="1" x="6284"/>
        <item h="1" m="1" x="6463"/>
        <item h="1" m="1" x="6464"/>
        <item h="1" m="1" x="6465"/>
        <item h="1" m="1" x="6467"/>
        <item h="1" m="1" x="6468"/>
        <item h="1" m="1" x="6469"/>
        <item h="1" m="1" x="3338"/>
        <item h="1" m="1" x="6470"/>
        <item h="1" m="1" x="6310"/>
        <item h="1" m="1" x="6311"/>
        <item h="1" m="1" x="6309"/>
        <item h="1" m="1" x="6471"/>
        <item h="1" m="1" x="6312"/>
        <item h="1" m="1" x="5290"/>
        <item h="1" m="1" x="6472"/>
        <item h="1" m="1" x="6473"/>
        <item h="1" m="1" x="6474"/>
        <item h="1" m="1" x="6475"/>
        <item h="1" m="1" x="6316"/>
        <item h="1" m="1" x="6300"/>
        <item h="1" m="1" x="6476"/>
        <item h="1" m="1" x="6477"/>
        <item h="1" m="1" x="3999"/>
        <item h="1" m="1" x="6478"/>
        <item h="1" m="1" x="6479"/>
        <item h="1" m="1" x="6480"/>
        <item h="1" m="1" x="6481"/>
        <item h="1" m="1" x="6484"/>
        <item h="1" m="1" x="6143"/>
        <item h="1" m="1" x="6485"/>
        <item h="1" m="1" x="6486"/>
        <item h="1" m="1" x="6487"/>
        <item h="1" m="1" x="6488"/>
        <item h="1" m="1" x="6489"/>
        <item h="1" m="1" x="6490"/>
        <item h="1" m="1" x="6491"/>
        <item h="1" m="1" x="6492"/>
        <item h="1" m="1" x="6494"/>
        <item h="1" m="1" x="6495"/>
        <item h="1" m="1" x="5541"/>
        <item h="1" m="1" x="6158"/>
        <item h="1" m="1" x="6496"/>
        <item h="1" m="1" x="6497"/>
        <item h="1" m="1" x="6498"/>
        <item h="1" m="1" x="6499"/>
        <item h="1" m="1" x="786"/>
        <item h="1" m="1" x="6500"/>
        <item h="1" m="1" x="5302"/>
        <item h="1" m="1" x="6501"/>
        <item h="1" m="1" x="6502"/>
        <item h="1" m="1" x="6504"/>
        <item h="1" m="1" x="6505"/>
        <item h="1" m="1" x="6506"/>
        <item h="1" m="1" x="6507"/>
        <item h="1" x="10"/>
        <item h="1" m="1" x="6508"/>
        <item h="1" m="1" x="6509"/>
        <item h="1" m="1" x="2205"/>
        <item h="1" m="1" x="6510"/>
        <item h="1" m="1" x="6511"/>
        <item h="1" m="1" x="6512"/>
        <item h="1" m="1" x="6515"/>
        <item h="1" m="1" x="6516"/>
        <item h="1" m="1" x="6517"/>
        <item h="1" m="1" x="6518"/>
        <item h="1" m="1" x="6519"/>
        <item h="1" m="1" x="6520"/>
        <item h="1" m="1" x="6521"/>
        <item h="1" m="1" x="6522"/>
        <item h="1" m="1" x="6523"/>
        <item h="1" m="1" x="6524"/>
        <item h="1" m="1" x="6525"/>
        <item h="1" m="1" x="6346"/>
        <item h="1" m="1" x="5135"/>
        <item h="1" m="1" x="6345"/>
        <item h="1" m="1" x="6348"/>
        <item h="1" m="1" x="6357"/>
        <item h="1" m="1" x="6356"/>
        <item h="1" m="1" x="6355"/>
        <item h="1" m="1" x="6350"/>
        <item h="1" m="1" x="6529"/>
        <item h="1" m="1" x="6530"/>
        <item h="1" m="1" x="6531"/>
        <item h="1" m="1" x="5795"/>
        <item h="1" m="1" x="5147"/>
        <item h="1" m="1" x="3441"/>
        <item h="1" m="1" x="6532"/>
        <item h="1" m="1" x="6534"/>
        <item h="1" m="1" x="6536"/>
        <item h="1" m="1" x="6538"/>
        <item h="1" m="1" x="1215"/>
        <item h="1" m="1" x="6540"/>
        <item h="1" m="1" x="6543"/>
        <item h="1" m="1" x="6544"/>
        <item h="1" m="1" x="5153"/>
        <item h="1" m="1" x="2548"/>
        <item h="1" m="1" x="5328"/>
        <item h="1" m="1" x="6548"/>
        <item h="1" m="1" x="6549"/>
        <item h="1" m="1" x="6550"/>
        <item h="1" m="1" x="5796"/>
        <item h="1" m="1" x="6552"/>
        <item h="1" m="1" x="6553"/>
        <item h="1" m="1" x="6554"/>
        <item h="1" m="1" x="6556"/>
        <item h="1" m="1" x="5159"/>
        <item h="1" m="1" x="6557"/>
        <item h="1" m="1" x="6558"/>
        <item h="1" m="1" x="6559"/>
        <item h="1" x="137"/>
        <item h="1" m="1" x="5562"/>
        <item h="1" m="1" x="4821"/>
        <item h="1" m="1" x="5560"/>
        <item h="1" m="1" x="6210"/>
        <item h="1" m="1" x="4637"/>
        <item h="1" m="1" x="4848"/>
        <item h="1" m="1" x="5363"/>
        <item h="1" m="1" x="6215"/>
        <item h="1" m="1" x="6217"/>
        <item h="1" m="1" x="4858"/>
        <item h="1" m="1" x="4565"/>
        <item h="1" m="1" x="5580"/>
        <item h="1" m="1" x="5390"/>
        <item h="1" m="1" x="4871"/>
        <item h="1" m="1" x="5389"/>
        <item h="1" m="1" x="6231"/>
        <item h="1" m="1" x="6232"/>
        <item h="1" m="1" x="6233"/>
        <item h="1" m="1" x="5438"/>
        <item h="1" m="1" x="5594"/>
        <item h="1" m="1" x="5595"/>
        <item h="1" m="1" x="4688"/>
        <item h="1" m="1" x="4690"/>
        <item h="1" m="1" x="5418"/>
        <item h="1" m="1" x="5600"/>
        <item h="1" m="1" x="5428"/>
        <item h="1" m="1" x="5617"/>
        <item h="1" m="1" x="5654"/>
        <item h="1" m="1" x="4455"/>
        <item h="1" m="1" x="5614"/>
        <item h="1" m="1" x="2531"/>
        <item h="1" m="1" x="5626"/>
        <item h="1" m="1" x="5618"/>
        <item h="1" m="1" x="2378"/>
        <item h="1" m="1" x="6176"/>
        <item h="1" m="1" x="5658"/>
        <item h="1" m="1" x="4701"/>
        <item h="1" m="1" x="4954"/>
        <item h="1" m="1" x="6238"/>
        <item h="1" m="1" x="5458"/>
        <item h="1" m="1" x="6239"/>
        <item h="1" m="1" x="5938"/>
        <item h="1" m="1" x="5692"/>
        <item h="1" m="1" x="5953"/>
        <item h="1" m="1" x="5954"/>
        <item h="1" m="1" x="4937"/>
        <item h="1" m="1" x="5955"/>
        <item h="1" m="1" x="5956"/>
        <item h="1" m="1" x="4980"/>
        <item h="1" m="1" x="6101"/>
        <item h="1" m="1" x="6240"/>
        <item h="1" m="1" x="6241"/>
        <item h="1" m="1" x="6242"/>
        <item h="1" m="1" x="6247"/>
        <item h="1" x="7"/>
        <item h="1" m="1" x="5259"/>
        <item h="1" m="1" x="5260"/>
        <item h="1" m="1" x="5249"/>
        <item h="1" m="1" x="6249"/>
        <item h="1" m="1" x="6250"/>
        <item h="1" m="1" x="6251"/>
        <item h="1" m="1" x="6253"/>
        <item h="1" m="1" x="1854"/>
        <item h="1" m="1" x="6254"/>
        <item h="1" m="1" x="5486"/>
        <item h="1" m="1" x="5040"/>
        <item h="1" m="1" x="6177"/>
        <item h="1" m="1" x="6178"/>
        <item h="1" m="1" x="6179"/>
        <item h="1" m="1" x="2553"/>
        <item h="1" m="1" x="5033"/>
        <item h="1" m="1" x="6259"/>
        <item h="1" m="1" x="6260"/>
        <item h="1" m="1" x="6261"/>
        <item h="1" m="1" x="6262"/>
        <item h="1" m="1" x="6263"/>
        <item h="1" m="1" x="6264"/>
        <item h="1" m="1" x="6265"/>
        <item h="1" m="1" x="6266"/>
        <item h="1" m="1" x="5068"/>
        <item h="1" m="1" x="5994"/>
        <item h="1" m="1" x="6268"/>
        <item h="1" m="1" x="6272"/>
        <item h="1" m="1" x="6273"/>
        <item h="1" m="1" x="6276"/>
        <item h="1" m="1" x="6277"/>
        <item h="1" m="1" x="6287"/>
        <item h="1" m="1" x="6298"/>
        <item h="1" m="1" x="6299"/>
        <item h="1" m="1" x="6301"/>
        <item h="1" m="1" x="6302"/>
        <item h="1" m="1" x="6303"/>
        <item h="1" m="1" x="6305"/>
        <item h="1" m="1" x="6306"/>
        <item h="1" m="1" x="6307"/>
        <item h="1" m="1" x="6308"/>
        <item h="1" m="1" x="5089"/>
        <item h="1" m="1" x="6314"/>
        <item h="1" m="1" x="6315"/>
        <item h="1" m="1" x="6141"/>
        <item h="1" m="1" x="6317"/>
        <item h="1" m="1" x="6321"/>
        <item h="1" m="1" x="6319"/>
        <item h="1" m="1" x="6318"/>
        <item h="1" m="1" x="6320"/>
        <item h="1" m="1" x="6322"/>
        <item h="1" m="1" x="6323"/>
        <item h="1" m="1" x="6324"/>
        <item h="1" m="1" x="6325"/>
        <item h="1" m="1" x="6326"/>
        <item h="1" m="1" x="6013"/>
        <item h="1" m="1" x="5748"/>
        <item h="1" m="1" x="6328"/>
        <item h="1" m="1" x="6329"/>
        <item h="1" m="1" x="6330"/>
        <item h="1" m="1" x="6331"/>
        <item h="1" m="1" x="6332"/>
        <item h="1" m="1" x="6333"/>
        <item h="1" m="1" x="6199"/>
        <item h="1" m="1" x="6334"/>
        <item h="1" m="1" x="6335"/>
        <item h="1" m="1" x="6336"/>
        <item h="1" m="1" x="6337"/>
        <item h="1" m="1" x="6338"/>
        <item h="1" m="1" x="6339"/>
        <item h="1" m="1" x="6340"/>
        <item h="1" m="1" x="5542"/>
        <item h="1" m="1" x="6341"/>
        <item h="1" m="1" x="6205"/>
        <item h="1" m="1" x="6206"/>
        <item h="1" m="1" x="6342"/>
        <item h="1" m="1" x="6347"/>
        <item h="1" m="1" x="6349"/>
        <item h="1" m="1" x="1850"/>
        <item h="1" m="1" x="6351"/>
        <item h="1" m="1" x="6352"/>
        <item h="1" m="1" x="6353"/>
        <item h="1" m="1" x="6354"/>
        <item h="1" m="1" x="6358"/>
        <item h="1" x="12"/>
        <item h="1" m="1" x="4689"/>
        <item h="1" m="1" x="6362"/>
        <item h="1" m="1" x="6363"/>
        <item h="1" m="1" x="6364"/>
        <item h="1" m="1" x="6365"/>
        <item h="1" m="1" x="484"/>
        <item h="1" m="1" x="6048"/>
        <item h="1" m="1" x="5352"/>
        <item h="1" m="1" x="5357"/>
        <item h="1" m="1" x="2113"/>
        <item h="1" m="1" x="6052"/>
        <item h="1" m="1" x="6056"/>
        <item h="1" m="1" x="6055"/>
        <item h="1" m="1" x="4862"/>
        <item h="1" m="1" x="6057"/>
        <item h="1" m="1" x="6058"/>
        <item h="1" m="1" x="6059"/>
        <item h="1" m="1" x="5806"/>
        <item h="1" m="1" x="6051"/>
        <item h="1" m="1" x="6170"/>
        <item h="1" m="1" x="5925"/>
        <item h="1" m="1" x="5387"/>
        <item h="1" m="1" x="4545"/>
        <item h="1" m="1" x="5581"/>
        <item h="1" m="1" x="5582"/>
        <item h="1" m="1" x="3411"/>
        <item h="1" m="1" x="5405"/>
        <item h="1" m="1" x="5820"/>
        <item h="1" m="1" x="4900"/>
        <item h="1" m="1" x="6171"/>
        <item h="1" m="1" x="6172"/>
        <item h="1" m="1" x="6066"/>
        <item h="1" m="1" x="6173"/>
        <item h="1" m="1" x="6174"/>
        <item h="1" m="1" x="6175"/>
        <item h="1" m="1" x="6070"/>
        <item h="1" m="1" x="5611"/>
        <item h="1" m="1" x="4925"/>
        <item h="1" m="1" x="4929"/>
        <item h="1" m="1" x="5666"/>
        <item h="1" m="1" x="722"/>
        <item h="1" m="1" x="5439"/>
        <item h="1" m="1" x="5634"/>
        <item h="1" m="1" x="5636"/>
        <item h="1" m="1" x="5637"/>
        <item h="1" m="1" x="4939"/>
        <item h="1" m="1" x="5630"/>
        <item h="1" m="1" x="5631"/>
        <item h="1" m="1" x="5632"/>
        <item h="1" m="1" x="6079"/>
        <item h="1" m="1" x="6080"/>
        <item h="1" m="1" x="6078"/>
        <item h="1" x="383"/>
        <item h="1" m="1" x="5939"/>
        <item h="1" m="1" x="5952"/>
        <item h="1" m="1" x="5305"/>
        <item h="1" m="1" x="5699"/>
        <item h="1" m="1" x="5001"/>
        <item h="1" m="1" x="6102"/>
        <item h="1" m="1" x="6103"/>
        <item h="1" m="1" x="5702"/>
        <item h="1" m="1" x="6109"/>
        <item h="1" m="1" x="6108"/>
        <item h="1" m="1" x="6118"/>
        <item h="1" m="1" x="6119"/>
        <item h="1" m="1" x="5497"/>
        <item h="1" m="1" x="5267"/>
        <item h="1" m="1" x="6111"/>
        <item h="1" m="1" x="875"/>
        <item h="1" m="1" x="6180"/>
        <item h="1" m="1" x="6181"/>
        <item h="1" m="1" x="6182"/>
        <item h="1" m="1" x="6183"/>
        <item h="1" m="1" x="6184"/>
        <item h="1" m="1" x="6185"/>
        <item h="1" m="1" x="6186"/>
        <item h="1" m="1" x="6187"/>
        <item h="1" m="1" x="6188"/>
        <item h="1" m="1" x="6189"/>
        <item h="1" m="1" x="6190"/>
        <item h="1" m="1" x="6191"/>
        <item h="1" m="1" x="6192"/>
        <item h="1" m="1" x="6193"/>
        <item h="1" m="1" x="6131"/>
        <item h="1" m="1" x="6194"/>
        <item h="1" m="1" x="5539"/>
        <item h="1" m="1" x="6195"/>
        <item h="1" m="1" x="6196"/>
        <item h="1" m="1" x="6000"/>
        <item h="1" m="1" x="6002"/>
        <item h="1" m="1" x="6197"/>
        <item h="1" m="1" x="6198"/>
        <item h="1" m="1" x="6132"/>
        <item h="1" m="1" x="3501"/>
        <item h="1" m="1" x="745"/>
        <item h="1" m="1" x="6146"/>
        <item h="1" m="1" x="6147"/>
        <item h="1" m="1" x="6148"/>
        <item h="1" m="1" x="6149"/>
        <item h="1" m="1" x="6015"/>
        <item h="1" m="1" x="6154"/>
        <item h="1" x="337"/>
        <item h="1" m="1" x="6026"/>
        <item h="1" m="1" x="6157"/>
        <item h="1" m="1" x="6156"/>
        <item h="1" m="1" x="6200"/>
        <item h="1" m="1" x="6201"/>
        <item h="1" m="1" x="6202"/>
        <item h="1" m="1" x="6203"/>
        <item h="1" m="1" x="6033"/>
        <item h="1" m="1" x="5137"/>
        <item h="1" m="1" x="6032"/>
        <item h="1" m="1" x="6204"/>
        <item h="1" m="1" x="6163"/>
        <item h="1" m="1" x="6044"/>
        <item h="1" m="1" x="5323"/>
        <item h="1" m="1" x="3412"/>
        <item h="1" m="1" x="5564"/>
        <item h="1" m="1" x="5347"/>
        <item h="1" m="1" x="6047"/>
        <item h="1" m="1" x="5167"/>
        <item h="1" m="1" x="3655"/>
        <item h="1" m="1" x="5168"/>
        <item h="1" m="1" x="5361"/>
        <item h="1" m="1" x="5362"/>
        <item h="1" m="1" x="5801"/>
        <item h="1" m="1" x="6053"/>
        <item h="1" m="1" x="1843"/>
        <item h="1" m="1" x="5382"/>
        <item h="1" m="1" x="5587"/>
        <item h="1" m="1" x="6061"/>
        <item h="1" m="1" x="4103"/>
        <item h="1" m="1" x="3129"/>
        <item h="1" m="1" x="5811"/>
        <item h="1" m="1" x="6062"/>
        <item h="1" m="1" x="6063"/>
        <item h="1" m="1" x="6064"/>
        <item h="1" m="1" x="6065"/>
        <item h="1" m="1" x="5410"/>
        <item h="1" m="1" x="6067"/>
        <item h="1" m="1" x="6068"/>
        <item h="1" m="1" x="6069"/>
        <item h="1" m="1" x="5603"/>
        <item h="1" m="1" x="5602"/>
        <item h="1" m="1" x="5608"/>
        <item h="1" m="1" x="6071"/>
        <item h="1" m="1" x="4928"/>
        <item h="1" m="1" x="4926"/>
        <item h="1" m="1" x="4927"/>
        <item h="1" m="1" x="5434"/>
        <item h="1" m="1" x="6072"/>
        <item h="1" m="1" x="5435"/>
        <item h="1" m="1" x="5620"/>
        <item h="1" m="1" x="5619"/>
        <item h="1" m="1" x="5179"/>
        <item h="1" m="1" x="5178"/>
        <item h="1" m="1" x="5180"/>
        <item h="1" m="1" x="4950"/>
        <item h="1" m="1" x="4949"/>
        <item h="1" m="1" x="6076"/>
        <item h="1" m="1" x="5185"/>
        <item h="1" m="1" x="5668"/>
        <item h="1" m="1" x="3322"/>
        <item h="1" x="415"/>
        <item h="1" m="1" x="2160"/>
        <item h="1" m="1" x="6077"/>
        <item h="1" m="1" x="692"/>
        <item h="1" m="1" x="6081"/>
        <item h="1" m="1" x="4983"/>
        <item h="1" m="1" x="5957"/>
        <item h="1" m="1" x="2062"/>
        <item h="1" m="1" x="5962"/>
        <item h="1" m="1" x="6096"/>
        <item h="1" m="1" x="5731"/>
        <item h="1" m="1" x="5963"/>
        <item h="1" m="1" x="4200"/>
        <item h="1" m="1" x="6104"/>
        <item h="1" m="1" x="6105"/>
        <item h="1" m="1" x="5020"/>
        <item h="1" m="1" x="6106"/>
        <item h="1" m="1" x="6107"/>
        <item h="1" m="1" x="4719"/>
        <item h="1" m="1" x="921"/>
        <item h="1" m="1" x="6110"/>
        <item h="1" m="1" x="2311"/>
        <item h="1" m="1" x="6112"/>
        <item h="1" x="412"/>
        <item h="1" m="1" x="1287"/>
        <item h="1" m="1" x="6113"/>
        <item h="1" m="1" x="6114"/>
        <item h="1" m="1" x="5041"/>
        <item h="1" m="1" x="6115"/>
        <item h="1" m="1" x="6116"/>
        <item h="1" m="1" x="5872"/>
        <item h="1" m="1" x="5988"/>
        <item h="1" m="1" x="6117"/>
        <item h="1" m="1" x="6120"/>
        <item h="1" m="1" x="6121"/>
        <item h="1" m="1" x="3783"/>
        <item h="1" m="1" x="6122"/>
        <item h="1" m="1" x="6123"/>
        <item h="1" m="1" x="5991"/>
        <item h="1" m="1" x="6124"/>
        <item h="1" m="1" x="6125"/>
        <item h="1" m="1" x="6126"/>
        <item h="1" m="1" x="5072"/>
        <item h="1" m="1" x="5717"/>
        <item h="1" m="1" x="6127"/>
        <item h="1" m="1" x="6128"/>
        <item h="1" m="1" x="6129"/>
        <item h="1" m="1" x="6130"/>
        <item h="1" m="1" x="5997"/>
        <item h="1" m="1" x="5999"/>
        <item h="1" m="1" x="6133"/>
        <item h="1" m="1" x="6134"/>
        <item h="1" m="1" x="6135"/>
        <item h="1" m="1" x="6001"/>
        <item h="1" m="1" x="6136"/>
        <item h="1" m="1" x="6137"/>
        <item h="1" m="1" x="6138"/>
        <item h="1" m="1" x="5088"/>
        <item h="1" m="1" x="6139"/>
        <item h="1" m="1" x="6140"/>
        <item h="1" m="1" x="1941"/>
        <item h="1" m="1" x="6142"/>
        <item h="1" m="1" x="6145"/>
        <item h="1" m="1" x="6010"/>
        <item h="1" m="1" x="6150"/>
        <item h="1" m="1" x="6151"/>
        <item h="1" m="1" x="6020"/>
        <item h="1" m="1" x="6152"/>
        <item h="1" m="1" x="6153"/>
        <item h="1" m="1" x="6011"/>
        <item h="1" m="1" x="6155"/>
        <item h="1" m="1" x="6025"/>
        <item h="1" m="1" x="6027"/>
        <item h="1" m="1" x="2941"/>
        <item h="1" m="1" x="4525"/>
        <item h="1" m="1" x="6159"/>
        <item h="1" m="1" x="2884"/>
        <item h="1" m="1" x="1899"/>
        <item h="1" m="1" x="6160"/>
        <item h="1" m="1" x="6161"/>
        <item h="1" m="1" x="6031"/>
        <item h="1" m="1" x="6035"/>
        <item h="1" m="1" x="6036"/>
        <item h="1" m="1" x="6162"/>
        <item h="1" m="1" x="6164"/>
        <item h="1" m="1" x="6166"/>
        <item h="1" m="1" x="6168"/>
        <item h="1" m="1" x="3438"/>
        <item h="1" m="1" x="6045"/>
        <item h="1" m="1" x="5319"/>
        <item h="1" m="1" x="5320"/>
        <item h="1" m="1" x="5557"/>
        <item h="1" m="1" x="3733"/>
        <item h="1" m="1" x="5341"/>
        <item h="1" m="1" x="5899"/>
        <item h="1" m="1" x="5900"/>
        <item h="1" m="1" x="5901"/>
        <item h="1" m="1" x="5904"/>
        <item h="1" m="1" x="5908"/>
        <item h="1" m="1" x="5909"/>
        <item h="1" m="1" x="4117"/>
        <item h="1" m="1" x="5910"/>
        <item h="1" m="1" x="5911"/>
        <item h="1" m="1" x="5916"/>
        <item h="1" m="1" x="5917"/>
        <item h="1" m="1" x="5918"/>
        <item h="1" m="1" x="5919"/>
        <item h="1" m="1" x="5920"/>
        <item h="1" m="1" x="5921"/>
        <item h="1" m="1" x="5922"/>
        <item h="1" m="1" x="5923"/>
        <item h="1" m="1" x="1893"/>
        <item h="1" m="1" x="4872"/>
        <item h="1" m="1" x="5810"/>
        <item h="1" m="1" x="5588"/>
        <item h="1" m="1" x="5926"/>
        <item h="1" m="1" x="5589"/>
        <item h="1" m="1" x="5599"/>
        <item h="1" m="1" x="5928"/>
        <item h="1" m="1" x="5411"/>
        <item h="1" m="1" x="5413"/>
        <item h="1" m="1" x="5817"/>
        <item h="1" m="1" x="5929"/>
        <item h="1" m="1" x="5930"/>
        <item h="1" x="389"/>
        <item h="1" m="1" x="4456"/>
        <item h="1" m="1" x="5622"/>
        <item h="1" m="1" x="5623"/>
        <item h="1" m="1" x="5181"/>
        <item h="1" m="1" x="5638"/>
        <item h="1" m="1" x="5935"/>
        <item h="1" m="1" x="1276"/>
        <item h="1" m="1" x="5936"/>
        <item h="1" m="1" x="5940"/>
        <item h="1" m="1" x="5941"/>
        <item h="1" m="1" x="5330"/>
        <item h="1" m="1" x="5346"/>
        <item h="1" m="1" x="5942"/>
        <item h="1" m="1" x="4009"/>
        <item h="1" m="1" x="5690"/>
        <item h="1" m="1" x="5691"/>
        <item h="1" m="1" x="4016"/>
        <item h="1" m="1" x="4733"/>
        <item h="1" m="1" x="5964"/>
        <item h="1" m="1" x="5966"/>
        <item h="1" m="1" x="1522"/>
        <item h="1" m="1" x="5967"/>
        <item h="1" m="1" x="5968"/>
        <item h="1" x="74"/>
        <item h="1" m="1" x="5969"/>
        <item h="1" m="1" x="5970"/>
        <item h="1" m="1" x="5971"/>
        <item h="1" m="1" x="5495"/>
        <item h="1" m="1" x="5972"/>
        <item h="1" m="1" x="5973"/>
        <item h="1" m="1" x="2481"/>
        <item h="1" m="1" x="1627"/>
        <item h="1" m="1" x="5974"/>
        <item h="1" m="1" x="5975"/>
        <item h="1" m="1" x="5865"/>
        <item h="1" m="1" x="5264"/>
        <item h="1" m="1" x="1566"/>
        <item h="1" m="1" x="5976"/>
        <item h="1" m="1" x="5490"/>
        <item h="1" m="1" x="5977"/>
        <item h="1" m="1" x="5980"/>
        <item h="1" m="1" x="5981"/>
        <item h="1" m="1" x="5982"/>
        <item h="1" m="1" x="5983"/>
        <item h="1" m="1" x="5984"/>
        <item h="1" m="1" x="5985"/>
        <item h="1" m="1" x="5986"/>
        <item h="1" m="1" x="5061"/>
        <item h="1" m="1" x="5987"/>
        <item h="1" m="1" x="5063"/>
        <item h="1" m="1" x="3828"/>
        <item h="1" m="1" x="4046"/>
        <item h="1" m="1" x="5992"/>
        <item h="1" m="1" x="5993"/>
        <item h="1" m="1" x="5071"/>
        <item h="1" m="1" x="5070"/>
        <item h="1" m="1" x="5724"/>
        <item h="1" m="1" x="5723"/>
        <item h="1" m="1" x="5995"/>
        <item h="1" m="1" x="5996"/>
        <item h="1" m="1" x="5728"/>
        <item h="1" m="1" x="5737"/>
        <item h="1" m="1" x="5738"/>
        <item h="1" m="1" x="5998"/>
        <item h="1" m="1" x="5743"/>
        <item h="1" m="1" x="5744"/>
        <item h="1" m="1" x="5532"/>
        <item h="1" m="1" x="6003"/>
        <item h="1" m="1" x="6004"/>
        <item h="1" m="1" x="6005"/>
        <item h="1" m="1" x="6006"/>
        <item h="1" m="1" x="6008"/>
        <item h="1" m="1" x="6009"/>
        <item h="1" m="1" x="6012"/>
        <item h="1" m="1" x="6014"/>
        <item h="1" m="1" x="6016"/>
        <item h="1" m="1" x="6017"/>
        <item h="1" m="1" x="6018"/>
        <item h="1" m="1" x="6019"/>
        <item h="1" m="1" x="6021"/>
        <item h="1" m="1" x="6022"/>
        <item h="1" m="1" x="6023"/>
        <item h="1" m="1" x="6024"/>
        <item h="1" m="1" x="6028"/>
        <item h="1" m="1" x="6030"/>
        <item h="1" m="1" x="5775"/>
        <item h="1" m="1" x="5770"/>
        <item h="1" m="1" x="5771"/>
        <item h="1" m="1" x="5774"/>
        <item h="1" m="1" x="6037"/>
        <item h="1" m="1" x="6038"/>
        <item h="1" m="1" x="6039"/>
        <item h="1" m="1" x="6040"/>
        <item h="1" m="1" x="6041"/>
        <item h="1" m="1" x="6042"/>
        <item h="1" m="1" x="6043"/>
        <item h="1" m="1" x="1903"/>
        <item h="1" m="1" x="6046"/>
        <item h="1" m="1" x="5322"/>
        <item h="1" m="1" x="5559"/>
        <item h="1" m="1" x="5334"/>
        <item h="1" m="1" x="5335"/>
        <item h="1" m="1" x="5799"/>
        <item h="1" m="1" x="5565"/>
        <item h="1" m="1" x="5566"/>
        <item h="1" m="1" x="5561"/>
        <item h="1" m="1" x="1369"/>
        <item h="1" m="1" x="5800"/>
        <item h="1" m="1" x="4849"/>
        <item h="1" m="1" x="4472"/>
        <item h="1" x="193"/>
        <item h="1" m="1" x="5802"/>
        <item h="1" m="1" x="4833"/>
        <item h="1" m="1" x="5803"/>
        <item h="1" m="1" x="5804"/>
        <item h="1" m="1" x="5805"/>
        <item h="1" m="1" x="4566"/>
        <item h="1" m="1" x="5807"/>
        <item h="1" m="1" x="5809"/>
        <item h="1" m="1" x="5813"/>
        <item h="1" m="1" x="5583"/>
        <item h="1" m="1" x="5584"/>
        <item h="1" m="1" x="3611"/>
        <item h="1" m="1" x="5586"/>
        <item h="1" m="1" x="5815"/>
        <item h="1" m="1" x="5816"/>
        <item h="1" m="1" x="5593"/>
        <item h="1" m="1" x="4687"/>
        <item h="1" m="1" x="3873"/>
        <item h="1" m="1" x="5601"/>
        <item h="1" m="1" x="5818"/>
        <item h="1" m="1" x="5412"/>
        <item h="1" m="1" x="5408"/>
        <item h="1" m="1" x="5819"/>
        <item h="1" m="1" x="5427"/>
        <item h="1" m="1" x="5426"/>
        <item h="1" m="1" x="5821"/>
        <item h="1" m="1" x="4930"/>
        <item h="1" m="1" x="5436"/>
        <item h="1" m="1" x="5822"/>
        <item h="1" m="1" x="5823"/>
        <item h="1" m="1" x="5824"/>
        <item h="1" m="1" x="5826"/>
        <item h="1" m="1" x="5653"/>
        <item h="1" m="1" x="4941"/>
        <item h="1" m="1" x="5827"/>
        <item h="1" m="1" x="5828"/>
        <item h="1" m="1" x="5829"/>
        <item h="1" m="1" x="5830"/>
        <item h="1" m="1" x="5831"/>
        <item h="1" m="1" x="5833"/>
        <item h="1" m="1" x="5834"/>
        <item h="1" m="1" x="5451"/>
        <item h="1" m="1" x="5836"/>
        <item h="1" m="1" x="5837"/>
        <item h="1" m="1" x="4006"/>
        <item h="1" m="1" x="4953"/>
        <item h="1" m="1" x="5838"/>
        <item h="1" m="1" x="5839"/>
        <item h="1" m="1" x="5840"/>
        <item h="1" m="1" x="3724"/>
        <item h="1" m="1" x="4967"/>
        <item h="1" m="1" x="5841"/>
        <item h="1" m="1" x="4019"/>
        <item h="1" m="1" x="5682"/>
        <item h="1" m="1" x="5683"/>
        <item h="1" m="1" x="5694"/>
        <item h="1" m="1" x="5695"/>
        <item h="1" m="1" x="5693"/>
        <item h="1" m="1" x="5844"/>
        <item h="1" m="1" x="5845"/>
        <item h="1" m="1" x="5846"/>
        <item h="1" m="1" x="5847"/>
        <item h="1" x="368"/>
        <item h="1" m="1" x="5848"/>
        <item h="1" m="1" x="5849"/>
        <item h="1" x="196"/>
        <item h="1" m="1" x="5850"/>
        <item h="1" m="1" x="5851"/>
        <item h="1" m="1" x="5852"/>
        <item h="1" m="1" x="5853"/>
        <item h="1" m="1" x="5855"/>
        <item h="1" m="1" x="3562"/>
        <item h="1" m="1" x="5856"/>
        <item h="1" m="1" x="5857"/>
        <item h="1" m="1" x="5858"/>
        <item h="1" m="1" x="5859"/>
        <item h="1" m="1" x="5496"/>
        <item h="1" m="1" x="5860"/>
        <item h="1" m="1" x="5861"/>
        <item h="1" m="1" x="5862"/>
        <item h="1" m="1" x="5863"/>
        <item h="1" m="1" x="5711"/>
        <item h="1" m="1" x="5864"/>
        <item h="1" m="1" x="5867"/>
        <item h="1" m="1" x="2358"/>
        <item h="1" m="1" x="5868"/>
        <item h="1" m="1" x="5869"/>
        <item h="1" m="1" x="5870"/>
        <item h="1" m="1" x="5871"/>
        <item h="1" m="1" x="699"/>
        <item h="1" m="1" x="5715"/>
        <item h="1" m="1" x="5050"/>
        <item h="1" m="1" x="5716"/>
        <item h="1" m="1" x="5069"/>
        <item h="1" m="1" x="5721"/>
        <item h="1" m="1" x="5876"/>
        <item h="1" m="1" x="5719"/>
        <item h="1" m="1" x="5720"/>
        <item h="1" m="1" x="5877"/>
        <item h="1" m="1" x="5878"/>
        <item h="1" m="1" x="5879"/>
        <item h="1" m="1" x="5880"/>
        <item h="1" m="1" x="5881"/>
        <item h="1" m="1" x="5882"/>
        <item h="1" m="1" x="5729"/>
        <item h="1" m="1" x="5884"/>
        <item h="1" m="1" x="5491"/>
        <item h="1" m="1" x="5886"/>
        <item h="1" m="1" x="5887"/>
        <item h="1" m="1" x="5888"/>
        <item h="1" m="1" x="5749"/>
        <item h="1" m="1" x="5889"/>
        <item h="1" m="1" x="5745"/>
        <item h="1" m="1" x="5890"/>
        <item h="1" m="1" x="5756"/>
        <item h="1" m="1" x="5750"/>
        <item h="1" m="1" x="5757"/>
        <item h="1" m="1" x="5753"/>
        <item h="1" m="1" x="5528"/>
        <item h="1" m="1" x="5759"/>
        <item h="1" m="1" x="5766"/>
        <item h="1" m="1" x="5767"/>
        <item h="1" m="1" x="5758"/>
        <item h="1" m="1" x="2017"/>
        <item h="1" m="1" x="5762"/>
        <item h="1" m="1" x="5763"/>
        <item h="1" m="1" x="5544"/>
        <item h="1" x="11"/>
        <item h="1" m="1" x="5891"/>
        <item h="1" m="1" x="5892"/>
        <item h="1" m="1" x="5893"/>
        <item h="1" m="1" x="5790"/>
        <item h="1" m="1" x="5787"/>
        <item h="1" m="1" x="5788"/>
        <item h="1" m="1" x="5789"/>
        <item h="1" m="1" x="5782"/>
        <item h="1" m="1" x="5783"/>
        <item h="1" m="1" x="5784"/>
        <item h="1" m="1" x="5785"/>
        <item h="1" m="1" x="1185"/>
        <item h="1" m="1" x="5794"/>
        <item h="1" m="1" x="5791"/>
        <item h="1" m="1" x="5792"/>
        <item h="1" m="1" x="5793"/>
        <item h="1" m="1" x="5895"/>
        <item h="1" m="1" x="1905"/>
        <item h="1" m="1" x="3967"/>
        <item h="1" m="1" x="3968"/>
        <item h="1" m="1" x="3969"/>
        <item h="1" m="1" x="3989"/>
        <item h="1" m="1" x="4827"/>
        <item h="1" m="1" x="3988"/>
        <item h="1" m="1" x="5569"/>
        <item h="1" m="1" x="5570"/>
        <item h="1" m="1" x="4839"/>
        <item h="1" m="1" x="5369"/>
        <item h="1" m="1" x="5572"/>
        <item h="1" m="1" x="5573"/>
        <item h="1" m="1" x="4471"/>
        <item h="1" m="1" x="765"/>
        <item h="1" m="1" x="5576"/>
        <item h="1" m="1" x="4843"/>
        <item h="1" m="1" x="761"/>
        <item h="1" m="1" x="3942"/>
        <item h="1" m="1" x="763"/>
        <item h="1" m="1" x="764"/>
        <item h="1" m="1" x="4884"/>
        <item h="1" m="1" x="5585"/>
        <item h="1" m="1" x="5396"/>
        <item h="1" m="1" x="5590"/>
        <item h="1" m="1" x="5591"/>
        <item h="1" m="1" x="5592"/>
        <item h="1" m="1" x="4030"/>
        <item h="1" m="1" x="4031"/>
        <item h="1" m="1" x="4032"/>
        <item h="1" x="416"/>
        <item h="1" m="1" x="5596"/>
        <item h="1" m="1" x="5597"/>
        <item h="1" m="1" x="5182"/>
        <item h="1" m="1" x="5652"/>
        <item h="1" m="1" x="5663"/>
        <item h="1" m="1" x="5667"/>
        <item h="1" m="1" x="5669"/>
        <item h="1" m="1" x="5670"/>
        <item h="1" m="1" x="5671"/>
        <item h="1" m="1" x="4976"/>
        <item h="1" m="1" x="2029"/>
        <item h="1" m="1" x="4975"/>
        <item h="1" m="1" x="5676"/>
        <item h="1" m="1" x="3827"/>
        <item h="1" m="1" x="5678"/>
        <item h="1" x="201"/>
        <item h="1" m="1" x="5679"/>
        <item h="1" m="1" x="5680"/>
        <item h="1" m="1" x="5681"/>
        <item h="1" m="1" x="5696"/>
        <item h="1" m="1" x="5698"/>
        <item h="1" m="1" x="3810"/>
        <item h="1" m="1" x="2643"/>
        <item h="1" m="1" x="5700"/>
        <item h="1" m="1" x="3771"/>
        <item h="1" m="1" x="5701"/>
        <item h="1" m="1" x="5704"/>
        <item h="1" m="1" x="5705"/>
        <item h="1" m="1" x="5706"/>
        <item h="1" m="1" x="5707"/>
        <item h="1" m="1" x="5710"/>
        <item h="1" m="1" x="1289"/>
        <item h="1" m="1" x="5713"/>
        <item h="1" m="1" x="5714"/>
        <item h="1" m="1" x="4045"/>
        <item h="1" m="1" x="5718"/>
        <item h="1" m="1" x="5722"/>
        <item h="1" m="1" x="5725"/>
        <item h="1" m="1" x="5726"/>
        <item h="1" m="1" x="5727"/>
        <item h="1" m="1" x="5730"/>
        <item h="1" m="1" x="3192"/>
        <item h="1" m="1" x="2681"/>
        <item h="1" m="1" x="5732"/>
        <item h="1" m="1" x="5733"/>
        <item h="1" m="1" x="5734"/>
        <item h="1" m="1" x="5735"/>
        <item h="1" m="1" x="5736"/>
        <item h="1" m="1" x="5739"/>
        <item h="1" m="1" x="2010"/>
        <item h="1" m="1" x="5740"/>
        <item h="1" m="1" x="5741"/>
        <item h="1" m="1" x="5742"/>
        <item h="1" m="1" x="5286"/>
        <item h="1" m="1" x="5751"/>
        <item h="1" m="1" x="5752"/>
        <item h="1" m="1" x="5754"/>
        <item h="1" m="1" x="5755"/>
        <item h="1" x="290"/>
        <item h="1" m="1" x="5760"/>
        <item h="1" m="1" x="5761"/>
        <item h="1" m="1" x="5765"/>
        <item h="1" m="1" x="5768"/>
        <item h="1" m="1" x="5129"/>
        <item h="1" m="1" x="5769"/>
        <item h="1" m="1" x="5772"/>
        <item h="1" m="1" x="5773"/>
        <item h="1" m="1" x="5776"/>
        <item h="1" m="1" x="5777"/>
        <item h="1" m="1" x="5778"/>
        <item h="1" m="1" x="5779"/>
        <item h="1" m="1" x="5780"/>
        <item h="1" m="1" x="5781"/>
        <item h="1" m="1" x="5786"/>
        <item h="1" m="1" x="5317"/>
        <item h="1" m="1" x="5318"/>
        <item h="1" m="1" x="5325"/>
        <item h="1" m="1" x="5340"/>
        <item h="1" m="1" x="5342"/>
        <item h="1" m="1" x="4817"/>
        <item h="1" m="1" x="5165"/>
        <item h="1" m="1" x="3971"/>
        <item h="1" m="1" x="3970"/>
        <item h="1" m="1" x="3966"/>
        <item h="1" m="1" x="3965"/>
        <item h="1" m="1" x="3972"/>
        <item h="1" m="1" x="5348"/>
        <item h="1" m="1" x="5349"/>
        <item h="1" m="1" x="3993"/>
        <item h="1" m="1" x="5350"/>
        <item h="1" m="1" x="5351"/>
        <item h="1" m="1" x="4834"/>
        <item h="1" m="1" x="5354"/>
        <item h="1" m="1" x="5355"/>
        <item h="1" m="1" x="5356"/>
        <item h="1" m="1" x="3549"/>
        <item h="1" m="1" x="4282"/>
        <item h="1" m="1" x="5359"/>
        <item h="1" m="1" x="5360"/>
        <item h="1" x="202"/>
        <item h="1" m="1" x="4850"/>
        <item h="1" m="1" x="5370"/>
        <item h="1" m="1" x="684"/>
        <item h="1" m="1" x="5371"/>
        <item h="1" m="1" x="5372"/>
        <item h="1" m="1" x="5373"/>
        <item h="1" m="1" x="2932"/>
        <item h="1" m="1" x="5374"/>
        <item h="1" m="1" x="4841"/>
        <item h="1" m="1" x="4840"/>
        <item h="1" m="1" x="5383"/>
        <item h="1" m="1" x="5384"/>
        <item h="1" m="1" x="451"/>
        <item h="1" m="1" x="762"/>
        <item h="1" m="1" x="3943"/>
        <item h="1" m="1" x="3944"/>
        <item h="1" m="1" x="5395"/>
        <item h="1" m="1" x="4875"/>
        <item h="1" m="1" x="4874"/>
        <item h="1" m="1" x="4867"/>
        <item h="1" m="1" x="3960"/>
        <item h="1" m="1" x="4881"/>
        <item h="1" m="1" x="5398"/>
        <item h="1" m="1" x="5400"/>
        <item h="1" m="1" x="4888"/>
        <item h="1" m="1" x="4887"/>
        <item h="1" x="25"/>
        <item h="1" m="1" x="5406"/>
        <item h="1" m="1" x="4896"/>
        <item h="1" m="1" x="4894"/>
        <item h="1" m="1" x="4895"/>
        <item h="1" m="1" x="5407"/>
        <item h="1" m="1" x="4899"/>
        <item h="1" m="1" x="4892"/>
        <item h="1" m="1" x="5414"/>
        <item h="1" m="1" x="5415"/>
        <item h="1" m="1" x="5416"/>
        <item h="1" m="1" x="4902"/>
        <item h="1" m="1" x="5417"/>
        <item h="1" m="1" x="5419"/>
        <item h="1" m="1" x="5420"/>
        <item h="1" m="1" x="5421"/>
        <item h="1" m="1" x="5174"/>
        <item h="1" m="1" x="5431"/>
        <item h="1" m="1" x="4917"/>
        <item h="1" m="1" x="5432"/>
        <item h="1" m="1" x="5433"/>
        <item h="1" m="1" x="4920"/>
        <item h="1" m="1" x="4922"/>
        <item h="1" m="1" x="1629"/>
        <item h="1" m="1" x="5440"/>
        <item h="1" m="1" x="5441"/>
        <item h="1" m="1" x="4923"/>
        <item h="1" m="1" x="4938"/>
        <item h="1" m="1" x="4940"/>
        <item h="1" m="1" x="5442"/>
        <item h="1" m="1" x="5184"/>
        <item h="1" m="1" x="5443"/>
        <item h="1" m="1" x="5444"/>
        <item h="1" m="1" x="5445"/>
        <item h="1" m="1" x="5186"/>
        <item h="1" m="1" x="4948"/>
        <item h="1" m="1" x="4305"/>
        <item h="1" m="1" x="4956"/>
        <item h="1" m="1" x="5454"/>
        <item h="1" m="1" x="1682"/>
        <item h="1" m="1" x="1679"/>
        <item h="1" m="1" x="4962"/>
        <item h="1" m="1" x="4963"/>
        <item h="1" m="1" x="5456"/>
        <item h="1" m="1" x="5457"/>
        <item h="1" m="1" x="5459"/>
        <item h="1" m="1" x="4965"/>
        <item h="1" m="1" x="5461"/>
        <item h="1" m="1" x="5462"/>
        <item h="1" m="1" x="5463"/>
        <item h="1" m="1" x="4017"/>
        <item h="1" m="1" x="4992"/>
        <item h="1" m="1" x="4995"/>
        <item h="1" m="1" x="5466"/>
        <item h="1" m="1" x="5467"/>
        <item h="1" m="1" x="3499"/>
        <item h="1" m="1" x="5468"/>
        <item h="1" m="1" x="3722"/>
        <item h="1" m="1" x="5469"/>
        <item h="1" m="1" x="4783"/>
        <item h="1" m="1" x="5054"/>
        <item h="1" m="1" x="5471"/>
        <item h="1" m="1" x="5472"/>
        <item h="1" m="1" x="5473"/>
        <item h="1" m="1" x="5474"/>
        <item h="1" m="1" x="5475"/>
        <item h="1" m="1" x="5022"/>
        <item h="1" m="1" x="5476"/>
        <item h="1" m="1" x="5477"/>
        <item h="1" m="1" x="5478"/>
        <item h="1" m="1" x="5479"/>
        <item h="1" m="1" x="5485"/>
        <item h="1" m="1" x="2359"/>
        <item h="1" m="1" x="5038"/>
        <item h="1" m="1" x="5049"/>
        <item h="1" m="1" x="5492"/>
        <item h="1" m="1" x="5493"/>
        <item h="1" m="1" x="5494"/>
        <item h="1" m="1" x="5498"/>
        <item h="1" m="1" x="5189"/>
        <item h="1" m="1" x="5499"/>
        <item h="1" m="1" x="5064"/>
        <item h="1" m="1" x="5191"/>
        <item h="1" m="1" x="5076"/>
        <item h="1" m="1" x="5077"/>
        <item h="1" m="1" x="5075"/>
        <item h="1" m="1" x="5073"/>
        <item h="1" m="1" x="5074"/>
        <item h="1" m="1" x="5079"/>
        <item h="1" m="1" x="5503"/>
        <item h="1" m="1" x="3480"/>
        <item h="1" m="1" x="5505"/>
        <item h="1" m="1" x="5277"/>
        <item h="1" m="1" x="5506"/>
        <item h="1" m="1" x="5507"/>
        <item h="1" m="1" x="5508"/>
        <item h="1" m="1" x="5509"/>
        <item h="1" m="1" x="5510"/>
        <item h="1" m="1" x="5511"/>
        <item h="1" m="1" x="5512"/>
        <item h="1" m="1" x="5513"/>
        <item h="1" m="1" x="4206"/>
        <item h="1" m="1" x="5514"/>
        <item h="1" m="1" x="5515"/>
        <item h="1" m="1" x="5516"/>
        <item h="1" m="1" x="5517"/>
        <item h="1" m="1" x="5518"/>
        <item h="1" m="1" x="5193"/>
        <item h="1" m="1" x="5278"/>
        <item h="1" m="1" x="5519"/>
        <item h="1" m="1" x="5520"/>
        <item h="1" m="1" x="5521"/>
        <item h="1" m="1" x="5522"/>
        <item h="1" m="1" x="5523"/>
        <item h="1" m="1" x="5524"/>
        <item h="1" m="1" x="5525"/>
        <item h="1" m="1" x="5084"/>
        <item h="1" m="1" x="2366"/>
        <item h="1" m="1" x="5085"/>
        <item h="1" m="1" x="5526"/>
        <item h="1" m="1" x="5527"/>
        <item h="1" m="1" x="5282"/>
        <item h="1" m="1" x="5529"/>
        <item h="1" m="1" x="5530"/>
        <item h="1" m="1" x="5292"/>
        <item h="1" m="1" x="5291"/>
        <item h="1" m="1" x="5533"/>
        <item h="1" m="1" x="5534"/>
        <item h="1" m="1" x="5535"/>
        <item h="1" m="1" x="5536"/>
        <item h="1" m="1" x="5287"/>
        <item h="1" m="1" x="5537"/>
        <item h="1" m="1" x="5538"/>
        <item h="1" m="1" x="5289"/>
        <item h="1" m="1" x="5295"/>
        <item h="1" m="1" x="5296"/>
        <item h="1" m="1" x="5543"/>
        <item h="1" m="1" x="5545"/>
        <item h="1" m="1" x="5301"/>
        <item h="1" m="1" x="5546"/>
        <item h="1" m="1" x="5304"/>
        <item h="1" m="1" x="2903"/>
        <item h="1" m="1" x="5312"/>
        <item h="1" m="1" x="5547"/>
        <item h="1" m="1" x="5548"/>
        <item h="1" m="1" x="5549"/>
        <item h="1" m="1" x="5310"/>
        <item h="1" m="1" x="5311"/>
        <item h="1" m="1" x="5309"/>
        <item h="1" m="1" x="5139"/>
        <item h="1" m="1" x="5550"/>
        <item h="1" m="1" x="5551"/>
        <item h="1" m="1" x="5552"/>
        <item h="1" m="1" x="5143"/>
        <item h="1" m="1" x="5145"/>
        <item h="1" m="1" x="5133"/>
        <item h="1" m="1" x="5313"/>
        <item h="1" m="1" x="5134"/>
        <item h="1" m="1" x="5315"/>
        <item h="1" m="1" x="3788"/>
        <item h="1" m="1" x="4244"/>
        <item h="1" m="1" x="1915"/>
        <item h="1" m="1" x="5149"/>
        <item h="1" m="1" x="5554"/>
        <item h="1" m="1" x="5556"/>
        <item h="1" m="1" x="1917"/>
        <item h="1" m="1" x="5326"/>
        <item h="1" m="1" x="5327"/>
        <item h="1" m="1" x="5331"/>
        <item h="1" m="1" x="3641"/>
        <item h="1" m="1" x="5333"/>
        <item h="1" m="1" x="5157"/>
        <item h="1" m="1" x="5338"/>
        <item h="1" m="1" x="5344"/>
        <item h="1" m="1" x="5162"/>
        <item h="1" m="1" x="5164"/>
        <item h="1" m="1" x="5216"/>
        <item h="1" m="1" x="4828"/>
        <item h="1" m="1" x="5217"/>
        <item h="1" m="1" x="1204"/>
        <item h="1" m="1" x="5218"/>
        <item h="1" m="1" x="5219"/>
        <item h="1" m="1" x="1120"/>
        <item h="1" m="1" x="5225"/>
        <item h="1" m="1" x="4859"/>
        <item h="1" m="1" x="3941"/>
        <item h="1" m="1" x="4865"/>
        <item h="1" m="1" x="4873"/>
        <item h="1" m="1" x="5169"/>
        <item h="1" m="1" x="5170"/>
        <item h="1" m="1" x="4883"/>
        <item h="1" m="1" x="1190"/>
        <item h="1" m="1" x="4897"/>
        <item h="1" m="1" x="5226"/>
        <item h="1" m="1" x="3093"/>
        <item h="1" m="1" x="5227"/>
        <item h="1" m="1" x="5228"/>
        <item h="1" m="1" x="4916"/>
        <item h="1" m="1" x="5229"/>
        <item h="1" m="1" x="2960"/>
        <item h="1" m="1" x="4662"/>
        <item h="1" m="1" x="5230"/>
        <item h="1" m="1" x="5231"/>
        <item h="1" m="1" x="5232"/>
        <item h="1" m="1" x="5183"/>
        <item h="1" m="1" x="4946"/>
        <item h="1" m="1" x="4947"/>
        <item h="1" m="1" x="2218"/>
        <item h="1" m="1" x="4955"/>
        <item h="1" m="1" x="5233"/>
        <item h="1" m="1" x="5234"/>
        <item h="1" m="1" x="4964"/>
        <item h="1" m="1" x="4960"/>
        <item h="1" m="1" x="4020"/>
        <item h="1" m="1" x="4466"/>
        <item h="1" m="1" x="4993"/>
        <item h="1" m="1" x="4994"/>
        <item h="1" m="1" x="4696"/>
        <item h="1" m="1" x="4989"/>
        <item h="1" m="1" x="4990"/>
        <item h="1" m="1" x="4991"/>
        <item h="1" m="1" x="5235"/>
        <item h="1" m="1" x="4762"/>
        <item h="1" m="1" x="5236"/>
        <item h="1" m="1" x="4745"/>
        <item h="1" m="1" x="5237"/>
        <item h="1" m="1" x="5238"/>
        <item h="1" m="1" x="5239"/>
        <item h="1" m="1" x="5055"/>
        <item h="1" m="1" x="5240"/>
        <item h="1" m="1" x="5241"/>
        <item h="1" m="1" x="5242"/>
        <item h="1" m="1" x="5243"/>
        <item h="1" m="1" x="5244"/>
        <item h="1" m="1" x="5245"/>
        <item h="1" m="1" x="5246"/>
        <item h="1" m="1" x="5247"/>
        <item h="1" m="1" x="5248"/>
        <item h="1" m="1" x="2641"/>
        <item h="1" m="1" x="5021"/>
        <item h="1" m="1" x="5250"/>
        <item h="1" m="1" x="5251"/>
        <item h="1" m="1" x="5252"/>
        <item h="1" m="1" x="5253"/>
        <item h="1" m="1" x="5254"/>
        <item h="1" m="1" x="5255"/>
        <item h="1" m="1" x="5256"/>
        <item h="1" m="1" x="5257"/>
        <item h="1" m="1" x="4984"/>
        <item h="1" m="1" x="4985"/>
        <item h="1" m="1" x="4986"/>
        <item h="1" m="1" x="5258"/>
        <item h="1" m="1" x="5004"/>
        <item h="1" m="1" x="5261"/>
        <item h="1" m="1" x="5056"/>
        <item h="1" m="1" x="5262"/>
        <item h="1" m="1" x="5263"/>
        <item h="1" m="1" x="5265"/>
        <item h="1" m="1" x="5266"/>
        <item h="1" m="1" x="2214"/>
        <item h="1" m="1" x="5268"/>
        <item h="1" m="1" x="3862"/>
        <item h="1" m="1" x="5269"/>
        <item h="1" m="1" x="1157"/>
        <item h="1" m="1" x="5190"/>
        <item h="1" m="1" x="5053"/>
        <item h="1" m="1" x="5270"/>
        <item h="1" m="1" x="5271"/>
        <item h="1" m="1" x="5272"/>
        <item h="1" m="1" x="5273"/>
        <item h="1" m="1" x="1464"/>
        <item h="1" m="1" x="5066"/>
        <item h="1" m="1" x="5274"/>
        <item h="1" m="1" x="5275"/>
        <item h="1" m="1" x="5276"/>
        <item h="1" m="1" x="5279"/>
        <item h="1" m="1" x="5280"/>
        <item h="1" m="1" x="5281"/>
        <item h="1" m="1" x="5086"/>
        <item h="1" m="1" x="5283"/>
        <item h="1" m="1" x="5284"/>
        <item h="1" m="1" x="5285"/>
        <item h="1" m="1" x="5288"/>
        <item h="1" m="1" x="5113"/>
        <item h="1" m="1" x="5293"/>
        <item h="1" m="1" x="5294"/>
        <item h="1" m="1" x="5297"/>
        <item h="1" m="1" x="5298"/>
        <item h="1" m="1" x="5299"/>
        <item h="1" m="1" x="5300"/>
        <item h="1" m="1" x="5141"/>
        <item h="1" m="1" x="5306"/>
        <item h="1" m="1" x="5307"/>
        <item h="1" m="1" x="5308"/>
        <item h="1" m="1" x="5314"/>
        <item h="1" m="1" x="5321"/>
        <item h="1" m="1" x="1526"/>
        <item h="1" m="1" x="5336"/>
        <item h="1" m="1" x="5337"/>
        <item h="1" m="1" x="4818"/>
        <item h="1" m="1" x="5161"/>
        <item h="1" m="1" x="5163"/>
        <item h="1" m="1" x="3964"/>
        <item h="1" m="1" x="4470"/>
        <item h="1" m="1" x="4830"/>
        <item h="1" m="1" x="1238"/>
        <item h="1" m="1" x="5166"/>
        <item h="1" m="1" x="4835"/>
        <item h="1" x="168"/>
        <item h="1" m="1" x="4844"/>
        <item h="1" m="1" x="4860"/>
        <item h="1" m="1" x="2935"/>
        <item h="1" m="1" x="4880"/>
        <item h="1" m="1" x="5171"/>
        <item h="1" m="1" x="3404"/>
        <item h="1" m="1" x="4913"/>
        <item h="1" m="1" x="4903"/>
        <item h="1" m="1" x="5172"/>
        <item h="1" m="1" x="5173"/>
        <item h="1" m="1" x="4910"/>
        <item h="1" m="1" x="4908"/>
        <item h="1" m="1" x="4909"/>
        <item h="1" m="1" x="4660"/>
        <item h="1" m="1" x="3306"/>
        <item h="1" m="1" x="4918"/>
        <item h="1" m="1" x="5175"/>
        <item h="1" m="1" x="4931"/>
        <item h="1" m="1" x="4921"/>
        <item h="1" m="1" x="4942"/>
        <item h="1" m="1" x="5176"/>
        <item h="1" m="1" x="5177"/>
        <item h="1" m="1" x="4943"/>
        <item h="1" m="1" x="4957"/>
        <item h="1" m="1" x="4958"/>
        <item h="1" m="1" x="4971"/>
        <item h="1" m="1" x="4972"/>
        <item h="1" m="1" x="769"/>
        <item h="1" m="1" x="4988"/>
        <item h="1" m="1" x="4978"/>
        <item h="1" m="1" x="4996"/>
        <item h="1" m="1" x="4997"/>
        <item h="1" m="1" x="4998"/>
        <item h="1" m="1" x="5187"/>
        <item h="1" m="1" x="5188"/>
        <item h="1" m="1" x="5002"/>
        <item h="1" m="1" x="5014"/>
        <item h="1" m="1" x="5015"/>
        <item h="1" m="1" x="5016"/>
        <item h="1" m="1" x="5057"/>
        <item h="1" m="1" x="5025"/>
        <item h="1" m="1" x="5024"/>
        <item h="1" m="1" x="2913"/>
        <item h="1" m="1" x="5030"/>
        <item h="1" m="1" x="5023"/>
        <item h="1" m="1" x="3457"/>
        <item h="1" m="1" x="5037"/>
        <item h="1" m="1" x="5045"/>
        <item h="1" m="1" x="5046"/>
        <item h="1" m="1" x="5047"/>
        <item h="1" m="1" x="5078"/>
        <item h="1" m="1" x="5192"/>
        <item h="1" m="1" x="5195"/>
        <item h="1" m="1" x="2605"/>
        <item h="1" m="1" x="5196"/>
        <item h="1" m="1" x="5087"/>
        <item h="1" m="1" x="5197"/>
        <item h="1" m="1" x="5199"/>
        <item h="1" m="1" x="4240"/>
        <item h="1" m="1" x="5104"/>
        <item h="1" m="1" x="5095"/>
        <item h="1" m="1" x="5094"/>
        <item h="1" m="1" x="5096"/>
        <item h="1" m="1" x="5103"/>
        <item h="1" m="1" x="5105"/>
        <item h="1" m="1" x="5108"/>
        <item h="1" m="1" x="5200"/>
        <item h="1" m="1" x="5106"/>
        <item h="1" m="1" x="5107"/>
        <item h="1" m="1" x="5102"/>
        <item h="1" m="1" x="5101"/>
        <item h="1" m="1" x="5112"/>
        <item h="1" m="1" x="5110"/>
        <item h="1" m="1" x="5201"/>
        <item h="1" m="1" x="5202"/>
        <item h="1" m="1" x="5114"/>
        <item h="1" m="1" x="5122"/>
        <item h="1" m="1" x="5118"/>
        <item h="1" m="1" x="5119"/>
        <item h="1" m="1" x="5121"/>
        <item h="1" m="1" x="5120"/>
        <item h="1" m="1" x="5123"/>
        <item h="1" m="1" x="5124"/>
        <item h="1" m="1" x="5125"/>
        <item h="1" m="1" x="5203"/>
        <item h="1" m="1" x="5204"/>
        <item h="1" m="1" x="5132"/>
        <item h="1" m="1" x="5140"/>
        <item h="1" m="1" x="5138"/>
        <item h="1" m="1" x="5205"/>
        <item h="1" m="1" x="5206"/>
        <item h="1" m="1" x="5207"/>
        <item h="1" m="1" x="5208"/>
        <item h="1" m="1" x="5209"/>
        <item h="1" m="1" x="5210"/>
        <item h="1" m="1" x="5211"/>
        <item h="1" m="1" x="5212"/>
        <item h="1" m="1" x="5213"/>
        <item h="1" m="1" x="5214"/>
        <item h="1" m="1" x="5136"/>
        <item h="1" m="1" x="5151"/>
        <item h="1" m="1" x="5150"/>
        <item h="1" m="1" x="3405"/>
        <item h="1" m="1" x="3406"/>
        <item h="1" m="1" x="4454"/>
        <item h="1" m="1" x="3924"/>
        <item h="1" m="1" x="4822"/>
        <item h="1" m="1" x="4823"/>
        <item h="1" m="1" x="4824"/>
        <item h="1" m="1" x="4825"/>
        <item h="1" m="1" x="3963"/>
        <item h="1" m="1" x="4836"/>
        <item h="1" m="1" x="3063"/>
        <item h="1" m="1" x="3064"/>
        <item h="1" m="1" x="4845"/>
        <item h="1" m="1" x="4846"/>
        <item h="1" m="1" x="4847"/>
        <item h="1" m="1" x="4851"/>
        <item h="1" m="1" x="3219"/>
        <item h="1" m="1" x="2930"/>
        <item h="1" m="1" x="4852"/>
        <item h="1" m="1" x="4855"/>
        <item h="1" m="1" x="4468"/>
        <item h="1" m="1" x="4861"/>
        <item h="1" m="1" x="4863"/>
        <item h="1" m="1" x="4864"/>
        <item h="1" m="1" x="4866"/>
        <item h="1" m="1" x="4876"/>
        <item h="1" m="1" x="4877"/>
        <item h="1" m="1" x="4885"/>
        <item h="1" m="1" x="4886"/>
        <item h="1" m="1" x="4889"/>
        <item h="1" m="1" x="4890"/>
        <item h="1" m="1" x="4904"/>
        <item h="1" m="1" x="4905"/>
        <item h="1" m="1" x="4906"/>
        <item h="1" m="1" x="4907"/>
        <item h="1" m="1" x="4911"/>
        <item h="1" m="1" x="4912"/>
        <item h="1" m="1" x="4932"/>
        <item h="1" m="1" x="4933"/>
        <item h="1" m="1" x="4934"/>
        <item h="1" m="1" x="4935"/>
        <item h="1" m="1" x="2959"/>
        <item h="1" m="1" x="4944"/>
        <item h="1" m="1" x="3140"/>
        <item h="1" m="1" x="4959"/>
        <item h="1" m="1" x="4968"/>
        <item h="1" m="1" x="2640"/>
        <item h="1" m="1" x="4969"/>
        <item h="1" m="1" x="4970"/>
        <item h="1" m="1" x="4974"/>
        <item h="1" m="1" x="4010"/>
        <item h="1" m="1" x="4979"/>
        <item h="1" m="1" x="4999"/>
        <item h="1" m="1" x="5000"/>
        <item h="1" m="1" x="5003"/>
        <item h="1" m="1" x="5007"/>
        <item h="1" m="1" x="5010"/>
        <item h="1" m="1" x="5011"/>
        <item h="1" m="1" x="5012"/>
        <item h="1" m="1" x="5013"/>
        <item h="1" m="1" x="5017"/>
        <item h="1" m="1" x="5018"/>
        <item h="1" m="1" x="5019"/>
        <item h="1" m="1" x="5026"/>
        <item h="1" m="1" x="5027"/>
        <item h="1" m="1" x="5028"/>
        <item h="1" m="1" x="5029"/>
        <item h="1" m="1" x="5031"/>
        <item h="1" m="1" x="5032"/>
        <item h="1" m="1" x="5035"/>
        <item h="1" m="1" x="5036"/>
        <item h="1" m="1" x="5039"/>
        <item h="1" m="1" x="963"/>
        <item h="1" m="1" x="5042"/>
        <item h="1" m="1" x="5043"/>
        <item h="1" m="1" x="5044"/>
        <item h="1" m="1" x="5052"/>
        <item h="1" m="1" x="5058"/>
        <item h="1" m="1" x="5059"/>
        <item h="1" m="1" x="5062"/>
        <item h="1" m="1" x="5080"/>
        <item h="1" m="1" x="5081"/>
        <item h="1" m="1" x="5082"/>
        <item h="1" m="1" x="1523"/>
        <item h="1" m="1" x="5090"/>
        <item h="1" m="1" x="5091"/>
        <item h="1" m="1" x="5092"/>
        <item h="1" m="1" x="5093"/>
        <item h="1" m="1" x="5098"/>
        <item h="1" m="1" x="5099"/>
        <item h="1" m="1" x="5100"/>
        <item h="1" m="1" x="5109"/>
        <item h="1" x="424"/>
        <item h="1" m="1" x="4288"/>
        <item h="1" m="1" x="5115"/>
        <item h="1" m="1" x="5116"/>
        <item h="1" m="1" x="5117"/>
        <item h="1" m="1" x="5126"/>
        <item h="1" m="1" x="5127"/>
        <item h="1" m="1" x="5128"/>
        <item h="1" m="1" x="5130"/>
        <item h="1" m="1" x="5131"/>
        <item h="1" m="1" x="3258"/>
        <item h="1" m="1" x="5142"/>
        <item h="1" m="1" x="5144"/>
        <item h="1" m="1" x="5152"/>
        <item h="1" m="1" x="5154"/>
        <item h="1" m="1" x="5155"/>
        <item h="1" m="1" x="5156"/>
        <item h="1" m="1" x="4473"/>
        <item h="1" m="1" x="3819"/>
        <item h="1" m="1" x="4474"/>
        <item h="1" m="1" x="3821"/>
        <item h="1" m="1" x="3164"/>
        <item h="1" m="1" x="3820"/>
        <item h="1" m="1" x="4475"/>
        <item h="1" m="1" x="4476"/>
        <item h="1" m="1" x="4477"/>
        <item h="1" m="1" x="3818"/>
        <item h="1" m="1" x="4478"/>
        <item h="1" m="1" x="4479"/>
        <item h="1" m="1" x="3822"/>
        <item h="1" m="1" x="4480"/>
        <item h="1" m="1" x="4481"/>
        <item h="1" m="1" x="4482"/>
        <item h="1" m="1" x="4483"/>
        <item h="1" m="1" x="4484"/>
        <item h="1" m="1" x="4485"/>
        <item h="1" m="1" x="4486"/>
        <item h="1" m="1" x="4487"/>
        <item h="1" m="1" x="4488"/>
        <item h="1" m="1" x="3151"/>
        <item h="1" m="1" x="4489"/>
        <item h="1" m="1" x="4490"/>
        <item h="1" m="1" x="4492"/>
        <item h="1" m="1" x="4494"/>
        <item h="1" m="1" x="4495"/>
        <item h="1" m="1" x="4496"/>
        <item h="1" m="1" x="4497"/>
        <item h="1" m="1" x="4498"/>
        <item h="1" m="1" x="4499"/>
        <item h="1" m="1" x="4500"/>
        <item h="1" m="1" x="4501"/>
        <item h="1" m="1" x="4503"/>
        <item h="1" m="1" x="4504"/>
        <item h="1" m="1" x="4505"/>
        <item h="1" m="1" x="4506"/>
        <item h="1" m="1" x="4507"/>
        <item h="1" m="1" x="4508"/>
        <item h="1" m="1" x="4509"/>
        <item h="1" m="1" x="2009"/>
        <item h="1" m="1" x="4510"/>
        <item h="1" m="1" x="4512"/>
        <item h="1" m="1" x="4514"/>
        <item h="1" m="1" x="4517"/>
        <item h="1" m="1" x="4518"/>
        <item h="1" m="1" x="4519"/>
        <item h="1" m="1" x="4520"/>
        <item h="1" m="1" x="4521"/>
        <item h="1" m="1" x="3473"/>
        <item h="1" m="1" x="4238"/>
        <item h="1" m="1" x="4337"/>
        <item h="1" m="1" x="4338"/>
        <item h="1" m="1" x="4241"/>
        <item h="1" m="1" x="4243"/>
        <item h="1" m="1" x="4237"/>
        <item h="1" m="1" x="4522"/>
        <item h="1" m="1" x="4523"/>
        <item h="1" m="1" x="3789"/>
        <item h="1" m="1" x="3790"/>
        <item h="1" m="1" x="4341"/>
        <item h="1" m="1" x="4524"/>
        <item h="1" m="1" x="4526"/>
        <item h="1" m="1" x="4527"/>
        <item h="1" m="1" x="4528"/>
        <item h="1" m="1" x="4529"/>
        <item h="1" m="1" x="4530"/>
        <item h="1" m="1" x="2673"/>
        <item h="1" m="1" x="4531"/>
        <item h="1" m="1" x="4532"/>
        <item h="1" m="1" x="4533"/>
        <item h="1" m="1" x="4534"/>
        <item h="1" m="1" x="4535"/>
        <item h="1" m="1" x="4536"/>
        <item h="1" m="1" x="4537"/>
        <item h="1" m="1" x="4538"/>
        <item h="1" m="1" x="4539"/>
        <item h="1" m="1" x="4540"/>
        <item h="1" m="1" x="4541"/>
        <item h="1" m="1" x="4542"/>
        <item h="1" m="1" x="4543"/>
        <item h="1" m="1" x="4544"/>
        <item h="1" m="1" x="1907"/>
        <item h="1" m="1" x="785"/>
        <item h="1" m="1" x="1914"/>
        <item h="1" m="1" x="1908"/>
        <item h="1" m="1" x="2890"/>
        <item h="1" m="1" x="2861"/>
        <item h="1" m="1" x="2862"/>
        <item h="1" m="1" x="4547"/>
        <item h="1" m="1" x="4548"/>
        <item h="1" m="1" x="4549"/>
        <item h="1" m="1" x="2897"/>
        <item h="1" m="1" x="4551"/>
        <item h="1" m="1" x="4552"/>
        <item h="1" m="1" x="4553"/>
        <item h="1" m="1" x="4554"/>
        <item h="1" m="1" x="4555"/>
        <item h="1" m="1" x="4556"/>
        <item h="1" m="1" x="4557"/>
        <item h="1" m="1" x="2523"/>
        <item h="1" m="1" x="4558"/>
        <item h="1" m="1" x="4559"/>
        <item h="1" m="1" x="2881"/>
        <item h="1" m="1" x="4461"/>
        <item h="1" m="1" x="3051"/>
        <item h="1" x="18"/>
        <item h="1" x="15"/>
        <item h="1" x="19"/>
        <item h="1" x="39"/>
        <item h="1" x="22"/>
        <item h="1" m="1" x="3841"/>
        <item h="1" m="1" x="4560"/>
        <item h="1" m="1" x="4256"/>
        <item h="1" m="1" x="4561"/>
        <item h="1" m="1" x="1885"/>
        <item h="1" m="1" x="1956"/>
        <item h="1" m="1" x="2403"/>
        <item h="1" m="1" x="4562"/>
        <item h="1" m="1" x="2775"/>
        <item h="1" m="1" x="4563"/>
        <item h="1" m="1" x="1906"/>
        <item h="1" m="1" x="2866"/>
        <item h="1" x="21"/>
        <item h="1" x="13"/>
        <item h="1" m="1" x="3089"/>
        <item h="1" m="1" x="4373"/>
        <item h="1" m="1" x="1911"/>
        <item h="1" m="1" x="4568"/>
        <item h="1" m="1" x="4569"/>
        <item h="1" m="1" x="4570"/>
        <item h="1" m="1" x="514"/>
        <item h="1" m="1" x="4571"/>
        <item h="1" m="1" x="4093"/>
        <item h="1" m="1" x="4574"/>
        <item h="1" m="1" x="4576"/>
        <item h="1" m="1" x="4577"/>
        <item h="1" m="1" x="4578"/>
        <item h="1" m="1" x="4579"/>
        <item h="1" m="1" x="4580"/>
        <item h="1" m="1" x="4581"/>
        <item h="1" m="1" x="4582"/>
        <item h="1" m="1" x="4584"/>
        <item h="1" m="1" x="4586"/>
        <item h="1" m="1" x="1948"/>
        <item h="1" m="1" x="4587"/>
        <item h="1" m="1" x="4588"/>
        <item h="1" m="1" x="1923"/>
        <item h="1" m="1" x="3053"/>
        <item h="1" m="1" x="4589"/>
        <item h="1" m="1" x="3607"/>
        <item h="1" m="1" x="4591"/>
        <item h="1" m="1" x="4592"/>
        <item h="1" m="1" x="4593"/>
        <item h="1" m="1" x="4594"/>
        <item h="1" m="1" x="4596"/>
        <item h="1" m="1" x="4597"/>
        <item h="1" m="1" x="4598"/>
        <item h="1" m="1" x="4599"/>
        <item h="1" m="1" x="4600"/>
        <item h="1" m="1" x="4601"/>
        <item h="1" m="1" x="4602"/>
        <item h="1" m="1" x="4603"/>
        <item h="1" m="1" x="4604"/>
        <item h="1" m="1" x="4605"/>
        <item h="1" m="1" x="4606"/>
        <item h="1" m="1" x="4607"/>
        <item h="1" m="1" x="4608"/>
        <item h="1" m="1" x="4609"/>
        <item h="1" m="1" x="3844"/>
        <item h="1" m="1" x="3807"/>
        <item h="1" x="36"/>
        <item h="1" m="1" x="4271"/>
        <item h="1" m="1" x="3067"/>
        <item h="1" m="1" x="3066"/>
        <item h="1" m="1" x="4610"/>
        <item h="1" m="1" x="4611"/>
        <item h="1" m="1" x="4612"/>
        <item h="1" m="1" x="2769"/>
        <item h="1" m="1" x="2114"/>
        <item h="1" m="1" x="4614"/>
        <item h="1" m="1" x="2786"/>
        <item h="1" m="1" x="4615"/>
        <item h="1" m="1" x="4616"/>
        <item h="1" m="1" x="4617"/>
        <item h="1" m="1" x="4618"/>
        <item h="1" m="1" x="4619"/>
        <item h="1" m="1" x="3133"/>
        <item h="1" m="1" x="4620"/>
        <item h="1" m="1" x="4621"/>
        <item h="1" m="1" x="4622"/>
        <item h="1" m="1" x="4623"/>
        <item h="1" m="1" x="4624"/>
        <item h="1" m="1" x="2443"/>
        <item h="1" m="1" x="2455"/>
        <item h="1" m="1" x="1713"/>
        <item h="1" m="1" x="1716"/>
        <item h="1" m="1" x="2108"/>
        <item h="1" m="1" x="4626"/>
        <item h="1" m="1" x="1302"/>
        <item h="1" m="1" x="4628"/>
        <item h="1" m="1" x="4629"/>
        <item h="1" m="1" x="4630"/>
        <item h="1" m="1" x="4631"/>
        <item h="1" m="1" x="2927"/>
        <item h="1" m="1" x="1681"/>
        <item h="1" m="1" x="1680"/>
        <item h="1" m="1" x="3934"/>
        <item h="1" x="38"/>
        <item h="1" m="1" x="2792"/>
        <item h="1" m="1" x="2978"/>
        <item h="1" m="1" x="4632"/>
        <item h="1" m="1" x="2895"/>
        <item h="1" m="1" x="1901"/>
        <item h="1" m="1" x="3937"/>
        <item h="1" m="1" x="3647"/>
        <item h="1" m="1" x="2237"/>
        <item h="1" m="1" x="3947"/>
        <item h="1" m="1" x="3948"/>
        <item h="1" m="1" x="3946"/>
        <item h="1" m="1" x="3940"/>
        <item h="1" m="1" x="3950"/>
        <item h="1" m="1" x="3938"/>
        <item h="1" m="1" x="3939"/>
        <item h="1" m="1" x="767"/>
        <item h="1" m="1" x="4280"/>
        <item h="1" m="1" x="4281"/>
        <item h="1" m="1" x="450"/>
        <item h="1" m="1" x="768"/>
        <item h="1" m="1" x="2760"/>
        <item h="1" m="1" x="4633"/>
        <item h="1" m="1" x="4634"/>
        <item h="1" m="1" x="2761"/>
        <item h="1" m="1" x="4635"/>
        <item h="1" m="1" x="4636"/>
        <item h="1" m="1" x="1732"/>
        <item h="1" m="1" x="2919"/>
        <item h="1" m="1" x="2918"/>
        <item h="1" m="1" x="3062"/>
        <item h="1" m="1" x="4451"/>
        <item h="1" m="1" x="4638"/>
        <item h="1" m="1" x="4465"/>
        <item h="1" m="1" x="4450"/>
        <item h="1" m="1" x="4440"/>
        <item h="1" m="1" x="4459"/>
        <item h="1" m="1" x="3956"/>
        <item h="1" m="1" x="3957"/>
        <item h="1" m="1" x="3958"/>
        <item h="1" m="1" x="1831"/>
        <item h="1" m="1" x="1798"/>
        <item h="1" x="17"/>
        <item h="1" m="1" x="3959"/>
        <item h="1" m="1" x="4640"/>
        <item h="1" x="354"/>
        <item h="1" m="1" x="4641"/>
        <item h="1" m="1" x="4642"/>
        <item h="1" m="1" x="4127"/>
        <item h="1" m="1" x="1183"/>
        <item h="1" m="1" x="4644"/>
        <item h="1" m="1" x="4645"/>
        <item h="1" m="1" x="4284"/>
        <item h="1" m="1" x="3962"/>
        <item h="1" m="1" x="3975"/>
        <item h="1" m="1" x="3974"/>
        <item h="1" m="1" x="3978"/>
        <item h="1" m="1" x="3977"/>
        <item h="1" m="1" x="3973"/>
        <item h="1" m="1" x="3976"/>
        <item h="1" m="1" x="3985"/>
        <item h="1" m="1" x="3983"/>
        <item h="1" m="1" x="3982"/>
        <item h="1" m="1" x="3979"/>
        <item h="1" m="1" x="3984"/>
        <item h="1" m="1" x="3992"/>
        <item h="1" m="1" x="4444"/>
        <item h="1" m="1" x="2875"/>
        <item h="1" m="1" x="1909"/>
        <item h="1" m="1" x="4457"/>
        <item h="1" m="1" x="4646"/>
        <item h="1" m="1" x="4647"/>
        <item h="1" m="1" x="4648"/>
        <item h="1" m="1" x="4649"/>
        <item h="1" m="1" x="4650"/>
        <item h="1" m="1" x="4445"/>
        <item h="1" m="1" x="4651"/>
        <item h="1" m="1" x="612"/>
        <item h="1" m="1" x="2910"/>
        <item h="1" m="1" x="4653"/>
        <item h="1" m="1" x="4137"/>
        <item h="1" m="1" x="4654"/>
        <item h="1" m="1" x="3097"/>
        <item h="1" m="1" x="4655"/>
        <item h="1" m="1" x="4656"/>
        <item h="1" m="1" x="4458"/>
        <item h="1" m="1" x="3096"/>
        <item h="1" m="1" x="4657"/>
        <item h="1" m="1" x="2940"/>
        <item h="1" m="1" x="4658"/>
        <item h="1" m="1" x="2939"/>
        <item h="1" m="1" x="4659"/>
        <item h="1" m="1" x="3095"/>
        <item h="1" m="1" x="4664"/>
        <item h="1" m="1" x="4666"/>
        <item h="1" m="1" x="1568"/>
        <item h="1" m="1" x="4667"/>
        <item h="1" x="183"/>
        <item h="1" m="1" x="4669"/>
        <item h="1" m="1" x="4670"/>
        <item h="1" m="1" x="4671"/>
        <item h="1" m="1" x="4672"/>
        <item h="1" m="1" x="4673"/>
        <item h="1" m="1" x="3110"/>
        <item h="1" m="1" x="4674"/>
        <item h="1" m="1" x="3111"/>
        <item h="1" m="1" x="3113"/>
        <item h="1" m="1" x="4676"/>
        <item h="1" m="1" x="4677"/>
        <item h="1" m="1" x="4678"/>
        <item h="1" m="1" x="4679"/>
        <item h="1" m="1" x="3112"/>
        <item h="1" m="1" x="3115"/>
        <item h="1" m="1" x="4680"/>
        <item h="1" m="1" x="4453"/>
        <item h="1" m="1" x="4296"/>
        <item h="1" m="1" x="4000"/>
        <item h="1" m="1" x="4443"/>
        <item h="1" m="1" x="1525"/>
        <item h="1" m="1" x="4448"/>
        <item h="1" m="1" x="4447"/>
        <item h="1" m="1" x="4446"/>
        <item h="1" m="1" x="4462"/>
        <item h="1" m="1" x="2367"/>
        <item h="1" m="1" x="2354"/>
        <item h="1" m="1" x="2355"/>
        <item h="1" m="1" x="2356"/>
        <item h="1" m="1" x="2379"/>
        <item h="1" m="1" x="2375"/>
        <item h="1" m="1" x="2369"/>
        <item h="1" m="1" x="2370"/>
        <item h="1" m="1" x="2384"/>
        <item h="1" m="1" x="2388"/>
        <item h="1" m="1" x="2399"/>
        <item h="1" m="1" x="2400"/>
        <item h="1" m="1" x="2401"/>
        <item h="1" m="1" x="2402"/>
        <item h="1" m="1" x="2391"/>
        <item h="1" m="1" x="2392"/>
        <item h="1" m="1" x="2233"/>
        <item h="1" m="1" x="3397"/>
        <item h="1" m="1" x="3661"/>
        <item h="1" m="1" x="4682"/>
        <item h="1" m="1" x="4460"/>
        <item h="1" m="1" x="2397"/>
        <item h="1" m="1" x="4684"/>
        <item h="1" m="1" x="4685"/>
        <item h="1" m="1" x="4686"/>
        <item h="1" m="1" x="3401"/>
        <item h="1" m="1" x="3402"/>
        <item h="1" m="1" x="1833"/>
        <item h="1" m="1" x="3426"/>
        <item h="1" m="1" x="3516"/>
        <item h="1" m="1" x="3425"/>
        <item h="1" m="1" x="3515"/>
        <item h="1" m="1" x="4143"/>
        <item h="1" m="1" x="4144"/>
        <item h="1" m="1" x="4145"/>
        <item h="1" m="1" x="3536"/>
        <item h="1" m="1" x="3537"/>
        <item h="1" m="1" x="3684"/>
        <item h="1" m="1" x="4002"/>
        <item h="1" m="1" x="3403"/>
        <item h="1" m="1" x="3408"/>
        <item h="1" m="1" x="3409"/>
        <item h="1" m="1" x="4692"/>
        <item h="1" m="1" x="3165"/>
        <item h="1" m="1" x="3407"/>
        <item h="1" m="1" x="4693"/>
        <item h="1" m="1" x="3855"/>
        <item h="1" m="1" x="3857"/>
        <item h="1" m="1" x="4694"/>
        <item h="1" m="1" x="3559"/>
        <item h="1" m="1" x="4695"/>
        <item h="1" m="1" x="1952"/>
        <item h="1" m="1" x="1953"/>
        <item h="1" m="1" x="1951"/>
        <item h="1" x="340"/>
        <item h="1" m="1" x="4697"/>
        <item h="1" m="1" x="4698"/>
        <item h="1" m="1" x="4699"/>
        <item h="1" m="1" x="4700"/>
        <item h="1" m="1" x="3824"/>
        <item h="1" m="1" x="1961"/>
        <item h="1" m="1" x="2595"/>
        <item h="1" x="24"/>
        <item h="1" m="1" x="1962"/>
        <item h="1" m="1" x="4702"/>
        <item h="1" m="1" x="4703"/>
        <item h="1" m="1" x="2381"/>
        <item h="1" m="1" x="2610"/>
        <item h="1" m="1" x="4704"/>
        <item h="1" m="1" x="4705"/>
        <item h="1" m="1" x="4706"/>
        <item h="1" m="1" x="3430"/>
        <item h="1" m="1" x="4707"/>
        <item h="1" m="1" x="4708"/>
        <item h="1" m="1" x="4709"/>
        <item h="1" m="1" x="4710"/>
        <item h="1" m="1" x="4711"/>
        <item h="1" m="1" x="4712"/>
        <item h="1" m="1" x="4713"/>
        <item h="1" m="1" x="4714"/>
        <item h="1" m="1" x="4715"/>
        <item h="1" m="1" x="4716"/>
        <item h="1" m="1" x="4717"/>
        <item h="1" m="1" x="686"/>
        <item h="1" m="1" x="4720"/>
        <item h="1" m="1" x="4721"/>
        <item h="1" m="1" x="4722"/>
        <item h="1" m="1" x="3660"/>
        <item h="1" m="1" x="4723"/>
        <item h="1" m="1" x="4724"/>
        <item h="1" m="1" x="4725"/>
        <item h="1" m="1" x="4467"/>
        <item h="1" m="1" x="4727"/>
        <item h="1" m="1" x="4729"/>
        <item h="1" m="1" x="4730"/>
        <item h="1" m="1" x="4731"/>
        <item h="1" m="1" x="4732"/>
        <item h="1" m="1" x="454"/>
        <item h="1" m="1" x="453"/>
        <item h="1" m="1" x="4013"/>
        <item h="1" m="1" x="4011"/>
        <item h="1" m="1" x="4012"/>
        <item h="1" m="1" x="4014"/>
        <item h="1" m="1" x="452"/>
        <item h="1" m="1" x="4442"/>
        <item h="1" m="1" x="4437"/>
        <item h="1" m="1" x="4438"/>
        <item h="1" m="1" x="4439"/>
        <item h="1" m="1" x="621"/>
        <item h="1" m="1" x="2902"/>
        <item h="1" m="1" x="4018"/>
        <item h="1" m="1" x="4174"/>
        <item h="1" m="1" x="2893"/>
        <item h="1" m="1" x="4175"/>
        <item h="1" m="1" x="4129"/>
        <item h="1" m="1" x="3437"/>
        <item h="1" m="1" x="2373"/>
        <item h="1" m="1" x="2371"/>
        <item h="1" m="1" x="2360"/>
        <item h="1" m="1" x="2365"/>
        <item h="1" m="1" x="2372"/>
        <item h="1" m="1" x="2362"/>
        <item h="1" m="1" x="2363"/>
        <item h="1" m="1" x="2364"/>
        <item h="1" m="1" x="1895"/>
        <item h="1" m="1" x="1894"/>
        <item h="1" m="1" x="2353"/>
        <item h="1" m="1" x="1896"/>
        <item h="1" m="1" x="2231"/>
        <item h="1" m="1" x="2232"/>
        <item h="1" m="1" x="4449"/>
        <item h="1" m="1" x="4734"/>
        <item h="1" m="1" x="4423"/>
        <item h="1" m="1" x="3159"/>
        <item h="1" m="1" x="1913"/>
        <item h="1" m="1" x="4193"/>
        <item h="1" m="1" x="4737"/>
        <item h="1" m="1" x="4738"/>
        <item h="1" m="1" x="4739"/>
        <item h="1" m="1" x="4740"/>
        <item h="1" m="1" x="4741"/>
        <item h="1" m="1" x="4742"/>
        <item h="1" m="1" x="4743"/>
        <item h="1" m="1" x="4744"/>
        <item h="1" m="1" x="4746"/>
        <item h="1" m="1" x="4747"/>
        <item h="1" m="1" x="2235"/>
        <item h="1" m="1" x="4027"/>
        <item h="1" m="1" x="4028"/>
        <item h="1" m="1" x="4748"/>
        <item h="1" m="1" x="4749"/>
        <item h="1" m="1" x="4750"/>
        <item h="1" m="1" x="4751"/>
        <item h="1" m="1" x="4752"/>
        <item h="1" m="1" x="4322"/>
        <item h="1" m="1" x="3555"/>
        <item h="1" m="1" x="4753"/>
        <item h="1" m="1" x="4754"/>
        <item h="1" m="1" x="3135"/>
        <item h="1" m="1" x="1280"/>
        <item h="1" m="1" x="4755"/>
        <item h="1" m="1" x="4756"/>
        <item h="1" m="1" x="2236"/>
        <item h="1" m="1" x="4757"/>
        <item h="1" m="1" x="2637"/>
        <item h="1" m="1" x="4758"/>
        <item h="1" m="1" x="4759"/>
        <item h="1" m="1" x="4760"/>
        <item h="1" m="1" x="4761"/>
        <item h="1" m="1" x="4763"/>
        <item h="1" m="1" x="4764"/>
        <item h="1" m="1" x="4765"/>
        <item h="1" m="1" x="1270"/>
        <item h="1" m="1" x="4766"/>
        <item h="1" m="1" x="4215"/>
        <item h="1" m="1" x="4767"/>
        <item h="1" m="1" x="4768"/>
        <item h="1" m="1" x="4769"/>
        <item h="1" m="1" x="4770"/>
        <item h="1" m="1" x="4771"/>
        <item h="1" m="1" x="4772"/>
        <item h="1" m="1" x="4773"/>
        <item h="1" m="1" x="4774"/>
        <item h="1" m="1" x="4775"/>
        <item h="1" m="1" x="1797"/>
        <item h="1" m="1" x="4463"/>
        <item h="1" m="1" x="1916"/>
        <item h="1" m="1" x="4776"/>
        <item h="1" m="1" x="4777"/>
        <item h="1" m="1" x="4778"/>
        <item h="1" m="1" x="4779"/>
        <item h="1" m="1" x="4780"/>
        <item h="1" m="1" x="4781"/>
        <item h="1" m="1" x="3777"/>
        <item h="1" m="1" x="4782"/>
        <item h="1" m="1" x="3139"/>
        <item h="1" m="1" x="4784"/>
        <item h="1" m="1" x="3137"/>
        <item h="1" m="1" x="4785"/>
        <item h="1" m="1" x="4786"/>
        <item h="1" m="1" x="4787"/>
        <item h="1" m="1" x="4788"/>
        <item h="1" m="1" x="4789"/>
        <item h="1" m="1" x="4790"/>
        <item h="1" m="1" x="4791"/>
        <item h="1" m="1" x="3730"/>
        <item h="1" m="1" x="4792"/>
        <item h="1" m="1" x="3141"/>
        <item h="1" m="1" x="3462"/>
        <item h="1" m="1" x="3460"/>
        <item h="1" m="1" x="3461"/>
        <item h="1" m="1" x="4793"/>
        <item h="1" m="1" x="4794"/>
        <item h="1" m="1" x="1830"/>
        <item h="1" m="1" x="3458"/>
        <item h="1" m="1" x="4795"/>
        <item h="1" m="1" x="3459"/>
        <item h="1" m="1" x="4796"/>
        <item h="1" m="1" x="4797"/>
        <item h="1" m="1" x="4798"/>
        <item h="1" m="1" x="4799"/>
        <item h="1" m="1" x="4800"/>
        <item h="1" m="1" x="4801"/>
        <item h="1" m="1" x="4802"/>
        <item h="1" m="1" x="4803"/>
        <item h="1" m="1" x="4804"/>
        <item h="1" m="1" x="4806"/>
        <item h="1" m="1" x="4807"/>
        <item h="1" m="1" x="4033"/>
        <item h="1" m="1" x="3865"/>
        <item h="1" m="1" x="3866"/>
        <item h="1" m="1" x="3867"/>
        <item h="1" m="1" x="4808"/>
        <item h="1" m="1" x="4809"/>
        <item h="1" m="1" x="4810"/>
        <item h="1" m="1" x="4811"/>
        <item h="1" m="1" x="3872"/>
        <item h="1" m="1" x="4812"/>
        <item h="1" m="1" x="3871"/>
        <item h="1" m="1" x="4813"/>
        <item h="1" m="1" x="4814"/>
        <item h="1" m="1" x="4815"/>
        <item h="1" m="1" x="4816"/>
        <item h="1" m="1" x="4333"/>
        <item h="1" m="1" x="4044"/>
        <item h="1" m="1" x="4331"/>
        <item h="1" m="1" x="4334"/>
        <item h="1" m="1" x="4336"/>
        <item h="1" m="1" x="4039"/>
        <item h="1" m="1" x="4040"/>
        <item h="1" m="1" x="4042"/>
        <item h="1" m="1" x="4043"/>
        <item h="1" m="1" x="4335"/>
        <item h="1" x="49"/>
        <item h="1" m="1" x="4245"/>
        <item h="1" m="1" x="4422"/>
        <item h="1" m="1" x="4419"/>
        <item h="1" m="1" x="3797"/>
        <item h="1" m="1" x="3900"/>
        <item h="1" m="1" x="3903"/>
        <item h="1" m="1" x="1920"/>
        <item h="1" m="1" x="4076"/>
        <item h="1" m="1" x="4078"/>
        <item h="1" m="1" x="1960"/>
        <item h="1" m="1" x="4418"/>
        <item h="1" m="1" x="4420"/>
        <item h="1" m="1" x="4254"/>
        <item h="1" m="1" x="4255"/>
        <item h="1" m="1" x="4247"/>
        <item h="1" m="1" x="4414"/>
        <item h="1" m="1" x="4257"/>
        <item h="1" m="1" x="4258"/>
        <item h="1" m="1" x="4085"/>
        <item h="1" m="1" x="1924"/>
        <item h="1" m="1" x="4083"/>
        <item h="1" m="1" x="781"/>
        <item h="1" m="1" x="774"/>
        <item h="1" m="1" x="775"/>
        <item h="1" m="1" x="4084"/>
        <item h="1" m="1" x="4421"/>
        <item h="1" m="1" x="1777"/>
        <item h="1" m="1" x="3925"/>
        <item h="1" m="1" x="3933"/>
        <item h="1" m="1" x="4261"/>
        <item h="1" m="1" x="4260"/>
        <item h="1" m="1" x="3928"/>
        <item h="1" m="1" x="3930"/>
        <item h="1" m="1" x="4259"/>
        <item h="1" m="1" x="3929"/>
        <item h="1" m="1" x="3927"/>
        <item h="1" m="1" x="4096"/>
        <item h="1" m="1" x="4375"/>
        <item h="1" m="1" x="1709"/>
        <item h="1" m="1" x="4097"/>
        <item h="1" m="1" x="1184"/>
        <item h="1" m="1" x="4104"/>
        <item h="1" m="1" x="4377"/>
        <item h="1" m="1" x="4381"/>
        <item h="1" m="1" x="1949"/>
        <item h="1" m="1" x="4384"/>
        <item h="1" m="1" x="4413"/>
        <item h="1" m="1" x="2898"/>
        <item h="1" m="1" x="3945"/>
        <item h="1" m="1" x="4435"/>
        <item h="1" m="1" x="2386"/>
        <item h="1" m="1" x="2385"/>
        <item h="1" m="1" x="4428"/>
        <item h="1" m="1" x="4285"/>
        <item h="1" m="1" x="4286"/>
        <item h="1" m="1" x="4289"/>
        <item h="1" m="1" x="3990"/>
        <item h="1" m="1" x="3980"/>
        <item h="1" m="1" x="3981"/>
        <item h="1" m="1" x="4412"/>
        <item h="1" m="1" x="3100"/>
        <item h="1" m="1" x="4388"/>
        <item h="1" m="1" x="4427"/>
        <item h="1" m="1" x="3850"/>
        <item h="1" m="1" x="3851"/>
        <item h="1" m="1" x="3534"/>
        <item h="1" m="1" x="3533"/>
        <item h="1" m="1" x="3526"/>
        <item h="1" m="1" x="3524"/>
        <item h="1" m="1" x="3525"/>
        <item h="1" m="1" x="2836"/>
        <item h="1" m="1" x="1818"/>
        <item h="1" m="1" x="3041"/>
        <item h="1" m="1" x="2594"/>
        <item h="1" m="1" x="1805"/>
        <item h="1" m="1" x="4417"/>
        <item h="1" m="1" x="4434"/>
        <item h="1" m="1" x="4433"/>
        <item h="1" m="1" x="3385"/>
        <item h="1" m="1" x="4426"/>
        <item h="1" m="1" x="4425"/>
        <item h="1" m="1" x="4432"/>
        <item h="1" m="1" x="4431"/>
        <item h="1" m="1" x="4429"/>
        <item h="1" m="1" x="4430"/>
        <item h="1" m="1" x="4424"/>
        <item h="1" m="1" x="4416"/>
        <item h="1" m="1" x="2888"/>
        <item h="1" m="1" x="2858"/>
        <item h="1" m="1" x="2891"/>
        <item h="1" m="1" x="4205"/>
        <item h="1" m="1" x="4324"/>
        <item h="1" m="1" x="4402"/>
        <item h="1" m="1" x="3463"/>
        <item h="1" m="1" x="4406"/>
        <item h="1" m="1" x="3340"/>
        <item h="1" m="1" x="4226"/>
        <item h="1" m="1" x="1808"/>
        <item h="1" m="1" x="3142"/>
        <item h="1" m="1" x="4408"/>
        <item h="1" m="1" x="4231"/>
        <item h="1" m="1" x="4409"/>
        <item h="1" m="1" x="3863"/>
        <item h="1" m="1" x="3864"/>
        <item h="1" m="1" x="4411"/>
        <item h="1" m="1" x="3869"/>
        <item h="1" m="1" x="3870"/>
        <item h="1" m="1" x="3868"/>
        <item h="1" m="1" x="4339"/>
        <item h="1" m="1" x="4340"/>
        <item h="1" m="1" x="4074"/>
        <item h="1" m="1" x="4342"/>
        <item h="1" m="1" x="4344"/>
        <item h="1" m="1" x="4345"/>
        <item h="1" m="1" x="4346"/>
        <item h="1" m="1" x="4347"/>
        <item h="1" m="1" x="4348"/>
        <item h="1" m="1" x="4349"/>
        <item h="1" m="1" x="4350"/>
        <item h="1" m="1" x="4351"/>
        <item h="1" m="1" x="4352"/>
        <item h="1" m="1" x="4353"/>
        <item h="1" m="1" x="4354"/>
        <item h="1" m="1" x="2014"/>
        <item h="1" m="1" x="4355"/>
        <item h="1" m="1" x="4356"/>
        <item h="1" m="1" x="4357"/>
        <item h="1" m="1" x="4358"/>
        <item h="1" m="1" x="4359"/>
        <item h="1" m="1" x="4360"/>
        <item h="1" m="1" x="4361"/>
        <item h="1" m="1" x="4362"/>
        <item h="1" m="1" x="3906"/>
        <item h="1" m="1" x="4363"/>
        <item h="1" m="1" x="4364"/>
        <item h="1" m="1" x="4365"/>
        <item h="1" m="1" x="4366"/>
        <item h="1" m="1" x="4081"/>
        <item h="1" m="1" x="4367"/>
        <item h="1" m="1" x="4368"/>
        <item h="1" m="1" x="4369"/>
        <item h="1" m="1" x="2777"/>
        <item h="1" m="1" x="4371"/>
        <item h="1" m="1" x="3362"/>
        <item h="1" m="1" x="4372"/>
        <item h="1" m="1" x="3932"/>
        <item h="1" m="1" x="4262"/>
        <item h="1" m="1" x="4263"/>
        <item h="1" m="1" x="4264"/>
        <item h="1" m="1" x="4265"/>
        <item h="1" m="1" x="4374"/>
        <item h="1" m="1" x="1922"/>
        <item h="1" m="1" x="4095"/>
        <item h="1" m="1" x="586"/>
        <item h="1" m="1" x="4094"/>
        <item h="1" m="1" x="4378"/>
        <item h="1" m="1" x="4379"/>
        <item h="1" m="1" x="4380"/>
        <item h="1" m="1" x="4114"/>
        <item h="1" m="1" x="4383"/>
        <item h="1" m="1" x="4385"/>
        <item h="1" m="1" x="4386"/>
        <item h="1" m="1" x="4126"/>
        <item h="1" m="1" x="3986"/>
        <item h="1" m="1" x="4387"/>
        <item h="1" m="1" x="492"/>
        <item h="1" m="1" x="1802"/>
        <item h="1" m="1" x="3114"/>
        <item h="1" m="1" x="4389"/>
        <item h="1" m="1" x="4390"/>
        <item h="1" x="436"/>
        <item h="1" m="1" x="3520"/>
        <item h="1" m="1" x="4391"/>
        <item h="1" m="1" x="4148"/>
        <item h="1" m="1" x="4005"/>
        <item h="1" m="1" x="4392"/>
        <item h="1" m="1" x="1945"/>
        <item h="1" m="1" x="1946"/>
        <item h="1" m="1" x="1954"/>
        <item h="1" m="1" x="1955"/>
        <item h="1" m="1" x="3823"/>
        <item h="1" m="1" x="4393"/>
        <item h="1" m="1" x="4396"/>
        <item h="1" m="1" x="4397"/>
        <item h="1" m="1" x="481"/>
        <item h="1" m="1" x="4398"/>
        <item h="1" m="1" x="2968"/>
        <item h="1" m="1" x="4314"/>
        <item h="1" m="1" x="1491"/>
        <item h="1" m="1" x="4190"/>
        <item h="1" m="1" x="529"/>
        <item h="1" m="1" x="4183"/>
        <item h="1" m="1" x="4184"/>
        <item h="1" m="1" x="4185"/>
        <item h="1" m="1" x="2877"/>
        <item h="1" m="1" x="4399"/>
        <item h="1" m="1" x="4400"/>
        <item h="1" m="1" x="4401"/>
        <item h="1" m="1" x="4403"/>
        <item h="1" m="1" x="4405"/>
        <item h="1" m="1" x="4407"/>
        <item h="1" x="411"/>
        <item h="1" m="1" x="4410"/>
        <item h="1" m="1" x="4332"/>
        <item h="1" m="1" x="4235"/>
        <item h="1" m="1" x="4236"/>
        <item h="1" m="1" x="4049"/>
        <item h="1" m="1" x="4050"/>
        <item h="1" m="1" x="3874"/>
        <item h="1" m="1" x="4063"/>
        <item h="1" m="1" x="4061"/>
        <item h="1" m="1" x="4059"/>
        <item h="1" m="1" x="4060"/>
        <item h="1" m="1" x="4062"/>
        <item h="1" m="1" x="3880"/>
        <item h="1" m="1" x="3881"/>
        <item h="1" m="1" x="3882"/>
        <item h="1" m="1" x="3883"/>
        <item h="1" m="1" x="3884"/>
        <item h="1" m="1" x="3885"/>
        <item h="1" m="1" x="3886"/>
        <item h="1" m="1" x="3891"/>
        <item h="1" m="1" x="3892"/>
        <item h="1" m="1" x="4073"/>
        <item h="1" m="1" x="3879"/>
        <item h="1" m="1" x="3888"/>
        <item h="1" m="1" x="4064"/>
        <item h="1" m="1" x="3893"/>
        <item h="1" m="1" x="4065"/>
        <item h="1" m="1" x="4066"/>
        <item h="1" m="1" x="4067"/>
        <item h="1" m="1" x="4068"/>
        <item h="1" m="1" x="3187"/>
        <item h="1" m="1" x="3894"/>
        <item h="1" m="1" x="4070"/>
        <item h="1" m="1" x="4071"/>
        <item h="1" m="1" x="4072"/>
        <item h="1" m="1" x="3889"/>
        <item h="1" m="1" x="3890"/>
        <item h="1" m="1" x="3583"/>
        <item h="1" m="1" x="4246"/>
        <item h="1" m="1" x="3907"/>
        <item h="1" m="1" x="3908"/>
        <item h="1" m="1" x="1422"/>
        <item h="1" m="1" x="4248"/>
        <item h="1" m="1" x="4249"/>
        <item h="1" m="1" x="4250"/>
        <item h="1" m="1" x="4080"/>
        <item h="1" m="1" x="4079"/>
        <item h="1" m="1" x="4251"/>
        <item h="1" m="1" x="4252"/>
        <item h="1" m="1" x="4253"/>
        <item h="1" m="1" x="4082"/>
        <item h="1" m="1" x="1929"/>
        <item h="1" m="1" x="1931"/>
        <item h="1" m="1" x="1930"/>
        <item h="1" m="1" x="1927"/>
        <item h="1" m="1" x="1928"/>
        <item h="1" m="1" x="4087"/>
        <item h="1" m="1" x="4266"/>
        <item h="1" m="1" x="1799"/>
        <item h="1" m="1" x="4267"/>
        <item h="1" m="1" x="4098"/>
        <item h="1" m="1" x="1959"/>
        <item h="1" m="1" x="4100"/>
        <item h="1" m="1" x="4269"/>
        <item h="1" m="1" x="1950"/>
        <item h="1" m="1" x="4270"/>
        <item h="1" m="1" x="4115"/>
        <item h="1" m="1" x="2441"/>
        <item h="1" m="1" x="3298"/>
        <item h="1" m="1" x="4274"/>
        <item h="1" m="1" x="4275"/>
        <item h="1" m="1" x="4276"/>
        <item h="1" m="1" x="3377"/>
        <item h="1" m="1" x="4277"/>
        <item h="1" m="1" x="2883"/>
        <item h="1" m="1" x="4278"/>
        <item h="1" m="1" x="4279"/>
        <item h="1" m="1" x="1919"/>
        <item h="1" m="1" x="1937"/>
        <item h="1" m="1" x="1957"/>
        <item h="1" m="1" x="1939"/>
        <item h="1" m="1" x="1936"/>
        <item h="1" m="1" x="4283"/>
        <item h="1" m="1" x="4124"/>
        <item h="1" m="1" x="4291"/>
        <item h="1" m="1" x="4292"/>
        <item h="1" m="1" x="4293"/>
        <item h="1" m="1" x="1801"/>
        <item h="1" m="1" x="4294"/>
        <item h="1" m="1" x="515"/>
        <item h="1" m="1" x="4136"/>
        <item h="1" m="1" x="3813"/>
        <item h="1" m="1" x="4295"/>
        <item h="1" m="1" x="3166"/>
        <item h="1" m="1" x="4297"/>
        <item h="1" m="1" x="4298"/>
        <item h="1" m="1" x="4299"/>
        <item h="1" m="1" x="4300"/>
        <item h="1" m="1" x="4142"/>
        <item h="1" m="1" x="3519"/>
        <item h="1" m="1" x="3522"/>
        <item h="1" m="1" x="3422"/>
        <item h="1" m="1" x="3521"/>
        <item h="1" m="1" x="2616"/>
        <item h="1" m="1" x="4301"/>
        <item h="1" m="1" x="4149"/>
        <item h="1" m="1" x="4302"/>
        <item h="1" m="1" x="2911"/>
        <item h="1" m="1" x="4306"/>
        <item h="1" m="1" x="2549"/>
        <item h="1" m="1" x="4307"/>
        <item h="1" m="1" x="4154"/>
        <item h="1" m="1" x="4308"/>
        <item h="1" m="1" x="4309"/>
        <item h="1" m="1" x="4310"/>
        <item h="1" m="1" x="4311"/>
        <item h="1" m="1" x="3136"/>
        <item h="1" m="1" x="4312"/>
        <item h="1" m="1" x="4313"/>
        <item h="1" m="1" x="2589"/>
        <item h="1" m="1" x="1806"/>
        <item h="1" m="1" x="4315"/>
        <item h="1" m="1" x="4316"/>
        <item h="1" m="1" x="4317"/>
        <item h="1" m="1" x="4318"/>
        <item h="1" m="1" x="4021"/>
        <item h="1" m="1" x="4321"/>
        <item h="1" m="1" x="2064"/>
        <item h="1" m="1" x="4189"/>
        <item h="1" m="1" x="4187"/>
        <item h="1" m="1" x="4188"/>
        <item h="1" m="1" x="4186"/>
        <item h="1" m="1" x="1807"/>
        <item h="1" m="1" x="1224"/>
        <item h="1" m="1" x="4207"/>
        <item h="1" m="1" x="4208"/>
        <item h="1" m="1" x="4325"/>
        <item h="1" m="1" x="4326"/>
        <item h="1" m="1" x="4327"/>
        <item h="1" m="1" x="4328"/>
        <item h="1" m="1" x="4329"/>
        <item h="1" m="1" x="4330"/>
        <item h="1" m="1" x="4036"/>
        <item h="1" m="1" x="4234"/>
        <item h="1" m="1" x="4048"/>
        <item h="1" m="1" x="1964"/>
        <item h="1" m="1" x="4051"/>
        <item h="1" m="1" x="4052"/>
        <item h="1" m="1" x="4053"/>
        <item h="1" m="1" x="4054"/>
        <item h="1" m="1" x="4055"/>
        <item h="1" m="1" x="4056"/>
        <item h="1" m="1" x="4057"/>
        <item h="1" m="1" x="4058"/>
        <item h="1" m="1" x="1441"/>
        <item h="1" m="1" x="3590"/>
        <item h="1" m="1" x="4077"/>
        <item h="1" m="1" x="3910"/>
        <item h="1" m="1" x="3913"/>
        <item h="1" m="1" x="3838"/>
        <item h="1" m="1" x="2773"/>
        <item h="1" m="1" x="4086"/>
        <item h="1" m="1" x="4089"/>
        <item h="1" m="1" x="4090"/>
        <item h="1" m="1" x="1800"/>
        <item h="1" m="1" x="1529"/>
        <item h="1" m="1" x="4091"/>
        <item h="1" m="1" x="4092"/>
        <item h="1" m="1" x="588"/>
        <item h="1" m="1" x="4101"/>
        <item h="1" m="1" x="4105"/>
        <item h="1" m="1" x="4106"/>
        <item h="1" m="1" x="4107"/>
        <item h="1" m="1" x="4109"/>
        <item h="1" m="1" x="4110"/>
        <item h="1" m="1" x="4111"/>
        <item h="1" m="1" x="4112"/>
        <item h="1" m="1" x="4113"/>
        <item h="1" m="1" x="3083"/>
        <item h="1" m="1" x="2925"/>
        <item h="1" m="1" x="3935"/>
        <item h="1" m="1" x="3936"/>
        <item h="1" m="1" x="4119"/>
        <item h="1" m="1" x="4120"/>
        <item h="1" m="1" x="3951"/>
        <item h="1" m="1" x="4121"/>
        <item h="1" m="1" x="3812"/>
        <item h="1" m="1" x="4122"/>
        <item h="1" m="1" x="3952"/>
        <item h="1" x="200"/>
        <item h="1" m="1" x="1958"/>
        <item h="1" m="1" x="1487"/>
        <item h="1" m="1" x="3103"/>
        <item h="1" m="1" x="4128"/>
        <item h="1" m="1" x="4130"/>
        <item h="1" m="1" x="4131"/>
        <item h="1" m="1" x="4133"/>
        <item h="1" m="1" x="1804"/>
        <item h="1" m="1" x="3109"/>
        <item h="1" m="1" x="1803"/>
        <item h="1" m="1" x="3852"/>
        <item h="1" m="1" x="4138"/>
        <item h="1" m="1" x="4139"/>
        <item h="1" m="1" x="860"/>
        <item h="1" m="1" x="4140"/>
        <item h="1" m="1" x="4141"/>
        <item h="1" m="1" x="3532"/>
        <item h="1" m="1" x="4001"/>
        <item h="1" m="1" x="4146"/>
        <item h="1" m="1" x="4147"/>
        <item h="1" m="1" x="4150"/>
        <item h="1" m="1" x="2606"/>
        <item h="1" m="1" x="4152"/>
        <item h="1" m="1" x="2825"/>
        <item h="1" m="1" x="4156"/>
        <item h="1" m="1" x="4157"/>
        <item h="1" m="1" x="4158"/>
        <item h="1" m="1" x="4159"/>
        <item h="1" m="1" x="4160"/>
        <item h="1" m="1" x="4161"/>
        <item h="1" m="1" x="4162"/>
        <item h="1" m="1" x="4163"/>
        <item h="1" m="1" x="4164"/>
        <item h="1" m="1" x="4165"/>
        <item h="1" m="1" x="4166"/>
        <item h="1" m="1" x="4167"/>
        <item h="1" m="1" x="4169"/>
        <item h="1" m="1" x="4170"/>
        <item h="1" m="1" x="4171"/>
        <item h="1" m="1" x="4172"/>
        <item h="1" m="1" x="4015"/>
        <item h="1" m="1" x="4177"/>
        <item h="1" m="1" x="4178"/>
        <item h="1" m="1" x="4179"/>
        <item h="1" m="1" x="4181"/>
        <item h="1" m="1" x="4182"/>
        <item h="1" m="1" x="4191"/>
        <item h="1" m="1" x="4192"/>
        <item h="1" m="1" x="4194"/>
        <item h="1" m="1" x="4195"/>
        <item h="1" m="1" x="4196"/>
        <item h="1" m="1" x="4197"/>
        <item h="1" m="1" x="4198"/>
        <item h="1" m="1" x="4199"/>
        <item h="1" m="1" x="4201"/>
        <item h="1" m="1" x="4202"/>
        <item h="1" m="1" x="4203"/>
        <item h="1" m="1" x="4204"/>
        <item h="1" m="1" x="1973"/>
        <item h="1" m="1" x="4209"/>
        <item h="1" m="1" x="4210"/>
        <item h="1" m="1" x="4211"/>
        <item h="1" m="1" x="3325"/>
        <item h="1" m="1" x="4212"/>
        <item h="1" m="1" x="4214"/>
        <item h="1" m="1" x="4216"/>
        <item h="1" m="1" x="4217"/>
        <item h="1" m="1" x="4218"/>
        <item h="1" m="1" x="4219"/>
        <item h="1" m="1" x="4220"/>
        <item h="1" m="1" x="1018"/>
        <item h="1" m="1" x="4221"/>
        <item h="1" m="1" x="4222"/>
        <item h="1" m="1" x="4223"/>
        <item h="1" m="1" x="4224"/>
        <item h="1" m="1" x="4225"/>
        <item h="1" m="1" x="4227"/>
        <item h="1" m="1" x="4228"/>
        <item h="1" m="1" x="4229"/>
        <item h="1" m="1" x="4230"/>
        <item h="1" m="1" x="961"/>
        <item h="1" m="1" x="2072"/>
        <item h="1" x="59"/>
        <item h="1" m="1" x="3465"/>
        <item h="1" m="1" x="4233"/>
        <item h="1" m="1" x="4035"/>
        <item h="1" m="1" x="4037"/>
        <item h="1" m="1" x="4038"/>
        <item h="1" m="1" x="3875"/>
        <item h="1" m="1" x="3876"/>
        <item h="1" m="1" x="3877"/>
        <item h="1" m="1" x="3878"/>
        <item h="1" m="1" x="3895"/>
        <item h="1" m="1" x="3896"/>
        <item h="1" m="1" x="3897"/>
        <item h="1" m="1" x="3898"/>
        <item h="1" m="1" x="3899"/>
        <item h="1" m="1" x="449"/>
        <item h="1" m="1" x="2878"/>
        <item h="1" m="1" x="2879"/>
        <item h="1" m="1" x="2880"/>
        <item h="1" m="1" x="3158"/>
        <item h="1" m="1" x="3835"/>
        <item h="1" m="1" x="3902"/>
        <item h="1" m="1" x="3904"/>
        <item h="1" m="1" x="3905"/>
        <item h="1" m="1" x="3589"/>
        <item h="1" m="1" x="3909"/>
        <item h="1" m="1" x="3912"/>
        <item h="1" m="1" x="3914"/>
        <item h="1" m="1" x="3915"/>
        <item h="1" m="1" x="3916"/>
        <item h="1" m="1" x="3917"/>
        <item h="1" m="1" x="3918"/>
        <item h="1" m="1" x="3919"/>
        <item h="1" m="1" x="3920"/>
        <item h="1" m="1" x="3839"/>
        <item h="1" m="1" x="3921"/>
        <item h="1" m="1" x="3840"/>
        <item h="1" m="1" x="3923"/>
        <item h="1" m="1" x="3926"/>
        <item h="1" m="1" x="3843"/>
        <item h="1" m="1" x="3949"/>
        <item h="1" m="1" x="771"/>
        <item h="1" m="1" x="3953"/>
        <item h="1" m="1" x="1934"/>
        <item h="1" m="1" x="3954"/>
        <item h="1" m="1" x="1534"/>
        <item h="1" m="1" x="3649"/>
        <item h="1" m="1" x="3996"/>
        <item h="1" m="1" x="3997"/>
        <item h="1" m="1" x="3998"/>
        <item h="1" m="1" x="3848"/>
        <item h="1" m="1" x="3098"/>
        <item h="1" m="1" x="3853"/>
        <item h="1" m="1" x="3854"/>
        <item h="1" m="1" x="3528"/>
        <item h="1" m="1" x="3517"/>
        <item h="1" m="1" x="3413"/>
        <item h="1" m="1" x="3415"/>
        <item h="1" m="1" x="4003"/>
        <item h="1" m="1" x="448"/>
        <item h="1" m="1" x="4004"/>
        <item h="1" m="1" x="3692"/>
        <item h="1" m="1" x="4007"/>
        <item h="1" m="1" x="3825"/>
        <item h="1" m="1" x="3826"/>
        <item h="1" m="1" x="4022"/>
        <item h="1" m="1" x="4023"/>
        <item h="1" m="1" x="4024"/>
        <item h="1" m="1" x="4025"/>
        <item h="1" m="1" x="4026"/>
        <item h="1" m="1" x="4034"/>
        <item h="1" m="1" x="3831"/>
        <item h="1" m="1" x="3832"/>
        <item h="1" m="1" x="3833"/>
        <item h="1" m="1" x="3834"/>
        <item h="1" m="1" x="1932"/>
        <item h="1" m="1" x="1832"/>
        <item h="1" m="1" x="3836"/>
        <item h="1" m="1" x="1926"/>
        <item h="1" m="1" x="757"/>
        <item h="1" m="1" x="2687"/>
        <item h="1" m="1" x="3842"/>
        <item h="1" x="47"/>
        <item h="1" m="1" x="3804"/>
        <item h="1" m="1" x="2776"/>
        <item h="1" m="1" x="3845"/>
        <item h="1" m="1" x="3846"/>
        <item h="1" m="1" x="2885"/>
        <item h="1" m="1" x="3847"/>
        <item h="1" m="1" x="770"/>
        <item h="1" m="1" x="1940"/>
        <item h="1" m="1" x="1933"/>
        <item h="1" m="1" x="1938"/>
        <item h="1" m="1" x="1935"/>
        <item h="1" m="1" x="3849"/>
        <item h="1" m="1" x="2631"/>
        <item h="1" m="1" x="3523"/>
        <item h="1" m="1" x="3518"/>
        <item h="1" m="1" x="3856"/>
        <item h="1" m="1" x="3858"/>
        <item h="1" m="1" x="2952"/>
        <item h="1" m="1" x="3861"/>
        <item h="1" m="1" x="3791"/>
        <item h="1" m="1" x="3792"/>
        <item h="1" m="1" x="2688"/>
        <item h="1" m="1" x="3793"/>
        <item h="1" m="1" x="3794"/>
        <item h="1" m="1" x="3795"/>
        <item h="1" m="1" x="3796"/>
        <item h="1" m="1" x="3798"/>
        <item h="1" m="1" x="3799"/>
        <item h="1" m="1" x="3800"/>
        <item h="1" m="1" x="2864"/>
        <item h="1" m="1" x="1690"/>
        <item h="1" m="1" x="1691"/>
        <item h="1" m="1" x="3593"/>
        <item h="1" m="1" x="3488"/>
        <item h="1" m="1" x="1921"/>
        <item h="1" x="51"/>
        <item h="1" m="1" x="3801"/>
        <item h="1" m="1" x="3802"/>
        <item h="1" m="1" x="3803"/>
        <item h="1" m="1" x="3805"/>
        <item h="1" m="1" x="3806"/>
        <item h="1" x="214"/>
        <item h="1" m="1" x="3174"/>
        <item h="1" m="1" x="3808"/>
        <item h="1" m="1" x="3809"/>
        <item h="1" m="1" x="3811"/>
        <item h="1" m="1" x="1944"/>
        <item h="1" m="1" x="1889"/>
        <item h="1" m="1" x="3383"/>
        <item h="1" m="1" x="2908"/>
        <item h="1" m="1" x="3671"/>
        <item h="1" m="1" x="3106"/>
        <item h="1" m="1" x="986"/>
        <item h="1" m="1" x="3531"/>
        <item h="1" m="1" x="3815"/>
        <item h="1" m="1" x="3816"/>
        <item h="1" m="1" x="3817"/>
        <item h="1" m="1" x="3829"/>
        <item h="1" m="1" x="3830"/>
        <item h="1" m="1" x="3467"/>
        <item h="1" m="1" x="3469"/>
        <item h="1" m="1" x="3470"/>
        <item h="1" m="1" x="3471"/>
        <item h="1" m="1" x="3333"/>
        <item h="1" m="1" x="3574"/>
        <item h="1" m="1" x="3575"/>
        <item h="1" m="1" x="3576"/>
        <item h="1" m="1" x="3578"/>
        <item h="1" m="1" x="3579"/>
        <item h="1" m="1" x="3580"/>
        <item h="1" m="1" x="3581"/>
        <item h="1" m="1" x="3582"/>
        <item h="1" m="1" x="3584"/>
        <item h="1" m="1" x="3477"/>
        <item h="1" m="1" x="3585"/>
        <item h="1" m="1" x="3586"/>
        <item h="1" m="1" x="3587"/>
        <item h="1" m="1" x="3588"/>
        <item h="1" m="1" x="1684"/>
        <item h="1" m="1" x="3357"/>
        <item h="1" m="1" x="3358"/>
        <item h="1" m="1" x="3359"/>
        <item h="1" m="1" x="3351"/>
        <item h="1" m="1" x="3592"/>
        <item h="1" m="1" x="3594"/>
        <item h="1" m="1" x="3595"/>
        <item h="1" m="1" x="3356"/>
        <item h="1" m="1" x="3487"/>
        <item h="1" x="50"/>
        <item h="1" x="32"/>
        <item h="1" m="1" x="1813"/>
        <item h="1" m="1" x="3596"/>
        <item h="1" m="1" x="3597"/>
        <item h="1" m="1" x="3598"/>
        <item h="1" m="1" x="3366"/>
        <item h="1" m="1" x="3600"/>
        <item h="1" m="1" x="3601"/>
        <item h="1" m="1" x="1527"/>
        <item h="1" m="1" x="3602"/>
        <item h="1" m="1" x="3603"/>
        <item h="1" m="1" x="3604"/>
        <item h="1" m="1" x="3605"/>
        <item h="1" m="1" x="3606"/>
        <item h="1" m="1" x="673"/>
        <item h="1" m="1" x="3608"/>
        <item h="1" m="1" x="3609"/>
        <item h="1" m="1" x="3610"/>
        <item h="1" m="1" x="3612"/>
        <item h="1" m="1" x="1530"/>
        <item h="1" m="1" x="1531"/>
        <item h="1" m="1" x="3614"/>
        <item h="1" m="1" x="3615"/>
        <item h="1" m="1" x="3616"/>
        <item h="1" m="1" x="3617"/>
        <item h="1" m="1" x="3618"/>
        <item h="1" m="1" x="3619"/>
        <item h="1" m="1" x="3620"/>
        <item h="1" m="1" x="2188"/>
        <item h="1" m="1" x="3621"/>
        <item h="1" m="1" x="3069"/>
        <item h="1" m="1" x="3070"/>
        <item h="1" m="1" x="3623"/>
        <item h="1" m="1" x="3624"/>
        <item h="1" m="1" x="1715"/>
        <item h="1" m="1" x="3625"/>
        <item h="1" m="1" x="3627"/>
        <item h="1" m="1" x="3629"/>
        <item h="1" m="1" x="1099"/>
        <item h="1" m="1" x="3630"/>
        <item h="1" m="1" x="3631"/>
        <item h="1" m="1" x="3632"/>
        <item h="1" m="1" x="3634"/>
        <item h="1" m="1" x="2239"/>
        <item h="1" m="1" x="3635"/>
        <item h="1" m="1" x="3636"/>
        <item h="1" m="1" x="3637"/>
        <item h="1" m="1" x="3638"/>
        <item h="1" m="1" x="3639"/>
        <item h="1" m="1" x="3640"/>
        <item h="1" m="1" x="3643"/>
        <item h="1" m="1" x="3644"/>
        <item h="1" m="1" x="3645"/>
        <item h="1" m="1" x="3646"/>
        <item h="1" m="1" x="3211"/>
        <item h="1" m="1" x="3081"/>
        <item h="1" m="1" x="527"/>
        <item h="1" m="1" x="3502"/>
        <item h="1" m="1" x="773"/>
        <item h="1" m="1" x="3648"/>
        <item h="1" m="1" x="2407"/>
        <item h="1" m="1" x="2408"/>
        <item h="1" m="1" x="2409"/>
        <item h="1" m="1" x="2410"/>
        <item h="1" m="1" x="2411"/>
        <item h="1" m="1" x="2413"/>
        <item h="1" m="1" x="2419"/>
        <item h="1" m="1" x="2404"/>
        <item h="1" m="1" x="2427"/>
        <item h="1" m="1" x="2414"/>
        <item h="1" m="1" x="2420"/>
        <item h="1" m="1" x="2421"/>
        <item h="1" m="1" x="2422"/>
        <item h="1" m="1" x="2412"/>
        <item h="1" m="1" x="2406"/>
        <item h="1" m="1" x="1205"/>
        <item h="1" m="1" x="3652"/>
        <item h="1" m="1" x="3653"/>
        <item h="1" m="1" x="3654"/>
        <item h="1" m="1" x="2602"/>
        <item h="1" m="1" x="3382"/>
        <item h="1" m="1" x="3658"/>
        <item h="1" m="1" x="3659"/>
        <item h="1" m="1" x="3662"/>
        <item h="1" m="1" x="3663"/>
        <item h="1" m="1" x="3664"/>
        <item h="1" m="1" x="3665"/>
        <item h="1" m="1" x="3666"/>
        <item h="1" m="1" x="3667"/>
        <item h="1" m="1" x="3668"/>
        <item h="1" m="1" x="3669"/>
        <item h="1" m="1" x="3670"/>
        <item h="1" m="1" x="3099"/>
        <item h="1" m="1" x="3108"/>
        <item h="1" m="1" x="3107"/>
        <item h="1" m="1" x="3672"/>
        <item h="1" m="1" x="3674"/>
        <item h="1" x="127"/>
        <item h="1" m="1" x="3676"/>
        <item h="1" m="1" x="3677"/>
        <item h="1" m="1" x="3678"/>
        <item h="1" m="1" x="3679"/>
        <item h="1" m="1" x="3680"/>
        <item h="1" m="1" x="2558"/>
        <item h="1" m="1" x="3681"/>
        <item h="1" m="1" x="3682"/>
        <item h="1" m="1" x="3423"/>
        <item h="1" m="1" x="3527"/>
        <item h="1" m="1" x="3685"/>
        <item h="1" m="1" x="1739"/>
        <item h="1" m="1" x="3686"/>
        <item h="1" m="1" x="3687"/>
        <item h="1" m="1" x="3688"/>
        <item h="1" m="1" x="3689"/>
        <item h="1" m="1" x="3690"/>
        <item h="1" m="1" x="3691"/>
        <item h="1" m="1" x="3428"/>
        <item h="1" m="1" x="2593"/>
        <item h="1" m="1" x="2604"/>
        <item h="1" m="1" x="2609"/>
        <item h="1" m="1" x="2607"/>
        <item h="1" m="1" x="2608"/>
        <item h="1" m="1" x="2032"/>
        <item h="1" m="1" x="3693"/>
        <item h="1" m="1" x="3694"/>
        <item h="1" m="1" x="3695"/>
        <item h="1" m="1" x="1688"/>
        <item h="1" m="1" x="3696"/>
        <item h="1" m="1" x="3697"/>
        <item h="1" m="1" x="3698"/>
        <item h="1" m="1" x="3699"/>
        <item h="1" m="1" x="3700"/>
        <item h="1" m="1" x="3701"/>
        <item h="1" m="1" x="3702"/>
        <item h="1" m="1" x="3703"/>
        <item h="1" m="1" x="3704"/>
        <item h="1" m="1" x="3705"/>
        <item h="1" m="1" x="3706"/>
        <item h="1" m="1" x="3707"/>
        <item h="1" m="1" x="3708"/>
        <item h="1" m="1" x="3709"/>
        <item h="1" m="1" x="3710"/>
        <item h="1" m="1" x="3711"/>
        <item h="1" m="1" x="3712"/>
        <item h="1" m="1" x="3713"/>
        <item h="1" m="1" x="3714"/>
        <item h="1" m="1" x="3715"/>
        <item h="1" m="1" x="3716"/>
        <item h="1" m="1" x="2822"/>
        <item h="1" m="1" x="3717"/>
        <item h="1" m="1" x="3718"/>
        <item h="1" m="1" x="3719"/>
        <item h="1" m="1" x="3720"/>
        <item h="1" m="1" x="3721"/>
        <item h="1" m="1" x="3723"/>
        <item h="1" m="1" x="3127"/>
        <item h="1" m="1" x="3725"/>
        <item h="1" m="1" x="2793"/>
        <item h="1" m="1" x="3726"/>
        <item h="1" m="1" x="3727"/>
        <item h="1" m="1" x="3728"/>
        <item h="1" m="1" x="3729"/>
        <item h="1" m="1" x="1226"/>
        <item h="1" m="1" x="3731"/>
        <item h="1" m="1" x="3732"/>
        <item h="1" m="1" x="3432"/>
        <item h="1" m="1" x="3431"/>
        <item h="1" m="1" x="3552"/>
        <item h="1" m="1" x="3734"/>
        <item h="1" m="1" x="2007"/>
        <item h="1" m="1" x="3735"/>
        <item h="1" m="1" x="3737"/>
        <item h="1" m="1" x="3738"/>
        <item h="1" m="1" x="3101"/>
        <item h="1" m="1" x="3739"/>
        <item h="1" m="1" x="3740"/>
        <item h="1" m="1" x="3446"/>
        <item h="1" m="1" x="3741"/>
        <item h="1" m="1" x="3742"/>
        <item h="1" m="1" x="3743"/>
        <item h="1" m="1" x="3744"/>
        <item h="1" m="1" x="3745"/>
        <item h="1" m="1" x="3746"/>
        <item h="1" m="1" x="3747"/>
        <item h="1" m="1" x="3748"/>
        <item h="1" m="1" x="3749"/>
        <item h="1" m="1" x="3751"/>
        <item h="1" m="1" x="3752"/>
        <item h="1" m="1" x="3753"/>
        <item h="1" m="1" x="3754"/>
        <item h="1" m="1" x="3755"/>
        <item h="1" m="1" x="3756"/>
        <item h="1" m="1" x="3757"/>
        <item h="1" m="1" x="3758"/>
        <item h="1" m="1" x="3132"/>
        <item h="1" m="1" x="3759"/>
        <item h="1" m="1" x="1161"/>
        <item h="1" m="1" x="2645"/>
        <item h="1" m="1" x="2646"/>
        <item h="1" m="1" x="3762"/>
        <item h="1" m="1" x="3763"/>
        <item h="1" m="1" x="3448"/>
        <item h="1" m="1" x="3764"/>
        <item h="1" m="1" x="3765"/>
        <item h="1" m="1" x="3767"/>
        <item h="1" m="1" x="3768"/>
        <item h="1" m="1" x="3769"/>
        <item h="1" m="1" x="3770"/>
        <item h="1" m="1" x="3772"/>
        <item h="1" m="1" x="3773"/>
        <item h="1" m="1" x="3774"/>
        <item h="1" m="1" x="3775"/>
        <item h="1" m="1" x="3776"/>
        <item h="1" m="1" x="3778"/>
        <item h="1" m="1" x="3779"/>
        <item h="1" m="1" x="3780"/>
        <item h="1" m="1" x="1689"/>
        <item h="1" m="1" x="3781"/>
        <item h="1" m="1" x="3782"/>
        <item h="1" m="1" x="3784"/>
        <item h="1" m="1" x="3785"/>
        <item h="1" m="1" x="3786"/>
        <item h="1" m="1" x="3787"/>
        <item h="1" m="1" x="3468"/>
        <item h="1" m="1" x="3474"/>
        <item h="1" m="1" x="3475"/>
        <item h="1" m="1" x="3476"/>
        <item h="1" m="1" x="3478"/>
        <item h="1" m="1" x="2853"/>
        <item h="1" m="1" x="3479"/>
        <item h="1" m="1" x="3481"/>
        <item h="1" m="1" x="2039"/>
        <item h="1" m="1" x="3482"/>
        <item h="1" m="1" x="3483"/>
        <item h="1" m="1" x="3484"/>
        <item h="1" m="1" x="3485"/>
        <item h="1" m="1" x="3486"/>
        <item h="1" m="1" x="3360"/>
        <item h="1" m="1" x="3489"/>
        <item h="1" m="1" x="3490"/>
        <item h="1" m="1" x="3354"/>
        <item h="1" m="1" x="3491"/>
        <item h="1" m="1" x="601"/>
        <item h="1" m="1" x="3493"/>
        <item h="1" m="1" x="3361"/>
        <item h="1" m="1" x="3494"/>
        <item h="1" m="1" x="3495"/>
        <item h="1" m="1" x="935"/>
        <item h="1" m="1" x="1685"/>
        <item h="1" m="1" x="2144"/>
        <item h="1" m="1" x="3496"/>
        <item h="1" m="1" x="3497"/>
        <item h="1" m="1" x="3498"/>
        <item h="1" m="1" x="3124"/>
        <item h="1" m="1" x="3500"/>
        <item h="1" x="54"/>
        <item h="1" m="1" x="3503"/>
        <item h="1" m="1" x="3505"/>
        <item h="1" m="1" x="1898"/>
        <item h="1" m="1" x="1101"/>
        <item h="1" m="1" x="2246"/>
        <item h="1" m="1" x="3506"/>
        <item h="1" m="1" x="2418"/>
        <item h="1" m="1" x="2428"/>
        <item h="1" m="1" x="2245"/>
        <item h="1" m="1" x="2415"/>
        <item h="1" m="1" x="2426"/>
        <item h="1" m="1" x="2423"/>
        <item h="1" m="1" x="2425"/>
        <item h="1" m="1" x="2416"/>
        <item h="1" m="1" x="2417"/>
        <item h="1" m="1" x="2405"/>
        <item h="1" m="1" x="3507"/>
        <item h="1" m="1" x="2036"/>
        <item h="1" m="1" x="2037"/>
        <item h="1" m="1" x="2038"/>
        <item h="1" m="1" x="3508"/>
        <item h="1" m="1" x="3509"/>
        <item h="1" m="1" x="3510"/>
        <item h="1" m="1" x="3511"/>
        <item h="1" m="1" x="3116"/>
        <item h="1" m="1" x="3396"/>
        <item h="1" m="1" x="3512"/>
        <item h="1" m="1" x="2357"/>
        <item h="1" m="1" x="3513"/>
        <item h="1" m="1" x="3514"/>
        <item h="1" m="1" x="2387"/>
        <item h="1" m="1" x="2374"/>
        <item h="1" m="1" x="3417"/>
        <item h="1" m="1" x="3421"/>
        <item h="1" m="1" x="3529"/>
        <item h="1" m="1" x="3530"/>
        <item h="1" m="1" x="3538"/>
        <item h="1" m="1" x="3539"/>
        <item h="1" x="44"/>
        <item h="1" x="43"/>
        <item h="1" m="1" x="3540"/>
        <item h="1" m="1" x="3541"/>
        <item h="1" m="1" x="2905"/>
        <item h="1" m="1" x="2596"/>
        <item h="1" m="1" x="3542"/>
        <item h="1" m="1" x="3543"/>
        <item h="1" m="1" x="3544"/>
        <item h="1" m="1" x="3545"/>
        <item h="1" m="1" x="3546"/>
        <item h="1" m="1" x="3547"/>
        <item h="1" m="1" x="3548"/>
        <item h="1" m="1" x="3550"/>
        <item h="1" m="1" x="2795"/>
        <item h="1" m="1" x="3433"/>
        <item h="1" m="1" x="3435"/>
        <item h="1" m="1" x="3436"/>
        <item h="1" m="1" x="2005"/>
        <item h="1" m="1" x="3305"/>
        <item h="1" m="1" x="3304"/>
        <item h="1" m="1" x="2006"/>
        <item h="1" m="1" x="2859"/>
        <item h="1" m="1" x="2368"/>
        <item h="1" m="1" x="3157"/>
        <item h="1" m="1" x="3553"/>
        <item h="1" m="1" x="3554"/>
        <item h="1" m="1" x="3556"/>
        <item h="1" m="1" x="3557"/>
        <item h="1" m="1" x="3558"/>
        <item h="1" m="1" x="3560"/>
        <item h="1" m="1" x="3561"/>
        <item h="1" m="1" x="1160"/>
        <item h="1" m="1" x="3563"/>
        <item h="1" m="1" x="3564"/>
        <item h="1" m="1" x="3565"/>
        <item h="1" m="1" x="3566"/>
        <item h="1" m="1" x="3567"/>
        <item h="1" m="1" x="3447"/>
        <item h="1" m="1" x="2229"/>
        <item h="1" m="1" x="2393"/>
        <item h="1" m="1" x="2396"/>
        <item h="1" m="1" x="1887"/>
        <item h="1" m="1" x="2230"/>
        <item h="1" m="1" x="3568"/>
        <item h="1" m="1" x="3569"/>
        <item h="1" m="1" x="3570"/>
        <item h="1" m="1" x="3138"/>
        <item h="1" m="1" x="3454"/>
        <item h="1" m="1" x="3571"/>
        <item h="1" m="1" x="2782"/>
        <item h="1" m="1" x="3572"/>
        <item h="1" m="1" x="3573"/>
        <item h="1" m="1" x="3331"/>
        <item h="1" m="1" x="3148"/>
        <item h="1" m="1" x="3466"/>
        <item h="1" m="1" x="3334"/>
        <item h="1" m="1" x="3335"/>
        <item h="1" m="1" x="1979"/>
        <item h="1" m="1" x="3336"/>
        <item h="1" m="1" x="3337"/>
        <item h="1" m="1" x="3339"/>
        <item h="1" m="1" x="3341"/>
        <item h="1" m="1" x="3342"/>
        <item h="1" m="1" x="2772"/>
        <item h="1" m="1" x="3344"/>
        <item h="1" m="1" x="3345"/>
        <item h="1" m="1" x="3346"/>
        <item h="1" m="1" x="3347"/>
        <item h="1" m="1" x="3348"/>
        <item h="1" m="1" x="3349"/>
        <item h="1" m="1" x="3350"/>
        <item h="1" m="1" x="3355"/>
        <item h="1" x="48"/>
        <item h="1" m="1" x="3363"/>
        <item h="1" m="1" x="3054"/>
        <item h="1" m="1" x="3364"/>
        <item h="1" m="1" x="3365"/>
        <item h="1" m="1" x="1811"/>
        <item h="1" m="1" x="3367"/>
        <item h="1" m="1" x="3369"/>
        <item h="1" m="1" x="1706"/>
        <item h="1" m="1" x="2008"/>
        <item h="1" m="1" x="3203"/>
        <item h="1" m="1" x="3370"/>
        <item h="1" m="1" x="2933"/>
        <item h="1" m="1" x="3230"/>
        <item h="1" m="1" x="1624"/>
        <item h="1" m="1" x="3371"/>
        <item h="1" m="1" x="3372"/>
        <item h="1" m="1" x="3373"/>
        <item h="1" m="1" x="3374"/>
        <item h="1" m="1" x="3375"/>
        <item h="1" m="1" x="3376"/>
        <item h="1" m="1" x="3378"/>
        <item h="1" m="1" x="1810"/>
        <item h="1" m="1" x="3379"/>
        <item h="1" x="102"/>
        <item h="1" m="1" x="2247"/>
        <item h="1" m="1" x="2243"/>
        <item h="1" m="1" x="2244"/>
        <item h="1" m="1" x="2255"/>
        <item h="1" m="1" x="2249"/>
        <item h="1" m="1" x="2250"/>
        <item h="1" m="1" x="3381"/>
        <item h="1" m="1" x="3384"/>
        <item h="1" m="1" x="3386"/>
        <item h="1" m="1" x="3387"/>
        <item h="1" m="1" x="2570"/>
        <item h="1" m="1" x="3267"/>
        <item h="1" m="1" x="3388"/>
        <item h="1" m="1" x="3390"/>
        <item h="1" m="1" x="3391"/>
        <item h="1" m="1" x="3393"/>
        <item h="1" m="1" x="3394"/>
        <item h="1" m="1" x="3395"/>
        <item h="1" m="1" x="3120"/>
        <item h="1" m="1" x="3271"/>
        <item h="1" m="1" x="3398"/>
        <item h="1" m="1" x="3399"/>
        <item h="1" m="1" x="3400"/>
        <item h="1" m="1" x="3418"/>
        <item h="1" m="1" x="3420"/>
        <item h="1" m="1" x="716"/>
        <item h="1" m="1" x="3424"/>
        <item h="1" m="1" x="3281"/>
        <item h="1" m="1" x="3427"/>
        <item h="1" m="1" x="3282"/>
        <item h="1" m="1" x="3283"/>
        <item h="1" m="1" x="3429"/>
        <item h="1" m="1" x="3285"/>
        <item h="1" m="1" x="3297"/>
        <item h="1" m="1" x="3295"/>
        <item h="1" m="1" x="3296"/>
        <item h="1" m="1" x="3293"/>
        <item h="1" m="1" x="3294"/>
        <item h="1" m="1" x="3302"/>
        <item h="1" m="1" x="3303"/>
        <item h="1" m="1" x="3300"/>
        <item h="1" m="1" x="2794"/>
        <item h="1" m="1" x="3301"/>
        <item h="1" m="1" x="3442"/>
        <item h="1" m="1" x="3443"/>
        <item h="1" m="1" x="3444"/>
        <item h="1" m="1" x="3313"/>
        <item h="1" m="1" x="3314"/>
        <item h="1" m="1" x="3445"/>
        <item h="1" m="1" x="3315"/>
        <item h="1" m="1" x="3449"/>
        <item h="1" m="1" x="3450"/>
        <item h="1" m="1" x="3451"/>
        <item h="1" m="1" x="3324"/>
        <item h="1" m="1" x="3452"/>
        <item h="1" m="1" x="3453"/>
        <item h="1" m="1" x="3326"/>
        <item h="1" m="1" x="3455"/>
        <item h="1" m="1" x="3464"/>
        <item h="1" m="1" x="3329"/>
        <item h="1" m="1" x="3330"/>
        <item h="1" m="1" x="3175"/>
        <item h="1" m="1" x="3176"/>
        <item h="1" m="1" x="3177"/>
        <item h="1" m="1" x="3178"/>
        <item h="1" m="1" x="3179"/>
        <item h="1" m="1" x="3180"/>
        <item h="1" m="1" x="3181"/>
        <item h="1" m="1" x="3182"/>
        <item h="1" m="1" x="3043"/>
        <item h="1" m="1" x="3183"/>
        <item h="1" m="1" x="3184"/>
        <item h="1" m="1" x="3185"/>
        <item h="1" m="1" x="3186"/>
        <item h="1" m="1" x="3188"/>
        <item h="1" m="1" x="3189"/>
        <item h="1" m="1" x="3190"/>
        <item h="1" m="1" x="3191"/>
        <item h="1" m="1" x="779"/>
        <item h="1" m="1" x="3193"/>
        <item h="1" m="1" x="3194"/>
        <item h="1" m="1" x="3195"/>
        <item h="1" m="1" x="1815"/>
        <item h="1" m="1" x="3196"/>
        <item h="1" m="1" x="3167"/>
        <item h="1" m="1" x="3154"/>
        <item h="1" m="1" x="3197"/>
        <item h="1" m="1" x="3198"/>
        <item h="1" m="1" x="3199"/>
        <item h="1" m="1" x="3200"/>
        <item h="1" m="1" x="3201"/>
        <item h="1" m="1" x="1837"/>
        <item h="1" x="334"/>
        <item h="1" m="1" x="3204"/>
        <item h="1" m="1" x="1475"/>
        <item h="1" m="1" x="3205"/>
        <item h="1" m="1" x="1213"/>
        <item h="1" m="1" x="3207"/>
        <item h="1" m="1" x="3208"/>
        <item h="1" m="1" x="3075"/>
        <item h="1" m="1" x="3209"/>
        <item h="1" m="1" x="3210"/>
        <item h="1" m="1" x="3074"/>
        <item h="1" m="1" x="3212"/>
        <item h="1" m="1" x="3213"/>
        <item h="1" m="1" x="3214"/>
        <item h="1" m="1" x="3215"/>
        <item h="1" m="1" x="3216"/>
        <item h="1" m="1" x="3217"/>
        <item h="1" m="1" x="3220"/>
        <item h="1" m="1" x="3221"/>
        <item h="1" m="1" x="3086"/>
        <item h="1" m="1" x="3222"/>
        <item h="1" m="1" x="3223"/>
        <item h="1" m="1" x="3224"/>
        <item h="1" m="1" x="3225"/>
        <item h="1" m="1" x="3226"/>
        <item h="1" m="1" x="3227"/>
        <item h="1" m="1" x="3228"/>
        <item h="1" m="1" x="3229"/>
        <item h="1" m="1" x="3231"/>
        <item h="1" m="1" x="3080"/>
        <item h="1" m="1" x="3232"/>
        <item h="1" m="1" x="3233"/>
        <item h="1" m="1" x="3234"/>
        <item h="1" m="1" x="3235"/>
        <item h="1" m="1" x="3236"/>
        <item h="1" m="1" x="3237"/>
        <item h="1" m="1" x="3238"/>
        <item h="1" m="1" x="3239"/>
        <item h="1" m="1" x="3240"/>
        <item h="1" m="1" x="3241"/>
        <item h="1" m="1" x="3242"/>
        <item h="1" m="1" x="3243"/>
        <item h="1" m="1" x="3244"/>
        <item h="1" m="1" x="3245"/>
        <item h="1" m="1" x="3246"/>
        <item h="1" m="1" x="3247"/>
        <item h="1" m="1" x="3248"/>
        <item h="1" m="1" x="3249"/>
        <item h="1" m="1" x="3250"/>
        <item h="1" m="1" x="3251"/>
        <item h="1" m="1" x="3252"/>
        <item h="1" m="1" x="3253"/>
        <item h="1" m="1" x="3254"/>
        <item h="1" m="1" x="3039"/>
        <item h="1" x="37"/>
        <item h="1" m="1" x="3255"/>
        <item h="1" m="1" x="3257"/>
        <item h="1" x="34"/>
        <item h="1" m="1" x="833"/>
        <item h="1" m="1" x="2254"/>
        <item h="1" m="1" x="2251"/>
        <item h="1" m="1" x="2252"/>
        <item h="1" m="1" x="2035"/>
        <item h="1" m="1" x="3259"/>
        <item h="1" m="1" x="3261"/>
        <item h="1" m="1" x="3262"/>
        <item h="1" m="1" x="3263"/>
        <item h="1" m="1" x="3264"/>
        <item h="1" m="1" x="3265"/>
        <item h="1" m="1" x="3117"/>
        <item h="1" m="1" x="3118"/>
        <item h="1" m="1" x="3119"/>
        <item h="1" m="1" x="3269"/>
        <item h="1" m="1" x="2394"/>
        <item h="1" m="1" x="2389"/>
        <item h="1" m="1" x="2390"/>
        <item h="1" m="1" x="2395"/>
        <item h="1" m="1" x="2376"/>
        <item h="1" m="1" x="2377"/>
        <item h="1" m="1" x="3270"/>
        <item h="1" m="1" x="1969"/>
        <item h="1" m="1" x="3272"/>
        <item h="1" m="1" x="3273"/>
        <item h="1" m="1" x="3274"/>
        <item h="1" m="1" x="3275"/>
        <item h="1" m="1" x="3276"/>
        <item h="1" m="1" x="3277"/>
        <item h="1" m="1" x="3091"/>
        <item h="1" m="1" x="3278"/>
        <item h="1" m="1" x="3279"/>
        <item h="1" m="1" x="3280"/>
        <item h="1" m="1" x="2045"/>
        <item h="1" m="1" x="3286"/>
        <item h="1" m="1" x="3287"/>
        <item h="1" m="1" x="3288"/>
        <item h="1" m="1" x="3289"/>
        <item h="1" m="1" x="3290"/>
        <item h="1" m="1" x="3291"/>
        <item h="1" m="1" x="3292"/>
        <item h="1" m="1" x="3125"/>
        <item h="1" m="1" x="3126"/>
        <item h="1" m="1" x="3299"/>
        <item h="1" m="1" x="714"/>
        <item h="1" m="1" x="715"/>
        <item h="1" m="1" x="3308"/>
        <item h="1" x="142"/>
        <item h="1" m="1" x="923"/>
        <item h="1" m="1" x="3309"/>
        <item h="1" m="1" x="3310"/>
        <item h="1" m="1" x="3311"/>
        <item h="1" m="1" x="3312"/>
        <item h="1" m="1" x="3316"/>
        <item h="1" m="1" x="3317"/>
        <item h="1" m="1" x="3318"/>
        <item h="1" m="1" x="972"/>
        <item h="1" m="1" x="3319"/>
        <item h="1" m="1" x="3320"/>
        <item h="1" m="1" x="3321"/>
        <item h="1" m="1" x="3323"/>
        <item h="1" m="1" x="1536"/>
        <item h="1" m="1" x="3327"/>
        <item h="1" m="1" x="3002"/>
        <item h="1" m="1" x="2835"/>
        <item h="1" m="1" x="2914"/>
        <item h="1" m="1" x="2756"/>
        <item h="1" m="1" x="3057"/>
        <item h="1" m="1" x="2916"/>
        <item h="1" m="1" x="2758"/>
        <item h="1" m="1" x="1694"/>
        <item h="1" m="1" x="3058"/>
        <item h="1" m="1" x="3059"/>
        <item h="1" m="1" x="3060"/>
        <item h="1" m="1" x="3061"/>
        <item h="1" m="1" x="3065"/>
        <item h="1" m="1" x="3068"/>
        <item h="1" m="1" x="1699"/>
        <item h="1" x="26"/>
        <item h="1" x="27"/>
        <item h="1" m="1" x="3072"/>
        <item h="1" m="1" x="3076"/>
        <item h="1" m="1" x="3077"/>
        <item h="1" m="1" x="3079"/>
        <item h="1" m="1" x="3082"/>
        <item h="1" x="28"/>
        <item h="1" m="1" x="3084"/>
        <item h="1" m="1" x="3085"/>
        <item h="1" m="1" x="3087"/>
        <item h="1" m="1" x="3088"/>
        <item h="1" m="1" x="1528"/>
        <item h="1" m="1" x="2934"/>
        <item h="1" x="41"/>
        <item h="1" m="1" x="2936"/>
        <item h="1" m="1" x="3090"/>
        <item h="1" m="1" x="1571"/>
        <item h="1" m="1" x="3092"/>
        <item h="1" m="1" x="2938"/>
        <item h="1" m="1" x="3094"/>
        <item h="1" m="1" x="1543"/>
        <item h="1" m="1" x="1702"/>
        <item h="1" m="1" x="3102"/>
        <item h="1" m="1" x="1701"/>
        <item h="1" m="1" x="3104"/>
        <item h="1" m="1" x="3105"/>
        <item h="1" m="1" x="3121"/>
        <item h="1" m="1" x="1703"/>
        <item h="1" m="1" x="3122"/>
        <item h="1" m="1" x="3128"/>
        <item h="1" m="1" x="2800"/>
        <item h="1" m="1" x="2801"/>
        <item h="1" m="1" x="2980"/>
        <item h="1" m="1" x="2805"/>
        <item h="1" m="1" x="2984"/>
        <item h="1" m="1" x="3130"/>
        <item h="1" m="1" x="3131"/>
        <item h="1" m="1" x="3134"/>
        <item h="1" m="1" x="2991"/>
        <item h="1" m="1" x="2995"/>
        <item h="1" m="1" x="3143"/>
        <item h="1" m="1" x="3144"/>
        <item h="1" m="1" x="3145"/>
        <item h="1" m="1" x="3146"/>
        <item h="1" m="1" x="3147"/>
        <item h="1" m="1" x="2240"/>
        <item h="1" m="1" x="3153"/>
        <item h="1" x="33"/>
        <item h="1" m="1" x="2241"/>
        <item h="1" m="1" x="2242"/>
        <item h="1" m="1" x="2663"/>
        <item h="1" m="1" x="3155"/>
        <item h="1" m="1" x="2850"/>
        <item h="1" m="1" x="2677"/>
        <item h="1" m="1" x="1987"/>
        <item h="1" m="1" x="2848"/>
        <item h="1" m="1" x="1996"/>
        <item h="1" m="1" x="2676"/>
        <item h="1" m="1" x="1977"/>
        <item h="1" m="1" x="1978"/>
        <item h="1" m="1" x="2674"/>
        <item h="1" m="1" x="1986"/>
        <item h="1" m="1" x="3011"/>
        <item h="1" m="1" x="1980"/>
        <item h="1" m="1" x="1981"/>
        <item h="1" m="1" x="1976"/>
        <item h="1" m="1" x="1993"/>
        <item h="1" m="1" x="2849"/>
        <item h="1" m="1" x="1985"/>
        <item h="1" m="1" x="2680"/>
        <item h="1" m="1" x="1995"/>
        <item h="1" m="1" x="2851"/>
        <item h="1" m="1" x="1983"/>
        <item h="1" m="1" x="1984"/>
        <item h="1" m="1" x="3012"/>
        <item h="1" m="1" x="1975"/>
        <item h="1" m="1" x="1970"/>
        <item h="1" m="1" x="2682"/>
        <item h="1" m="1" x="3014"/>
        <item h="1" m="1" x="2852"/>
        <item h="1" m="1" x="2854"/>
        <item h="1" m="1" x="3013"/>
        <item h="1" m="1" x="3016"/>
        <item h="1" m="1" x="3015"/>
        <item h="1" m="1" x="1997"/>
        <item h="1" m="1" x="2684"/>
        <item h="1" m="1" x="3017"/>
        <item h="1" m="1" x="2685"/>
        <item h="1" m="1" x="1998"/>
        <item h="1" m="1" x="3018"/>
        <item h="1" m="1" x="1972"/>
        <item h="1" m="1" x="1974"/>
        <item h="1" m="1" x="2001"/>
        <item h="1" m="1" x="3156"/>
        <item h="1" m="1" x="2002"/>
        <item h="1" m="1" x="1999"/>
        <item h="1" m="1" x="2000"/>
        <item h="1" m="1" x="2665"/>
        <item h="1" m="1" x="2666"/>
        <item h="1" m="1" x="2842"/>
        <item h="1" m="1" x="2843"/>
        <item h="1" m="1" x="2667"/>
        <item h="1" m="1" x="2668"/>
        <item h="1" m="1" x="2669"/>
        <item h="1" m="1" x="2670"/>
        <item h="1" m="1" x="2838"/>
        <item h="1" m="1" x="2845"/>
        <item h="1" m="1" x="2846"/>
        <item h="1" m="1" x="2847"/>
        <item h="1" m="1" x="2839"/>
        <item h="1" m="1" x="2840"/>
        <item h="1" m="1" x="2841"/>
        <item h="1" m="1" x="1971"/>
        <item h="1" m="1" x="2073"/>
        <item h="1" m="1" x="2178"/>
        <item h="1" m="1" x="3019"/>
        <item h="1" m="1" x="1994"/>
        <item h="1" m="1" x="2683"/>
        <item h="1" m="1" x="2660"/>
        <item h="1" m="1" x="1988"/>
        <item h="1" m="1" x="3020"/>
        <item h="1" m="1" x="1990"/>
        <item h="1" m="1" x="3021"/>
        <item h="1" m="1" x="2659"/>
        <item h="1" m="1" x="2664"/>
        <item h="1" m="1" x="1992"/>
        <item h="1" m="1" x="2662"/>
        <item h="1" m="1" x="2706"/>
        <item h="1" m="1" x="2248"/>
        <item h="1" m="1" x="2012"/>
        <item h="1" m="1" x="3029"/>
        <item h="1" m="1" x="2720"/>
        <item h="1" m="1" x="3030"/>
        <item h="1" m="1" x="2011"/>
        <item h="1" m="1" x="3031"/>
        <item h="1" m="1" x="2025"/>
        <item h="1" m="1" x="2700"/>
        <item h="1" m="1" x="3032"/>
        <item h="1" m="1" x="3033"/>
        <item h="1" m="1" x="2715"/>
        <item h="1" m="1" x="2074"/>
        <item h="1" m="1" x="2713"/>
        <item h="1" m="1" x="2714"/>
        <item h="1" m="1" x="2712"/>
        <item h="1" m="1" x="2716"/>
        <item h="1" m="1" x="712"/>
        <item h="1" m="1" x="2717"/>
        <item h="1" m="1" x="2718"/>
        <item h="1" m="1" x="2024"/>
        <item h="1" m="1" x="2697"/>
        <item h="1" m="1" x="1789"/>
        <item h="1" m="1" x="2698"/>
        <item h="1" m="1" x="2699"/>
        <item h="1" m="1" x="3036"/>
        <item h="1" m="1" x="3034"/>
        <item h="1" m="1" x="3035"/>
        <item h="1" m="1" x="1790"/>
        <item h="1" m="1" x="2015"/>
        <item h="1" m="1" x="2018"/>
        <item h="1" m="1" x="2016"/>
        <item h="1" m="1" x="2701"/>
        <item h="1" m="1" x="2020"/>
        <item h="1" m="1" x="2702"/>
        <item h="1" m="1" x="2021"/>
        <item h="1" m="1" x="2022"/>
        <item h="1" m="1" x="2019"/>
        <item h="1" m="1" x="2023"/>
        <item h="1" m="1" x="2703"/>
        <item h="1" m="1" x="2013"/>
        <item h="1" m="1" x="3160"/>
        <item h="1" m="1" x="3161"/>
        <item h="1" m="1" x="3162"/>
        <item h="1" m="1" x="2723"/>
        <item h="1" m="1" x="2253"/>
        <item h="1" m="1" x="2028"/>
        <item h="1" m="1" x="2030"/>
        <item h="1" m="1" x="2031"/>
        <item h="1" m="1" x="2033"/>
        <item h="1" m="1" x="1533"/>
        <item h="1" m="1" x="3045"/>
        <item h="1" m="1" x="2034"/>
        <item h="1" m="1" x="3046"/>
        <item h="1" m="1" x="2739"/>
        <item h="1" m="1" x="2732"/>
        <item h="1" m="1" x="2731"/>
        <item h="1" m="1" x="2730"/>
        <item h="1" m="1" x="2733"/>
        <item h="1" m="1" x="2740"/>
        <item h="1" m="1" x="2735"/>
        <item h="1" m="1" x="2727"/>
        <item h="1" m="1" x="2729"/>
        <item h="1" m="1" x="2728"/>
        <item h="1" m="1" x="3049"/>
        <item h="1" m="1" x="2738"/>
        <item h="1" m="1" x="3047"/>
        <item h="1" m="1" x="3048"/>
        <item h="1" m="1" x="2747"/>
        <item h="1" m="1" x="2742"/>
        <item h="1" m="1" x="2743"/>
        <item h="1" m="1" x="2744"/>
        <item h="1" m="1" x="2745"/>
        <item h="1" m="1" x="2746"/>
        <item h="1" m="1" x="2749"/>
        <item h="1" m="1" x="2750"/>
        <item h="1" m="1" x="2752"/>
        <item h="1" m="1" x="2748"/>
        <item h="1" m="1" x="3050"/>
        <item h="1" m="1" x="2896"/>
        <item h="1" m="1" x="3168"/>
        <item h="1" m="1" x="3169"/>
        <item h="1" m="1" x="2042"/>
        <item h="1" m="1" x="2043"/>
        <item h="1" m="1" x="2044"/>
        <item h="1" m="1" x="3055"/>
        <item h="1" m="1" x="3056"/>
        <item h="1" m="1" x="3170"/>
        <item h="1" m="1" x="3171"/>
        <item h="1" m="1" x="3172"/>
        <item h="1" m="1" x="3173"/>
        <item h="1" m="1" x="2915"/>
        <item h="1" m="1" x="2917"/>
        <item h="1" m="1" x="1698"/>
        <item h="1" m="1" x="2766"/>
        <item h="1" m="1" x="2920"/>
        <item h="1" m="1" x="2921"/>
        <item h="1" m="1" x="2922"/>
        <item h="1" m="1" x="1097"/>
        <item h="1" m="1" x="2924"/>
        <item h="1" m="1" x="2928"/>
        <item h="1" m="1" x="2931"/>
        <item h="1" m="1" x="2937"/>
        <item h="1" x="209"/>
        <item h="1" m="1" x="2942"/>
        <item h="1" m="1" x="2943"/>
        <item h="1" m="1" x="2944"/>
        <item h="1" m="1" x="2945"/>
        <item h="1" m="1" x="2946"/>
        <item h="1" m="1" x="2947"/>
        <item h="1" m="1" x="2949"/>
        <item h="1" m="1" x="2951"/>
        <item h="1" m="1" x="2954"/>
        <item h="1" m="1" x="491"/>
        <item h="1" m="1" x="2955"/>
        <item h="1" m="1" x="2956"/>
        <item h="1" m="1" x="937"/>
        <item h="1" m="1" x="2958"/>
        <item h="1" m="1" x="2961"/>
        <item h="1" m="1" x="2962"/>
        <item h="1" m="1" x="2963"/>
        <item h="1" m="1" x="2964"/>
        <item h="1" m="1" x="2966"/>
        <item h="1" m="1" x="2783"/>
        <item h="1" m="1" x="2967"/>
        <item h="1" m="1" x="1550"/>
        <item h="1" m="1" x="2790"/>
        <item h="1" m="1" x="2969"/>
        <item h="1" m="1" x="2970"/>
        <item h="1" m="1" x="2971"/>
        <item h="1" m="1" x="2972"/>
        <item h="1" m="1" x="2973"/>
        <item h="1" m="1" x="2797"/>
        <item h="1" m="1" x="2974"/>
        <item h="1" m="1" x="2975"/>
        <item h="1" m="1" x="2799"/>
        <item h="1" m="1" x="2977"/>
        <item h="1" m="1" x="2979"/>
        <item h="1" m="1" x="2982"/>
        <item h="1" m="1" x="2983"/>
        <item h="1" m="1" x="1049"/>
        <item h="1" m="1" x="1050"/>
        <item h="1" m="1" x="2985"/>
        <item h="1" m="1" x="2807"/>
        <item h="1" m="1" x="2986"/>
        <item h="1" m="1" x="2987"/>
        <item h="1" m="1" x="2821"/>
        <item h="1" m="1" x="2988"/>
        <item h="1" m="1" x="2989"/>
        <item h="1" m="1" x="2990"/>
        <item h="1" m="1" x="2992"/>
        <item h="1" m="1" x="2993"/>
        <item h="1" m="1" x="2994"/>
        <item h="1" m="1" x="2996"/>
        <item h="1" m="1" x="2997"/>
        <item h="1" m="1" x="2998"/>
        <item h="1" m="1" x="2999"/>
        <item h="1" m="1" x="3000"/>
        <item h="1" m="1" x="3001"/>
        <item h="1" m="1" x="3003"/>
        <item h="1" m="1" x="3004"/>
        <item h="1" m="1" x="3005"/>
        <item h="1" m="1" x="3006"/>
        <item h="1" x="35"/>
        <item h="1" m="1" x="3008"/>
        <item h="1" m="1" x="3009"/>
        <item h="1" m="1" x="3010"/>
        <item h="1" m="1" x="2671"/>
        <item h="1" m="1" x="3022"/>
        <item h="1" m="1" x="2857"/>
        <item h="1" m="1" x="3023"/>
        <item h="1" m="1" x="3024"/>
        <item h="1" m="1" x="3025"/>
        <item h="1" m="1" x="3026"/>
        <item h="1" m="1" x="3027"/>
        <item h="1" m="1" x="2865"/>
        <item h="1" m="1" x="3028"/>
        <item h="1" m="1" x="1186"/>
        <item h="1" m="1" x="2710"/>
        <item h="1" m="1" x="3037"/>
        <item h="1" m="1" x="3038"/>
        <item h="1" m="1" x="3040"/>
        <item h="1" m="1" x="2078"/>
        <item h="1" m="1" x="2876"/>
        <item h="1" m="1" x="3042"/>
        <item h="1" m="1" x="727"/>
        <item h="1" x="45"/>
        <item h="1" m="1" x="1187"/>
        <item h="1" m="1" x="2276"/>
        <item h="1" m="1" x="2628"/>
        <item h="1" m="1" x="2764"/>
        <item h="1" m="1" x="2445"/>
        <item h="1" m="1" x="2768"/>
        <item h="1" m="1" x="2770"/>
        <item h="1" m="1" x="2771"/>
        <item h="1" m="1" x="772"/>
        <item h="1" m="1" x="2774"/>
        <item h="1" m="1" x="2779"/>
        <item h="1" m="1" x="2085"/>
        <item h="1" m="1" x="1835"/>
        <item h="1" m="1" x="1834"/>
        <item h="1" m="1" x="2058"/>
        <item h="1" m="1" x="703"/>
        <item h="1" m="1" x="1704"/>
        <item h="1" m="1" x="1548"/>
        <item h="1" m="1" x="2784"/>
        <item h="1" m="1" x="2787"/>
        <item h="1" m="1" x="2788"/>
        <item h="1" m="1" x="2057"/>
        <item h="1" m="1" x="1159"/>
        <item h="1" m="1" x="2791"/>
        <item h="1" m="1" x="2796"/>
        <item h="1" m="1" x="2798"/>
        <item h="1" m="1" x="2802"/>
        <item h="1" m="1" x="2803"/>
        <item h="1" m="1" x="2804"/>
        <item h="1" m="1" x="2806"/>
        <item h="1" m="1" x="2808"/>
        <item h="1" m="1" x="2809"/>
        <item h="1" m="1" x="2810"/>
        <item h="1" m="1" x="627"/>
        <item h="1" m="1" x="2811"/>
        <item h="1" m="1" x="2812"/>
        <item h="1" m="1" x="2813"/>
        <item h="1" m="1" x="2814"/>
        <item h="1" m="1" x="2815"/>
        <item h="1" m="1" x="2816"/>
        <item h="1" m="1" x="2817"/>
        <item h="1" m="1" x="2818"/>
        <item h="1" m="1" x="2819"/>
        <item h="1" m="1" x="2820"/>
        <item h="1" m="1" x="2823"/>
        <item h="1" m="1" x="2824"/>
        <item h="1" m="1" x="2826"/>
        <item h="1" m="1" x="2827"/>
        <item h="1" m="1" x="1836"/>
        <item h="1" m="1" x="2828"/>
        <item h="1" m="1" x="2829"/>
        <item h="1" m="1" x="2830"/>
        <item h="1" m="1" x="2831"/>
        <item h="1" m="1" x="2832"/>
        <item h="1" m="1" x="2833"/>
        <item h="1" x="64"/>
        <item h="1" m="1" x="2429"/>
        <item h="1" m="1" x="2837"/>
        <item h="1" m="1" x="2658"/>
        <item h="1" m="1" x="2855"/>
        <item h="1" m="1" x="2856"/>
        <item h="1" m="1" x="2860"/>
        <item h="1" m="1" x="2863"/>
        <item h="1" m="1" x="2267"/>
        <item h="1" m="1" x="2430"/>
        <item h="1" m="1" x="2271"/>
        <item h="1" m="1" x="2603"/>
        <item h="1" m="1" x="2867"/>
        <item h="1" m="1" x="2868"/>
        <item h="1" m="1" x="2869"/>
        <item h="1" m="1" x="2690"/>
        <item h="1" m="1" x="2691"/>
        <item h="1" m="1" x="2870"/>
        <item h="1" m="1" x="2692"/>
        <item h="1" m="1" x="2871"/>
        <item h="1" m="1" x="2872"/>
        <item h="1" m="1" x="2711"/>
        <item h="1" m="1" x="2721"/>
        <item h="1" m="1" x="2708"/>
        <item h="1" m="1" x="2873"/>
        <item h="1" m="1" x="2874"/>
        <item h="1" m="1" x="2273"/>
        <item h="1" m="1" x="2882"/>
        <item h="1" m="1" x="2274"/>
        <item h="1" x="42"/>
        <item h="1" m="1" x="2086"/>
        <item h="1" m="1" x="2726"/>
        <item h="1" m="1" x="2734"/>
        <item h="1" x="80"/>
        <item h="1" m="1" x="2433"/>
        <item h="1" m="1" x="2089"/>
        <item h="1" m="1" x="2091"/>
        <item h="1" m="1" x="2904"/>
        <item h="1" m="1" x="2617"/>
        <item h="1" m="1" x="1838"/>
        <item h="1" m="1" x="1693"/>
        <item h="1" m="1" x="2515"/>
        <item h="1" m="1" x="2618"/>
        <item h="1" m="1" x="2619"/>
        <item h="1" m="1" x="2524"/>
        <item h="1" m="1" x="2620"/>
        <item h="1" m="1" x="2621"/>
        <item h="1" m="1" x="2624"/>
        <item h="1" m="1" x="2625"/>
        <item h="1" m="1" x="2626"/>
        <item h="1" m="1" x="2627"/>
        <item h="1" m="1" x="2629"/>
        <item h="1" m="1" x="718"/>
        <item h="1" m="1" x="719"/>
        <item h="1" m="1" x="2535"/>
        <item h="1" m="1" x="2538"/>
        <item h="1" m="1" x="2630"/>
        <item h="1" m="1" x="2544"/>
        <item h="1" m="1" x="2545"/>
        <item h="1" m="1" x="2546"/>
        <item h="1" m="1" x="2543"/>
        <item h="1" m="1" x="2632"/>
        <item h="1" m="1" x="2551"/>
        <item h="1" m="1" x="2056"/>
        <item h="1" m="1" x="2634"/>
        <item h="1" m="1" x="2635"/>
        <item h="1" m="1" x="2636"/>
        <item h="1" m="1" x="2638"/>
        <item h="1" m="1" x="2639"/>
        <item h="1" m="1" x="2564"/>
        <item h="1" m="1" x="2571"/>
        <item h="1" m="1" x="2572"/>
        <item h="1" m="1" x="2579"/>
        <item h="1" m="1" x="2573"/>
        <item h="1" m="1" x="2574"/>
        <item h="1" m="1" x="2575"/>
        <item h="1" m="1" x="2576"/>
        <item h="1" m="1" x="2566"/>
        <item h="1" m="1" x="2567"/>
        <item h="1" m="1" x="2578"/>
        <item h="1" m="1" x="2642"/>
        <item h="1" m="1" x="1753"/>
        <item h="1" m="1" x="2644"/>
        <item h="1" m="1" x="2647"/>
        <item h="1" m="1" x="2648"/>
        <item h="1" m="1" x="2649"/>
        <item h="1" m="1" x="2650"/>
        <item h="1" m="1" x="2651"/>
        <item h="1" m="1" x="2652"/>
        <item h="1" m="1" x="2653"/>
        <item h="1" m="1" x="2654"/>
        <item h="1" x="442"/>
        <item h="1" m="1" x="2655"/>
        <item h="1" m="1" x="725"/>
        <item h="1" m="1" x="2656"/>
        <item h="1" m="1" x="2657"/>
        <item h="1" m="1" x="2257"/>
        <item h="1" m="1" x="2672"/>
        <item h="1" m="1" x="2675"/>
        <item h="1" m="1" x="2678"/>
        <item h="1" m="1" x="2679"/>
        <item h="1" m="1" x="2689"/>
        <item h="1" m="1" x="2693"/>
        <item h="1" m="1" x="2694"/>
        <item h="1" m="1" x="2695"/>
        <item h="1" m="1" x="2696"/>
        <item h="1" m="1" x="2268"/>
        <item h="1" m="1" x="2269"/>
        <item h="1" m="1" x="2270"/>
        <item h="1" m="1" x="1193"/>
        <item h="1" m="1" x="777"/>
        <item h="1" m="1" x="2704"/>
        <item h="1" m="1" x="2705"/>
        <item h="1" m="1" x="2709"/>
        <item h="1" m="1" x="2263"/>
        <item h="1" m="1" x="2265"/>
        <item h="1" m="1" x="2722"/>
        <item h="1" m="1" x="2724"/>
        <item h="1" m="1" x="2424"/>
        <item h="1" m="1" x="2431"/>
        <item h="1" m="1" x="2611"/>
        <item h="1" m="1" x="2082"/>
        <item h="1" m="1" x="2083"/>
        <item h="1" m="1" x="1814"/>
        <item h="1" m="1" x="2736"/>
        <item h="1" m="1" x="2737"/>
        <item h="1" m="1" x="2087"/>
        <item h="1" m="1" x="2615"/>
        <item h="1" m="1" x="2278"/>
        <item h="1" m="1" x="2096"/>
        <item h="1" m="1" x="2754"/>
        <item h="1" m="1" x="2514"/>
        <item h="1" m="1" x="2516"/>
        <item h="1" m="1" x="2518"/>
        <item h="1" m="1" x="2519"/>
        <item h="1" m="1" x="2520"/>
        <item h="1" m="1" x="2522"/>
        <item h="1" m="1" x="2525"/>
        <item h="1" m="1" x="2526"/>
        <item h="1" m="1" x="2527"/>
        <item h="1" m="1" x="2528"/>
        <item h="1" m="1" x="930"/>
        <item h="1" m="1" x="2529"/>
        <item h="1" m="1" x="2530"/>
        <item h="1" m="1" x="2532"/>
        <item h="1" m="1" x="2534"/>
        <item h="1" m="1" x="2536"/>
        <item h="1" x="136"/>
        <item h="1" m="1" x="2537"/>
        <item h="1" m="1" x="2457"/>
        <item h="1" m="1" x="1540"/>
        <item h="1" m="1" x="2539"/>
        <item h="1" m="1" x="2540"/>
        <item h="1" m="1" x="2541"/>
        <item h="1" m="1" x="1546"/>
        <item h="1" m="1" x="1547"/>
        <item h="1" m="1" x="1545"/>
        <item h="1" m="1" x="2542"/>
        <item h="1" m="1" x="904"/>
        <item h="1" m="1" x="2552"/>
        <item h="1" m="1" x="2554"/>
        <item h="1" m="1" x="1551"/>
        <item h="1" m="1" x="1552"/>
        <item h="1" m="1" x="991"/>
        <item h="1" m="1" x="2555"/>
        <item h="1" m="1" x="2556"/>
        <item h="1" m="1" x="2557"/>
        <item h="1" m="1" x="2559"/>
        <item h="1" m="1" x="2560"/>
        <item h="1" m="1" x="2080"/>
        <item h="1" m="1" x="2095"/>
        <item h="1" m="1" x="1855"/>
        <item h="1" m="1" x="2562"/>
        <item h="1" m="1" x="2563"/>
        <item h="1" m="1" x="2069"/>
        <item h="1" m="1" x="1635"/>
        <item h="1" m="1" x="2568"/>
        <item h="1" m="1" x="2065"/>
        <item h="1" m="1" x="2577"/>
        <item h="1" m="1" x="2580"/>
        <item h="1" m="1" x="2581"/>
        <item h="1" m="1" x="2582"/>
        <item h="1" m="1" x="2583"/>
        <item h="1" m="1" x="2584"/>
        <item h="1" m="1" x="2585"/>
        <item h="1" m="1" x="2586"/>
        <item h="1" m="1" x="2587"/>
        <item h="1" m="1" x="2588"/>
        <item h="1" m="1" x="2590"/>
        <item h="1" m="1" x="2591"/>
        <item h="1" m="1" x="2592"/>
        <item h="1" m="1" x="1861"/>
        <item h="1" m="1" x="2070"/>
        <item h="1" m="1" x="1862"/>
        <item h="1" m="1" x="2256"/>
        <item h="1" m="1" x="2470"/>
        <item h="1" m="1" x="2259"/>
        <item h="1" m="1" x="2258"/>
        <item h="1" x="371"/>
        <item h="1" m="1" x="2597"/>
        <item h="1" m="1" x="1812"/>
        <item h="1" m="1" x="2598"/>
        <item h="1" m="1" x="2599"/>
        <item h="1" m="1" x="1867"/>
        <item h="1" m="1" x="2076"/>
        <item h="1" m="1" x="2264"/>
        <item h="1" m="1" x="2601"/>
        <item h="1" m="1" x="2322"/>
        <item h="1" m="1" x="2079"/>
        <item h="1" m="1" x="2272"/>
        <item h="1" m="1" x="2612"/>
        <item h="1" m="1" x="2081"/>
        <item h="1" m="1" x="994"/>
        <item h="1" m="1" x="2277"/>
        <item h="1" m="1" x="2511"/>
        <item h="1" m="1" x="2327"/>
        <item h="1" m="1" x="2614"/>
        <item h="1" m="1" x="1554"/>
        <item h="1" x="86"/>
        <item h="1" m="1" x="2092"/>
        <item h="1" m="1" x="2093"/>
        <item h="1" m="1" x="996"/>
        <item h="1" m="1" x="2098"/>
        <item h="1" m="1" x="2383"/>
        <item h="1" m="1" x="2434"/>
        <item h="1" m="1" x="2435"/>
        <item h="1" m="1" x="2046"/>
        <item h="1" m="1" x="2437"/>
        <item h="1" m="1" x="2439"/>
        <item h="1" m="1" x="2442"/>
        <item h="1" m="1" x="2444"/>
        <item h="1" m="1" x="2454"/>
        <item h="1" m="1" x="1844"/>
        <item h="1" m="1" x="2053"/>
        <item h="1" m="1" x="1751"/>
        <item h="1" x="55"/>
        <item h="1" m="1" x="2456"/>
        <item h="1" m="1" x="1537"/>
        <item h="1" m="1" x="1538"/>
        <item h="1" m="1" x="1539"/>
        <item h="1" m="1" x="1541"/>
        <item h="1" m="1" x="1542"/>
        <item h="1" m="1" x="2459"/>
        <item h="1" m="1" x="2460"/>
        <item h="1" m="1" x="1549"/>
        <item h="1" m="1" x="988"/>
        <item h="1" m="1" x="2461"/>
        <item h="1" m="1" x="2462"/>
        <item h="1" m="1" x="2060"/>
        <item h="1" m="1" x="2059"/>
        <item h="1" m="1" x="2066"/>
        <item h="1" m="1" x="2463"/>
        <item h="1" m="1" x="2464"/>
        <item h="1" m="1" x="2465"/>
        <item h="1" m="1" x="2466"/>
        <item h="1" m="1" x="2467"/>
        <item h="1" m="1" x="2468"/>
        <item h="1" m="1" x="2469"/>
        <item h="1" m="1" x="1860"/>
        <item h="1" m="1" x="723"/>
        <item h="1" m="1" x="724"/>
        <item h="1" m="1" x="992"/>
        <item h="1" m="1" x="2071"/>
        <item h="1" m="1" x="2313"/>
        <item h="1" m="1" x="2315"/>
        <item h="1" m="1" x="2260"/>
        <item h="1" m="1" x="2262"/>
        <item h="1" m="1" x="2261"/>
        <item h="1" x="301"/>
        <item h="1" x="72"/>
        <item h="1" m="1" x="2266"/>
        <item h="1" m="1" x="2075"/>
        <item h="1" m="1" x="2324"/>
        <item h="1" m="1" x="1194"/>
        <item h="1" m="1" x="2471"/>
        <item h="1" m="1" x="2325"/>
        <item h="1" m="1" x="2472"/>
        <item h="1" m="1" x="2326"/>
        <item h="1" m="1" x="2275"/>
        <item h="1" m="1" x="2088"/>
        <item h="1" x="94"/>
        <item h="1" m="1" x="2473"/>
        <item h="1" m="1" x="1535"/>
        <item h="1" m="1" x="1188"/>
        <item h="1" m="1" x="2474"/>
        <item h="1" m="1" x="2280"/>
        <item h="1" m="1" x="2291"/>
        <item h="1" m="1" x="2475"/>
        <item h="1" m="1" x="2476"/>
        <item h="1" m="1" x="2477"/>
        <item h="1" m="1" x="2478"/>
        <item h="1" m="1" x="2048"/>
        <item h="1" m="1" x="2049"/>
        <item h="1" m="1" x="2050"/>
        <item h="1" m="1" x="2051"/>
        <item h="1" m="1" x="2052"/>
        <item h="1" m="1" x="2054"/>
        <item h="1" m="1" x="2141"/>
        <item h="1" m="1" x="2300"/>
        <item h="1" m="1" x="2479"/>
        <item h="1" m="1" x="2063"/>
        <item h="1" m="1" x="2480"/>
        <item h="1" m="1" x="2068"/>
        <item h="1" m="1" x="2482"/>
        <item h="1" m="1" x="2483"/>
        <item h="1" m="1" x="2484"/>
        <item h="1" m="1" x="2485"/>
        <item h="1" m="1" x="2486"/>
        <item h="1" m="1" x="2487"/>
        <item h="1" m="1" x="2488"/>
        <item h="1" m="1" x="990"/>
        <item h="1" m="1" x="726"/>
        <item h="1" m="1" x="2490"/>
        <item h="1" m="1" x="2491"/>
        <item h="1" m="1" x="2492"/>
        <item h="1" m="1" x="1012"/>
        <item h="1" m="1" x="2493"/>
        <item h="1" m="1" x="2494"/>
        <item h="1" m="1" x="2495"/>
        <item h="1" m="1" x="2496"/>
        <item h="1" m="1" x="2497"/>
        <item h="1" m="1" x="2498"/>
        <item h="1" m="1" x="2499"/>
        <item h="1" m="1" x="2500"/>
        <item h="1" m="1" x="2501"/>
        <item h="1" m="1" x="2502"/>
        <item h="1" m="1" x="2504"/>
        <item h="1" m="1" x="2077"/>
        <item h="1" m="1" x="576"/>
        <item h="1" m="1" x="2323"/>
        <item h="1" m="1" x="2505"/>
        <item h="1" m="1" x="2506"/>
        <item h="1" m="1" x="2507"/>
        <item h="1" m="1" x="2508"/>
        <item h="1" m="1" x="1873"/>
        <item h="1" x="439"/>
        <item h="1" m="1" x="2509"/>
        <item h="1" m="1" x="2512"/>
        <item h="1" m="1" x="1196"/>
        <item h="1" m="1" x="1966"/>
        <item h="1" m="1" x="2099"/>
        <item h="1" m="1" x="2285"/>
        <item h="1" m="1" x="2286"/>
        <item h="1" m="1" x="2104"/>
        <item h="1" m="1" x="2288"/>
        <item h="1" m="1" x="2103"/>
        <item h="1" m="1" x="2289"/>
        <item h="1" m="1" x="2290"/>
        <item h="1" m="1" x="2116"/>
        <item h="1" m="1" x="2146"/>
        <item h="1" m="1" x="2292"/>
        <item h="1" m="1" x="2121"/>
        <item h="1" m="1" x="2122"/>
        <item h="1" m="1" x="2293"/>
        <item h="1" m="1" x="2123"/>
        <item h="1" m="1" x="2124"/>
        <item h="1" m="1" x="2125"/>
        <item h="1" m="1" x="2294"/>
        <item h="1" m="1" x="1849"/>
        <item h="1" m="1" x="2142"/>
        <item h="1" m="1" x="2143"/>
        <item h="1" m="1" x="2140"/>
        <item h="1" m="1" x="2148"/>
        <item h="1" m="1" x="2295"/>
        <item h="1" m="1" x="2296"/>
        <item h="1" m="1" x="2149"/>
        <item h="1" m="1" x="2150"/>
        <item h="1" m="1" x="2151"/>
        <item h="1" m="1" x="2120"/>
        <item h="1" m="1" x="2298"/>
        <item h="1" m="1" x="2299"/>
        <item h="1" m="1" x="2155"/>
        <item h="1" m="1" x="942"/>
        <item h="1" m="1" x="2156"/>
        <item h="1" m="1" x="2301"/>
        <item h="1" m="1" x="2302"/>
        <item h="1" m="1" x="2159"/>
        <item h="1" m="1" x="2303"/>
        <item h="1" m="1" x="2304"/>
        <item h="1" m="1" x="2305"/>
        <item h="1" m="1" x="2306"/>
        <item h="1" m="1" x="2307"/>
        <item h="1" m="1" x="2308"/>
        <item h="1" m="1" x="2309"/>
        <item h="1" m="1" x="2310"/>
        <item h="1" x="410"/>
        <item h="1" m="1" x="721"/>
        <item h="1" m="1" x="2312"/>
        <item h="1" m="1" x="2172"/>
        <item h="1" m="1" x="2314"/>
        <item h="1" m="1" x="2316"/>
        <item h="1" m="1" x="2317"/>
        <item h="1" m="1" x="2318"/>
        <item h="1" m="1" x="2319"/>
        <item h="1" m="1" x="2320"/>
        <item h="1" m="1" x="2321"/>
        <item h="1" m="1" x="2186"/>
        <item h="1" m="1" x="2328"/>
        <item h="1" m="1" x="2195"/>
        <item h="1" m="1" x="2100"/>
        <item h="1" m="1" x="2329"/>
        <item h="1" x="353"/>
        <item h="1" m="1" x="1567"/>
        <item h="1" m="1" x="2139"/>
        <item h="1" m="1" x="2332"/>
        <item h="1" m="1" x="2333"/>
        <item h="1" m="1" x="1553"/>
        <item h="1" m="1" x="2334"/>
        <item h="1" m="1" x="2335"/>
        <item h="1" m="1" x="2336"/>
        <item h="1" m="1" x="1482"/>
        <item h="1" m="1" x="2173"/>
        <item h="1" m="1" x="2337"/>
        <item h="1" m="1" x="2338"/>
        <item h="1" m="1" x="2339"/>
        <item h="1" m="1" x="2340"/>
        <item h="1" m="1" x="2341"/>
        <item h="1" m="1" x="2342"/>
        <item h="1" m="1" x="2343"/>
        <item h="1" m="1" x="2184"/>
        <item h="1" m="1" x="2185"/>
        <item h="1" m="1" x="2344"/>
        <item h="1" m="1" x="1485"/>
        <item h="1" m="1" x="2345"/>
        <item h="1" m="1" x="2346"/>
        <item h="1" m="1" x="2347"/>
        <item h="1" m="1" x="2348"/>
        <item h="1" m="1" x="2349"/>
        <item h="1" m="1" x="2350"/>
        <item h="1" m="1" x="2351"/>
        <item h="1" m="1" x="2352"/>
        <item h="1" m="1" x="2194"/>
        <item h="1" m="1" x="2197"/>
        <item h="1" m="1" x="1897"/>
        <item h="1" m="1" x="1900"/>
        <item h="1" m="1" x="1902"/>
        <item h="1" m="1" x="1942"/>
        <item h="1" m="1" x="1943"/>
        <item h="1" m="1" x="1697"/>
        <item h="1" m="1" x="2003"/>
        <item h="1" m="1" x="2004"/>
        <item h="1" m="1" x="2101"/>
        <item h="1" m="1" x="2102"/>
        <item h="1" m="1" x="2106"/>
        <item h="1" m="1" x="2107"/>
        <item h="1" m="1" x="2117"/>
        <item h="1" m="1" x="2118"/>
        <item h="1" m="1" x="2119"/>
        <item h="1" m="1" x="1587"/>
        <item h="1" m="1" x="2126"/>
        <item h="1" m="1" x="2127"/>
        <item h="1" m="1" x="2128"/>
        <item h="1" m="1" x="2129"/>
        <item h="1" m="1" x="2130"/>
        <item h="1" m="1" x="2131"/>
        <item h="1" m="1" x="2133"/>
        <item h="1" m="1" x="1052"/>
        <item h="1" m="1" x="2136"/>
        <item h="1" m="1" x="2137"/>
        <item h="1" m="1" x="2138"/>
        <item h="1" m="1" x="1633"/>
        <item h="1" m="1" x="2145"/>
        <item h="1" m="1" x="2147"/>
        <item h="1" m="1" x="1816"/>
        <item h="1" m="1" x="2153"/>
        <item h="1" m="1" x="2158"/>
        <item h="1" m="1" x="2161"/>
        <item h="1" m="1" x="2162"/>
        <item h="1" m="1" x="1110"/>
        <item h="1" m="1" x="2163"/>
        <item h="1" m="1" x="2164"/>
        <item h="1" m="1" x="2166"/>
        <item h="1" m="1" x="2167"/>
        <item h="1" m="1" x="2168"/>
        <item h="1" m="1" x="2169"/>
        <item h="1" m="1" x="2171"/>
        <item h="1" m="1" x="2174"/>
        <item h="1" m="1" x="2175"/>
        <item h="1" m="1" x="2176"/>
        <item h="1" m="1" x="2177"/>
        <item h="1" m="1" x="2179"/>
        <item h="1" m="1" x="2180"/>
        <item h="1" m="1" x="2181"/>
        <item h="1" m="1" x="2182"/>
        <item h="1" m="1" x="1605"/>
        <item h="1" m="1" x="2183"/>
        <item h="1" m="1" x="1486"/>
        <item h="1" x="73"/>
        <item h="1" m="1" x="2187"/>
        <item h="1" m="1" x="2189"/>
        <item h="1" x="269"/>
        <item h="1" m="1" x="2190"/>
        <item h="1" m="1" x="2191"/>
        <item h="1" m="1" x="2192"/>
        <item h="1" m="1" x="2193"/>
        <item h="1" m="1" x="995"/>
        <item h="1" m="1" x="2196"/>
        <item h="1" m="1" x="1047"/>
        <item h="1" m="1" x="2198"/>
        <item h="1" m="1" x="2199"/>
        <item h="1" m="1" x="987"/>
        <item h="1" m="1" x="2200"/>
        <item h="1" m="1" x="2201"/>
        <item h="1" m="1" x="2202"/>
        <item h="1" m="1" x="2203"/>
        <item h="1" m="1" x="2204"/>
        <item h="1" m="1" x="2206"/>
        <item h="1" m="1" x="2207"/>
        <item h="1" m="1" x="2208"/>
        <item h="1" m="1" x="2209"/>
        <item h="1" m="1" x="2210"/>
        <item h="1" m="1" x="2211"/>
        <item h="1" m="1" x="2212"/>
        <item h="1" m="1" x="2213"/>
        <item h="1" m="1" x="2215"/>
        <item h="1" m="1" x="2216"/>
        <item h="1" m="1" x="2217"/>
        <item h="1" m="1" x="2219"/>
        <item h="1" m="1" x="2220"/>
        <item h="1" m="1" x="2221"/>
        <item h="1" m="1" x="2222"/>
        <item h="1" m="1" x="1483"/>
        <item h="1" m="1" x="2224"/>
        <item h="1" m="1" x="2225"/>
        <item h="1" m="1" x="2226"/>
        <item h="1" m="1" x="2227"/>
        <item h="1" m="1" x="1884"/>
        <item h="1" m="1" x="2228"/>
        <item h="1" m="1" x="502"/>
        <item h="1" m="1" x="1017"/>
        <item h="1" m="1" x="1484"/>
        <item h="1" m="1" x="1874"/>
        <item h="1" x="75"/>
        <item h="1" x="82"/>
        <item h="1" m="1" x="1839"/>
        <item h="1" m="1" x="458"/>
        <item h="1" m="1" x="1841"/>
        <item h="1" m="1" x="1842"/>
        <item h="1" m="1" x="1845"/>
        <item h="1" m="1" x="1846"/>
        <item h="1" m="1" x="1847"/>
        <item h="1" m="1" x="1848"/>
        <item h="1" m="1" x="1573"/>
        <item h="1" x="370"/>
        <item h="1" m="1" x="1569"/>
        <item h="1" m="1" x="1851"/>
        <item h="1" m="1" x="1582"/>
        <item h="1" m="1" x="1852"/>
        <item h="1" m="1" x="460"/>
        <item h="1" m="1" x="1853"/>
        <item h="1" m="1" x="461"/>
        <item h="1" m="1" x="899"/>
        <item h="1" m="1" x="1720"/>
        <item h="1" m="1" x="1856"/>
        <item h="1" m="1" x="1857"/>
        <item h="1" m="1" x="1858"/>
        <item h="1" m="1" x="1859"/>
        <item h="1" m="1" x="549"/>
        <item h="1" m="1" x="1601"/>
        <item h="1" m="1" x="1031"/>
        <item h="1" m="1" x="1863"/>
        <item h="1" m="1" x="1864"/>
        <item h="1" m="1" x="1865"/>
        <item h="1" m="1" x="1866"/>
        <item h="1" m="1" x="1868"/>
        <item h="1" m="1" x="1869"/>
        <item h="1" m="1" x="1870"/>
        <item h="1" m="1" x="1871"/>
        <item h="1" m="1" x="1872"/>
        <item h="1" m="1" x="466"/>
        <item h="1" m="1" x="467"/>
        <item h="1" m="1" x="1875"/>
        <item h="1" m="1" x="1876"/>
        <item h="1" m="1" x="1197"/>
        <item h="1" m="1" x="1877"/>
        <item h="1" m="1" x="1878"/>
        <item h="1" m="1" x="1602"/>
        <item h="1" m="1" x="1879"/>
        <item h="1" m="1" x="1583"/>
        <item h="1" x="58"/>
        <item h="1" m="1" x="1028"/>
        <item h="1" m="1" x="459"/>
        <item h="1" m="1" x="1880"/>
        <item h="1" m="1" x="1881"/>
        <item h="1" m="1" x="1882"/>
        <item h="1" m="1" x="1883"/>
        <item h="1" x="79"/>
        <item h="1" m="1" x="1733"/>
        <item h="1" m="1" x="455"/>
        <item h="1" m="1" x="782"/>
        <item h="1" x="97"/>
        <item h="1" m="1" x="1714"/>
        <item h="1" m="1" x="701"/>
        <item h="1" m="1" x="1557"/>
        <item h="1" m="1" x="1578"/>
        <item h="1" m="1" x="1570"/>
        <item h="1" m="1" x="1027"/>
        <item h="1" m="1" x="1214"/>
        <item h="1" m="1" x="1718"/>
        <item h="1" m="1" x="1603"/>
        <item h="1" m="1" x="1191"/>
        <item h="1" m="1" x="1721"/>
        <item h="1" m="1" x="1722"/>
        <item h="1" m="1" x="1723"/>
        <item h="1" m="1" x="1724"/>
        <item h="1" m="1" x="1725"/>
        <item h="1" m="1" x="1726"/>
        <item h="1" m="1" x="1589"/>
        <item h="1" m="1" x="1590"/>
        <item h="1" m="1" x="1591"/>
        <item h="1" m="1" x="1192"/>
        <item h="1" m="1" x="1817"/>
        <item h="1" m="1" x="1032"/>
        <item h="1" x="308"/>
        <item h="1" m="1" x="1610"/>
        <item h="1" m="1" x="1611"/>
        <item h="1" m="1" x="1612"/>
        <item h="1" m="1" x="1033"/>
        <item h="1" m="1" x="1819"/>
        <item h="1" m="1" x="1820"/>
        <item h="1" m="1" x="1821"/>
        <item h="1" m="1" x="456"/>
        <item h="1" m="1" x="1555"/>
        <item h="1" m="1" x="1822"/>
        <item h="1" m="1" x="1203"/>
        <item h="1" m="1" x="1736"/>
        <item h="1" m="1" x="1489"/>
        <item h="1" m="1" x="1717"/>
        <item h="1" m="1" x="1025"/>
        <item h="1" m="1" x="1712"/>
        <item h="1" m="1" x="1556"/>
        <item h="1" m="1" x="989"/>
        <item h="1" m="1" x="1823"/>
        <item h="1" m="1" x="1824"/>
        <item h="1" m="1" x="1747"/>
        <item h="1" m="1" x="1576"/>
        <item h="1" m="1" x="1711"/>
        <item h="1" m="1" x="1710"/>
        <item h="1" m="1" x="1575"/>
        <item h="1" m="1" x="1580"/>
        <item h="1" m="1" x="1585"/>
        <item h="1" m="1" x="1225"/>
        <item h="1" m="1" x="900"/>
        <item h="1" m="1" x="1754"/>
        <item h="1" m="1" x="1755"/>
        <item h="1" m="1" x="1029"/>
        <item h="1" m="1" x="1756"/>
        <item h="1" m="1" x="1758"/>
        <item h="1" m="1" x="1763"/>
        <item h="1" m="1" x="1030"/>
        <item h="1" m="1" x="1728"/>
        <item h="1" m="1" x="465"/>
        <item h="1" m="1" x="1825"/>
        <item h="1" m="1" x="1769"/>
        <item h="1" m="1" x="1588"/>
        <item h="1" m="1" x="1770"/>
        <item h="1" m="1" x="1768"/>
        <item h="1" m="1" x="1604"/>
        <item h="1" m="1" x="1826"/>
        <item h="1" m="1" x="1729"/>
        <item h="1" m="1" x="1730"/>
        <item h="1" m="1" x="1827"/>
        <item h="1" m="1" x="1828"/>
        <item h="1" x="67"/>
        <item h="1" x="68"/>
        <item h="1" x="69"/>
        <item h="1" m="1" x="1829"/>
        <item h="1" x="70"/>
        <item h="1" m="1" x="1195"/>
        <item h="1" m="1" x="1731"/>
        <item h="1" x="83"/>
        <item h="1" m="1" x="1607"/>
        <item h="1" x="99"/>
        <item h="1" m="1" x="1488"/>
        <item h="1" m="1" x="1202"/>
        <item h="1" m="1" x="1734"/>
        <item h="1" m="1" x="1737"/>
        <item h="1" x="52"/>
        <item h="1" m="1" x="1738"/>
        <item h="1" m="1" x="1207"/>
        <item h="1" m="1" x="1618"/>
        <item h="1" m="1" x="1740"/>
        <item h="1" m="1" x="1741"/>
        <item h="1" m="1" x="940"/>
        <item h="1" m="1" x="1092"/>
        <item h="1" m="1" x="1744"/>
        <item h="1" m="1" x="1561"/>
        <item h="1" m="1" x="1562"/>
        <item h="1" m="1" x="1745"/>
        <item h="1" m="1" x="1563"/>
        <item h="1" m="1" x="1564"/>
        <item h="1" m="1" x="1625"/>
        <item h="1" m="1" x="1746"/>
        <item h="1" m="1" x="1574"/>
        <item h="1" m="1" x="1579"/>
        <item h="1" m="1" x="1039"/>
        <item h="1" m="1" x="1559"/>
        <item h="1" m="1" x="1560"/>
        <item h="1" m="1" x="1752"/>
        <item h="1" m="1" x="483"/>
        <item h="1" m="1" x="901"/>
        <item h="1" m="1" x="1757"/>
        <item h="1" m="1" x="1759"/>
        <item h="1" m="1" x="1760"/>
        <item h="1" m="1" x="1761"/>
        <item h="1" m="1" x="1228"/>
        <item h="1" m="1" x="1592"/>
        <item h="1" m="1" x="1593"/>
        <item h="1" m="1" x="1594"/>
        <item h="1" m="1" x="1595"/>
        <item h="1" m="1" x="1596"/>
        <item h="1" m="1" x="1597"/>
        <item h="1" m="1" x="1598"/>
        <item h="1" m="1" x="1599"/>
        <item h="1" m="1" x="1600"/>
        <item h="1" m="1" x="1762"/>
        <item h="1" m="1" x="1229"/>
        <item h="1" m="1" x="1056"/>
        <item h="1" m="1" x="1659"/>
        <item h="1" m="1" x="1764"/>
        <item h="1" m="1" x="1765"/>
        <item h="1" m="1" x="1766"/>
        <item h="1" m="1" x="1767"/>
        <item h="1" m="1" x="1771"/>
        <item h="1" m="1" x="1772"/>
        <item h="1" m="1" x="1773"/>
        <item h="1" m="1" x="1774"/>
        <item h="1" m="1" x="1776"/>
        <item h="1" m="1" x="1778"/>
        <item h="1" m="1" x="1779"/>
        <item h="1" m="1" x="1780"/>
        <item h="1" m="1" x="1781"/>
        <item h="1" m="1" x="1782"/>
        <item h="1" m="1" x="799"/>
        <item h="1" m="1" x="1783"/>
        <item h="1" m="1" x="1784"/>
        <item h="1" m="1" x="1785"/>
        <item h="1" m="1" x="1606"/>
        <item h="1" m="1" x="1609"/>
        <item h="1" x="66"/>
        <item h="1" m="1" x="1786"/>
        <item h="1" m="1" x="1787"/>
        <item h="1" m="1" x="1608"/>
        <item h="1" m="1" x="1067"/>
        <item h="1" m="1" x="1068"/>
        <item h="1" m="1" x="1791"/>
        <item h="1" m="1" x="1071"/>
        <item h="1" m="1" x="1069"/>
        <item h="1" m="1" x="1070"/>
        <item h="1" m="1" x="1073"/>
        <item h="1" m="1" x="1613"/>
        <item h="1" x="78"/>
        <item h="1" m="1" x="1232"/>
        <item h="1" m="1" x="1086"/>
        <item h="1" m="1" x="1792"/>
        <item h="1" m="1" x="1793"/>
        <item h="1" m="1" x="1614"/>
        <item h="1" m="1" x="1234"/>
        <item h="1" x="88"/>
        <item h="1" m="1" x="1616"/>
        <item h="1" m="1" x="984"/>
        <item h="1" m="1" x="780"/>
        <item h="1" x="208"/>
        <item h="1" m="1" x="1617"/>
        <item h="1" m="1" x="1201"/>
        <item h="1" m="1" x="1206"/>
        <item h="1" m="1" x="1619"/>
        <item h="1" m="1" x="1208"/>
        <item h="1" x="53"/>
        <item h="1" m="1" x="1209"/>
        <item h="1" m="1" x="783"/>
        <item h="1" m="1" x="1210"/>
        <item h="1" m="1" x="1211"/>
        <item h="1" m="1" x="1212"/>
        <item h="1" x="350"/>
        <item h="1" m="1" x="784"/>
        <item h="1" m="1" x="476"/>
        <item h="1" m="1" x="1620"/>
        <item h="1" m="1" x="480"/>
        <item h="1" m="1" x="1492"/>
        <item h="1" m="1" x="1493"/>
        <item h="1" m="1" x="1621"/>
        <item h="1" m="1" x="1622"/>
        <item h="1" m="1" x="1623"/>
        <item h="1" m="1" x="1626"/>
        <item h="1" m="1" x="1628"/>
        <item h="1" m="1" x="1630"/>
        <item h="1" m="1" x="479"/>
        <item h="1" m="1" x="1632"/>
        <item h="1" m="1" x="1636"/>
        <item h="1" m="1" x="1221"/>
        <item h="1" m="1" x="1222"/>
        <item h="1" m="1" x="1637"/>
        <item h="1" m="1" x="1638"/>
        <item h="1" m="1" x="1639"/>
        <item h="1" m="1" x="1640"/>
        <item h="1" m="1" x="1641"/>
        <item h="1" m="1" x="1642"/>
        <item h="1" m="1" x="1643"/>
        <item h="1" m="1" x="1644"/>
        <item h="1" m="1" x="1645"/>
        <item h="1" m="1" x="1646"/>
        <item h="1" m="1" x="1647"/>
        <item h="1" m="1" x="1648"/>
        <item h="1" m="1" x="1649"/>
        <item h="1" m="1" x="1650"/>
        <item h="1" m="1" x="1651"/>
        <item h="1" m="1" x="1652"/>
        <item h="1" m="1" x="1653"/>
        <item h="1" m="1" x="1654"/>
        <item h="1" m="1" x="1655"/>
        <item h="1" m="1" x="1656"/>
        <item h="1" m="1" x="1657"/>
        <item h="1" m="1" x="1658"/>
        <item h="1" m="1" x="499"/>
        <item h="1" m="1" x="1055"/>
        <item h="1" m="1" x="1230"/>
        <item h="1" m="1" x="497"/>
        <item h="1" m="1" x="1660"/>
        <item h="1" m="1" x="490"/>
        <item h="1" m="1" x="811"/>
        <item h="1" m="1" x="1227"/>
        <item h="1" m="1" x="1661"/>
        <item h="1" m="1" x="1662"/>
        <item h="1" m="1" x="1663"/>
        <item h="1" m="1" x="1664"/>
        <item h="1" m="1" x="503"/>
        <item h="1" m="1" x="1058"/>
        <item h="1" m="1" x="1665"/>
        <item h="1" m="1" x="1666"/>
        <item h="1" m="1" x="1667"/>
        <item h="1" m="1" x="1062"/>
        <item h="1" m="1" x="1063"/>
        <item h="1" m="1" x="1668"/>
        <item h="1" m="1" x="1669"/>
        <item h="1" m="1" x="1670"/>
        <item h="1" m="1" x="1072"/>
        <item h="1" m="1" x="1074"/>
        <item h="1" m="1" x="744"/>
        <item h="1" x="71"/>
        <item h="1" m="1" x="1671"/>
        <item h="1" m="1" x="1672"/>
        <item h="1" m="1" x="1673"/>
        <item h="1" m="1" x="1674"/>
        <item h="1" m="1" x="1675"/>
        <item h="1" m="1" x="831"/>
        <item h="1" m="1" x="1676"/>
        <item h="1" m="1" x="1677"/>
        <item h="1" x="77"/>
        <item h="1" m="1" x="1084"/>
        <item h="1" m="1" x="1678"/>
        <item h="1" x="81"/>
        <item h="1" x="90"/>
        <item h="1" m="1" x="1235"/>
        <item h="1" m="1" x="1199"/>
        <item h="1" x="104"/>
        <item h="1" m="1" x="1490"/>
        <item h="1" m="1" x="477"/>
        <item h="1" x="98"/>
        <item h="1" m="1" x="1216"/>
        <item h="1" m="1" x="1217"/>
        <item h="1" m="1" x="917"/>
        <item h="1" m="1" x="1231"/>
        <item h="1" m="1" x="1057"/>
        <item h="1" m="1" x="1494"/>
        <item h="1" x="280"/>
        <item h="1" m="1" x="1060"/>
        <item h="1" m="1" x="1061"/>
        <item h="1" m="1" x="1495"/>
        <item h="1" x="162"/>
        <item h="1" x="161"/>
        <item h="1" m="1" x="1076"/>
        <item h="1" m="1" x="1078"/>
        <item h="1" m="1" x="1079"/>
        <item h="1" m="1" x="1496"/>
        <item h="1" x="169"/>
        <item h="1" m="1" x="1233"/>
        <item h="1" x="84"/>
        <item h="1" x="95"/>
        <item h="1" x="189"/>
        <item h="1" m="1" x="1035"/>
        <item h="1" m="1" x="1036"/>
        <item h="1" m="1" x="1497"/>
        <item h="1" m="1" x="473"/>
        <item h="1" x="105"/>
        <item h="1" m="1" x="1240"/>
        <item h="1" m="1" x="1241"/>
        <item h="1" m="1" x="474"/>
        <item h="1" m="1" x="1243"/>
        <item h="1" m="1" x="1244"/>
        <item h="1" m="1" x="1245"/>
        <item h="1" m="1" x="1246"/>
        <item h="1" m="1" x="790"/>
        <item h="1" x="115"/>
        <item h="1" m="1" x="1038"/>
        <item h="1" m="1" x="903"/>
        <item h="1" m="1" x="1037"/>
        <item h="1" m="1" x="1249"/>
        <item h="1" x="117"/>
        <item h="1" m="1" x="1498"/>
        <item h="1" m="1" x="1499"/>
        <item h="1" m="1" x="1500"/>
        <item h="1" m="1" x="1501"/>
        <item h="1" m="1" x="1251"/>
        <item h="1" m="1" x="800"/>
        <item h="1" m="1" x="801"/>
        <item h="1" m="1" x="1255"/>
        <item h="1" m="1" x="1259"/>
        <item h="1" m="1" x="1260"/>
        <item h="1" m="1" x="1218"/>
        <item h="1" m="1" x="1258"/>
        <item h="1" m="1" x="1263"/>
        <item h="1" m="1" x="1043"/>
        <item h="1" x="122"/>
        <item h="1" x="123"/>
        <item h="1" m="1" x="1264"/>
        <item h="1" m="1" x="1265"/>
        <item h="1" m="1" x="1266"/>
        <item h="1" m="1" x="809"/>
        <item h="1" m="1" x="1269"/>
        <item h="1" m="1" x="1273"/>
        <item h="1" m="1" x="1274"/>
        <item h="1" m="1" x="1275"/>
        <item h="1" m="1" x="810"/>
        <item h="1" m="1" x="1271"/>
        <item h="1" m="1" x="1272"/>
        <item h="1" m="1" x="1278"/>
        <item h="1" m="1" x="1277"/>
        <item h="1" x="138"/>
        <item h="1" m="1" x="1041"/>
        <item h="1" m="1" x="1502"/>
        <item h="1" m="1" x="1045"/>
        <item h="1" m="1" x="916"/>
        <item h="1" m="1" x="488"/>
        <item h="1" m="1" x="1046"/>
        <item h="1" m="1" x="914"/>
        <item h="1" m="1" x="915"/>
        <item h="1" m="1" x="489"/>
        <item h="1" m="1" x="913"/>
        <item h="1" m="1" x="1279"/>
        <item h="1" m="1" x="1281"/>
        <item h="1" m="1" x="498"/>
        <item h="1" m="1" x="1282"/>
        <item h="1" m="1" x="1283"/>
        <item h="1" m="1" x="1284"/>
        <item h="1" m="1" x="1108"/>
        <item h="1" m="1" x="816"/>
        <item h="1" x="150"/>
        <item h="1" m="1" x="817"/>
        <item h="1" m="1" x="1051"/>
        <item h="1" m="1" x="926"/>
        <item h="1" m="1" x="818"/>
        <item h="1" m="1" x="1286"/>
        <item h="1" m="1" x="1285"/>
        <item h="1" m="1" x="830"/>
        <item h="1" m="1" x="1053"/>
        <item h="1" m="1" x="1054"/>
        <item h="1" m="1" x="1288"/>
        <item h="1" m="1" x="1291"/>
        <item h="1" m="1" x="1293"/>
        <item h="1" m="1" x="1503"/>
        <item h="1" m="1" x="814"/>
        <item h="1" m="1" x="1504"/>
        <item h="1" m="1" x="1059"/>
        <item h="1" m="1" x="1505"/>
        <item h="1" m="1" x="1506"/>
        <item h="1" m="1" x="1507"/>
        <item h="1" m="1" x="1064"/>
        <item h="1" m="1" x="1065"/>
        <item h="1" m="1" x="1066"/>
        <item h="1" m="1" x="1298"/>
        <item h="1" m="1" x="1508"/>
        <item h="1" m="1" x="1509"/>
        <item h="1" m="1" x="1510"/>
        <item h="1" m="1" x="1511"/>
        <item h="1" m="1" x="1512"/>
        <item h="1" m="1" x="1513"/>
        <item h="1" m="1" x="1514"/>
        <item h="1" m="1" x="1515"/>
        <item h="1" m="1" x="1516"/>
        <item h="1" m="1" x="1517"/>
        <item h="1" m="1" x="1518"/>
        <item h="1" m="1" x="1077"/>
        <item h="1" m="1" x="1519"/>
        <item h="1" m="1" x="1520"/>
        <item h="1" m="1" x="1521"/>
        <item h="1" m="1" x="1080"/>
        <item h="1" x="171"/>
        <item h="1" m="1" x="1081"/>
        <item h="1" m="1" x="1082"/>
        <item h="1" m="1" x="1083"/>
        <item h="1" m="1" x="1085"/>
        <item h="1" x="181"/>
        <item h="1" m="1" x="1299"/>
        <item h="1" x="46"/>
        <item h="1" x="65"/>
        <item h="1" m="1" x="469"/>
        <item h="1" m="1" x="1237"/>
        <item h="1" m="1" x="1239"/>
        <item h="1" m="1" x="1242"/>
        <item h="1" x="110"/>
        <item h="1" m="1" x="787"/>
        <item h="1" m="1" x="1247"/>
        <item h="1" m="1" x="1248"/>
        <item h="1" m="1" x="788"/>
        <item h="1" m="1" x="789"/>
        <item h="1" m="1" x="1250"/>
        <item h="1" m="1" x="1252"/>
        <item h="1" m="1" x="1253"/>
        <item h="1" m="1" x="1254"/>
        <item h="1" m="1" x="803"/>
        <item h="1" m="1" x="1256"/>
        <item h="1" m="1" x="1262"/>
        <item h="1" m="1" x="1104"/>
        <item h="1" m="1" x="1267"/>
        <item h="1" m="1" x="1268"/>
        <item h="1" m="1" x="486"/>
        <item h="1" m="1" x="924"/>
        <item h="1" m="1" x="1112"/>
        <item h="1" m="1" x="925"/>
        <item h="1" m="1" x="815"/>
        <item h="1" m="1" x="828"/>
        <item h="1" m="1" x="829"/>
        <item h="1" m="1" x="1126"/>
        <item h="1" m="1" x="927"/>
        <item h="1" m="1" x="1127"/>
        <item h="1" m="1" x="1292"/>
        <item h="1" x="107"/>
        <item h="1" m="1" x="729"/>
        <item h="1" m="1" x="1131"/>
        <item h="1" m="1" x="1294"/>
        <item h="1" x="157"/>
        <item h="1" m="1" x="1140"/>
        <item h="1" m="1" x="1136"/>
        <item h="1" m="1" x="1295"/>
        <item h="1" m="1" x="1296"/>
        <item h="1" m="1" x="1297"/>
        <item h="1" m="1" x="1147"/>
        <item h="1" m="1" x="1149"/>
        <item h="1" m="1" x="1150"/>
        <item h="1" m="1" x="1151"/>
        <item h="1" x="177"/>
        <item h="1" x="106"/>
        <item h="1" m="1" x="1300"/>
        <item h="1" m="1" x="1301"/>
        <item h="1" m="1" x="475"/>
        <item h="1" m="1" x="795"/>
        <item h="1" m="1" x="1303"/>
        <item h="1" m="1" x="1304"/>
        <item h="1" m="1" x="1305"/>
        <item h="1" m="1" x="1130"/>
        <item h="1" m="1" x="1306"/>
        <item h="1" m="1" x="1307"/>
        <item h="1" m="1" x="1308"/>
        <item h="1" m="1" x="1309"/>
        <item h="1" m="1" x="1310"/>
        <item h="1" m="1" x="1311"/>
        <item h="1" m="1" x="1312"/>
        <item h="1" m="1" x="1313"/>
        <item h="1" m="1" x="1314"/>
        <item h="1" m="1" x="1315"/>
        <item h="1" m="1" x="1316"/>
        <item h="1" m="1" x="1317"/>
        <item h="1" m="1" x="1318"/>
        <item h="1" m="1" x="1319"/>
        <item h="1" m="1" x="1320"/>
        <item h="1" m="1" x="1321"/>
        <item h="1" m="1" x="1322"/>
        <item h="1" m="1" x="1323"/>
        <item h="1" x="159"/>
        <item h="1" m="1" x="1324"/>
        <item h="1" m="1" x="1325"/>
        <item h="1" m="1" x="1326"/>
        <item h="1" m="1" x="1327"/>
        <item h="1" m="1" x="1328"/>
        <item h="1" m="1" x="1329"/>
        <item h="1" m="1" x="1330"/>
        <item h="1" m="1" x="1331"/>
        <item h="1" m="1" x="1332"/>
        <item h="1" m="1" x="1333"/>
        <item h="1" m="1" x="1334"/>
        <item h="1" m="1" x="1335"/>
        <item h="1" m="1" x="1336"/>
        <item h="1" m="1" x="1337"/>
        <item h="1" m="1" x="1338"/>
        <item h="1" m="1" x="1339"/>
        <item h="1" m="1" x="1340"/>
        <item h="1" m="1" x="1341"/>
        <item h="1" m="1" x="1342"/>
        <item h="1" m="1" x="1343"/>
        <item h="1" m="1" x="1344"/>
        <item h="1" m="1" x="1345"/>
        <item h="1" m="1" x="1346"/>
        <item h="1" m="1" x="1347"/>
        <item h="1" m="1" x="1348"/>
        <item h="1" m="1" x="1349"/>
        <item h="1" m="1" x="1350"/>
        <item h="1" m="1" x="1351"/>
        <item h="1" m="1" x="1352"/>
        <item h="1" m="1" x="1353"/>
        <item h="1" m="1" x="1354"/>
        <item h="1" m="1" x="1355"/>
        <item h="1" m="1" x="1356"/>
        <item h="1" m="1" x="1357"/>
        <item h="1" m="1" x="1358"/>
        <item h="1" m="1" x="1359"/>
        <item h="1" m="1" x="1360"/>
        <item h="1" m="1" x="1361"/>
        <item h="1" m="1" x="1362"/>
        <item h="1" m="1" x="1363"/>
        <item h="1" m="1" x="1364"/>
        <item h="1" m="1" x="1365"/>
        <item h="1" m="1" x="1366"/>
        <item h="1" m="1" x="1367"/>
        <item h="1" m="1" x="1368"/>
        <item h="1" m="1" x="1370"/>
        <item h="1" m="1" x="1371"/>
        <item h="1" m="1" x="1372"/>
        <item h="1" m="1" x="1373"/>
        <item h="1" m="1" x="1374"/>
        <item h="1" m="1" x="1375"/>
        <item h="1" m="1" x="1376"/>
        <item h="1" m="1" x="1377"/>
        <item h="1" m="1" x="1378"/>
        <item h="1" m="1" x="1379"/>
        <item h="1" m="1" x="1380"/>
        <item h="1" m="1" x="1381"/>
        <item h="1" m="1" x="1382"/>
        <item h="1" m="1" x="1383"/>
        <item h="1" m="1" x="1384"/>
        <item h="1" m="1" x="1385"/>
        <item h="1" m="1" x="1386"/>
        <item h="1" m="1" x="1387"/>
        <item h="1" m="1" x="1388"/>
        <item h="1" m="1" x="1389"/>
        <item h="1" m="1" x="1390"/>
        <item h="1" m="1" x="1391"/>
        <item h="1" m="1" x="1392"/>
        <item h="1" m="1" x="1393"/>
        <item h="1" m="1" x="1394"/>
        <item h="1" m="1" x="1395"/>
        <item h="1" m="1" x="1396"/>
        <item h="1" m="1" x="1397"/>
        <item h="1" m="1" x="1398"/>
        <item h="1" m="1" x="1399"/>
        <item h="1" m="1" x="1400"/>
        <item h="1" m="1" x="1401"/>
        <item h="1" m="1" x="1402"/>
        <item h="1" m="1" x="1404"/>
        <item h="1" m="1" x="1405"/>
        <item h="1" m="1" x="1406"/>
        <item h="1" m="1" x="1407"/>
        <item h="1" m="1" x="1408"/>
        <item h="1" m="1" x="1409"/>
        <item h="1" m="1" x="1410"/>
        <item h="1" m="1" x="1411"/>
        <item h="1" m="1" x="1412"/>
        <item h="1" m="1" x="1413"/>
        <item h="1" m="1" x="1414"/>
        <item h="1" m="1" x="1415"/>
        <item h="1" m="1" x="1416"/>
        <item h="1" m="1" x="1417"/>
        <item h="1" m="1" x="1146"/>
        <item h="1" m="1" x="1418"/>
        <item h="1" x="179"/>
        <item h="1" m="1" x="1419"/>
        <item h="1" m="1" x="1420"/>
        <item h="1" m="1" x="1421"/>
        <item h="1" m="1" x="1423"/>
        <item h="1" m="1" x="1424"/>
        <item h="1" m="1" x="1425"/>
        <item h="1" m="1" x="1426"/>
        <item h="1" m="1" x="1427"/>
        <item h="1" m="1" x="1428"/>
        <item h="1" m="1" x="1429"/>
        <item h="1" m="1" x="1430"/>
        <item h="1" m="1" x="1431"/>
        <item h="1" m="1" x="1432"/>
        <item h="1" m="1" x="1433"/>
        <item h="1" m="1" x="1434"/>
        <item h="1" m="1" x="1435"/>
        <item h="1" m="1" x="1436"/>
        <item h="1" m="1" x="1437"/>
        <item h="1" m="1" x="1438"/>
        <item h="1" m="1" x="1439"/>
        <item h="1" m="1" x="1440"/>
        <item h="1" m="1" x="1442"/>
        <item h="1" m="1" x="1443"/>
        <item h="1" m="1" x="1444"/>
        <item h="1" m="1" x="1445"/>
        <item h="1" m="1" x="1446"/>
        <item h="1" m="1" x="1447"/>
        <item h="1" m="1" x="1448"/>
        <item h="1" m="1" x="1449"/>
        <item h="1" m="1" x="1450"/>
        <item h="1" m="1" x="1451"/>
        <item h="1" m="1" x="1452"/>
        <item h="1" m="1" x="1453"/>
        <item h="1" m="1" x="1454"/>
        <item h="1" m="1" x="1455"/>
        <item h="1" m="1" x="1456"/>
        <item h="1" m="1" x="1457"/>
        <item h="1" m="1" x="1458"/>
        <item h="1" m="1" x="1459"/>
        <item h="1" m="1" x="1460"/>
        <item h="1" m="1" x="1461"/>
        <item h="1" m="1" x="1462"/>
        <item h="1" m="1" x="1463"/>
        <item h="1" m="1" x="1465"/>
        <item h="1" m="1" x="1466"/>
        <item h="1" m="1" x="1467"/>
        <item h="1" m="1" x="1468"/>
        <item h="1" m="1" x="1178"/>
        <item h="1" m="1" x="1469"/>
        <item h="1" m="1" x="1470"/>
        <item h="1" m="1" x="1471"/>
        <item h="1" m="1" x="1472"/>
        <item h="1" m="1" x="1129"/>
        <item h="1" m="1" x="500"/>
        <item h="1" m="1" x="792"/>
        <item h="1" m="1" x="1473"/>
        <item h="1" m="1" x="1474"/>
        <item h="1" m="1" x="793"/>
        <item h="1" m="1" x="794"/>
        <item h="1" m="1" x="797"/>
        <item h="1" m="1" x="520"/>
        <item h="1" m="1" x="1105"/>
        <item h="1" m="1" x="1106"/>
        <item h="1" m="1" x="1476"/>
        <item h="1" m="1" x="1477"/>
        <item h="1" m="1" x="1478"/>
        <item h="1" m="1" x="821"/>
        <item h="1" m="1" x="822"/>
        <item h="1" m="1" x="823"/>
        <item h="1" m="1" x="824"/>
        <item h="1" m="1" x="1479"/>
        <item h="1" m="1" x="1138"/>
        <item h="1" m="1" x="1139"/>
        <item h="1" m="1" x="1480"/>
        <item h="1" m="1" x="1481"/>
        <item h="1" x="173"/>
        <item h="1" m="1" x="1148"/>
        <item h="1" m="1" x="1075"/>
        <item h="1" m="1" x="1087"/>
        <item h="1" m="1" x="1089"/>
        <item h="1" x="108"/>
        <item h="1" m="1" x="506"/>
        <item h="1" m="1" x="1091"/>
        <item h="1" m="1" x="1093"/>
        <item h="1" m="1" x="1094"/>
        <item h="1" m="1" x="1098"/>
        <item h="1" m="1" x="1100"/>
        <item h="1" m="1" x="1102"/>
        <item h="1" m="1" x="1103"/>
        <item h="1" m="1" x="804"/>
        <item h="1" m="1" x="805"/>
        <item h="1" m="1" x="802"/>
        <item h="1" m="1" x="521"/>
        <item h="1" m="1" x="518"/>
        <item h="1" m="1" x="519"/>
        <item h="1" m="1" x="522"/>
        <item h="1" m="1" x="705"/>
        <item h="1" m="1" x="540"/>
        <item h="1" x="139"/>
        <item h="1" m="1" x="1107"/>
        <item h="1" m="1" x="1109"/>
        <item h="1" m="1" x="1111"/>
        <item h="1" m="1" x="812"/>
        <item h="1" m="1" x="813"/>
        <item h="1" m="1" x="1113"/>
        <item h="1" m="1" x="1114"/>
        <item h="1" m="1" x="798"/>
        <item h="1" m="1" x="1115"/>
        <item h="1" m="1" x="905"/>
        <item h="1" m="1" x="906"/>
        <item h="1" m="1" x="907"/>
        <item h="1" m="1" x="908"/>
        <item h="1" x="120"/>
        <item h="1" m="1" x="796"/>
        <item h="1" m="1" x="1118"/>
        <item h="1" m="1" x="1119"/>
        <item h="1" m="1" x="682"/>
        <item h="1" m="1" x="1121"/>
        <item h="1" m="1" x="554"/>
        <item h="1" m="1" x="1122"/>
        <item h="1" m="1" x="1123"/>
        <item h="1" m="1" x="1124"/>
        <item h="1" m="1" x="819"/>
        <item h="1" m="1" x="820"/>
        <item h="1" m="1" x="827"/>
        <item h="1" m="1" x="943"/>
        <item h="1" m="1" x="944"/>
        <item h="1" m="1" x="941"/>
        <item h="1" m="1" x="1128"/>
        <item h="1" x="153"/>
        <item h="1" x="154"/>
        <item h="1" x="155"/>
        <item h="1" m="1" x="1132"/>
        <item h="1" m="1" x="1133"/>
        <item h="1" m="1" x="1134"/>
        <item h="1" m="1" x="1135"/>
        <item h="1" m="1" x="1137"/>
        <item h="1" m="1" x="1141"/>
        <item h="1" m="1" x="1142"/>
        <item h="1" m="1" x="1143"/>
        <item h="1" m="1" x="999"/>
        <item h="1" m="1" x="1144"/>
        <item h="1" m="1" x="1145"/>
        <item h="1" x="163"/>
        <item h="1" x="165"/>
        <item h="1" x="166"/>
        <item h="1" x="167"/>
        <item h="1" m="1" x="1152"/>
        <item h="1" m="1" x="1153"/>
        <item h="1" x="185"/>
        <item h="1" x="118"/>
        <item h="1" m="1" x="806"/>
        <item h="1" m="1" x="1154"/>
        <item h="1" m="1" x="1155"/>
        <item h="1" m="1" x="807"/>
        <item h="1" m="1" x="541"/>
        <item h="1" m="1" x="690"/>
        <item h="1" m="1" x="1158"/>
        <item h="1" m="1" x="694"/>
        <item h="1" m="1" x="825"/>
        <item h="1" m="1" x="826"/>
        <item h="1" m="1" x="1162"/>
        <item h="1" x="112"/>
        <item h="1" m="1" x="1163"/>
        <item h="1" m="1" x="1164"/>
        <item h="1" m="1" x="1165"/>
        <item h="1" m="1" x="1166"/>
        <item h="1" m="1" x="1168"/>
        <item h="1" m="1" x="1169"/>
        <item h="1" m="1" x="1170"/>
        <item h="1" m="1" x="1173"/>
        <item h="1" m="1" x="1174"/>
        <item h="1" m="1" x="1175"/>
        <item h="1" m="1" x="1176"/>
        <item h="1" m="1" x="1177"/>
        <item h="1" m="1" x="1179"/>
        <item h="1" m="1" x="1180"/>
        <item h="1" m="1" x="1181"/>
        <item h="1" m="1" x="1182"/>
        <item h="1" m="1" x="504"/>
        <item h="1" m="1" x="832"/>
        <item h="1" x="103"/>
        <item h="1" m="1" x="1000"/>
        <item h="1" m="1" x="1001"/>
        <item h="1" m="1" x="505"/>
        <item h="1" m="1" x="840"/>
        <item h="1" m="1" x="842"/>
        <item h="1" m="1" x="932"/>
        <item h="1" m="1" x="934"/>
        <item h="1" x="111"/>
        <item h="1" m="1" x="510"/>
        <item h="1" x="119"/>
        <item h="1" m="1" x="877"/>
        <item h="1" m="1" x="849"/>
        <item h="1" m="1" x="526"/>
        <item h="1" m="1" x="516"/>
        <item h="1" m="1" x="517"/>
        <item h="1" x="145"/>
        <item h="1" m="1" x="852"/>
        <item h="1" m="1" x="853"/>
        <item h="1" m="1" x="523"/>
        <item h="1" m="1" x="525"/>
        <item h="1" x="144"/>
        <item h="1" m="1" x="532"/>
        <item h="1" x="135"/>
        <item h="1" x="128"/>
        <item h="1" x="130"/>
        <item h="1" m="1" x="535"/>
        <item h="1" m="1" x="534"/>
        <item h="1" m="1" x="808"/>
        <item h="1" m="1" x="1002"/>
        <item h="1" m="1" x="1003"/>
        <item h="1" m="1" x="543"/>
        <item h="1" m="1" x="542"/>
        <item h="1" m="1" x="871"/>
        <item h="1" m="1" x="872"/>
        <item h="1" m="1" x="950"/>
        <item h="1" x="152"/>
        <item h="1" m="1" x="960"/>
        <item h="1" m="1" x="728"/>
        <item h="1" m="1" x="566"/>
        <item h="1" m="1" x="556"/>
        <item h="1" m="1" x="861"/>
        <item h="1" m="1" x="869"/>
        <item h="1" m="1" x="867"/>
        <item h="1" x="151"/>
        <item h="1" m="1" x="870"/>
        <item h="1" m="1" x="545"/>
        <item h="1" x="156"/>
        <item h="1" m="1" x="1004"/>
        <item h="1" m="1" x="1005"/>
        <item h="1" m="1" x="1006"/>
        <item h="1" m="1" x="1007"/>
        <item h="1" m="1" x="1008"/>
        <item h="1" m="1" x="1009"/>
        <item h="1" m="1" x="1010"/>
        <item h="1" m="1" x="1011"/>
        <item h="1" m="1" x="1013"/>
        <item h="1" m="1" x="1014"/>
        <item h="1" m="1" x="1015"/>
        <item h="1" m="1" x="1016"/>
        <item h="1" m="1" x="1019"/>
        <item h="1" m="1" x="1020"/>
        <item h="1" m="1" x="1021"/>
        <item h="1" x="160"/>
        <item h="1" m="1" x="1022"/>
        <item h="1" m="1" x="1023"/>
        <item h="1" x="176"/>
        <item h="1" m="1" x="958"/>
        <item h="1" m="1" x="572"/>
        <item h="1" m="1" x="959"/>
        <item h="1" x="178"/>
        <item h="1" m="1" x="1024"/>
        <item h="1" x="180"/>
        <item h="1" m="1" x="573"/>
        <item h="1" x="186"/>
        <item h="1" x="187"/>
        <item h="1" x="188"/>
        <item h="1" x="170"/>
        <item h="1" m="1" x="507"/>
        <item h="1" m="1" x="508"/>
        <item h="1" m="1" x="839"/>
        <item h="1" m="1" x="931"/>
        <item h="1" m="1" x="933"/>
        <item h="1" m="1" x="511"/>
        <item h="1" m="1" x="512"/>
        <item h="1" x="113"/>
        <item h="1" m="1" x="878"/>
        <item h="1" m="1" x="936"/>
        <item h="1" m="1" x="850"/>
        <item h="1" m="1" x="851"/>
        <item h="1" x="222"/>
        <item h="1" x="231"/>
        <item h="1" m="1" x="533"/>
        <item h="1" m="1" x="939"/>
        <item h="1" m="1" x="855"/>
        <item h="1" m="1" x="856"/>
        <item h="1" m="1" x="581"/>
        <item h="1" x="141"/>
        <item h="1" m="1" x="945"/>
        <item h="1" m="1" x="555"/>
        <item h="1" m="1" x="946"/>
        <item h="1" m="1" x="947"/>
        <item h="1" m="1" x="948"/>
        <item h="1" m="1" x="868"/>
        <item h="1" m="1" x="864"/>
        <item h="1" m="1" x="863"/>
        <item h="1" m="1" x="949"/>
        <item h="1" m="1" x="691"/>
        <item h="1" m="1" x="951"/>
        <item h="1" m="1" x="952"/>
        <item h="1" m="1" x="953"/>
        <item h="1" m="1" x="954"/>
        <item h="1" m="1" x="955"/>
        <item h="1" m="1" x="567"/>
        <item h="1" m="1" x="956"/>
        <item h="1" m="1" x="957"/>
        <item h="1" x="164"/>
        <item h="1" m="1" x="571"/>
        <item h="1" x="320"/>
        <item h="1" x="338"/>
        <item h="1" m="1" x="962"/>
        <item h="1" m="1" x="837"/>
        <item h="1" m="1" x="964"/>
        <item h="1" m="1" x="965"/>
        <item h="1" m="1" x="966"/>
        <item h="1" m="1" x="967"/>
        <item h="1" m="1" x="968"/>
        <item h="1" m="1" x="969"/>
        <item h="1" m="1" x="844"/>
        <item h="1" m="1" x="553"/>
        <item h="1" m="1" x="859"/>
        <item h="1" m="1" x="970"/>
        <item h="1" m="1" x="862"/>
        <item h="1" m="1" x="866"/>
        <item h="1" x="252"/>
        <item h="1" x="256"/>
        <item h="1" m="1" x="971"/>
        <item h="1" m="1" x="973"/>
        <item h="1" m="1" x="974"/>
        <item h="1" m="1" x="557"/>
        <item h="1" x="257"/>
        <item h="1" m="1" x="561"/>
        <item h="1" m="1" x="976"/>
        <item h="1" x="234"/>
        <item h="1" x="241"/>
        <item h="1" m="1" x="977"/>
        <item h="1" m="1" x="978"/>
        <item h="1" m="1" x="979"/>
        <item h="1" m="1" x="980"/>
        <item h="1" x="277"/>
        <item h="1" x="278"/>
        <item h="1" m="1" x="981"/>
        <item h="1" x="307"/>
        <item h="1" m="1" x="982"/>
        <item h="1" m="1" x="983"/>
        <item h="1" x="318"/>
        <item h="1" x="158"/>
        <item h="1" m="1" x="509"/>
        <item h="1" x="329"/>
        <item h="1" m="1" x="843"/>
        <item h="1" m="1" x="845"/>
        <item h="1" m="1" x="846"/>
        <item h="1" x="216"/>
        <item h="1" m="1" x="847"/>
        <item h="1" m="1" x="848"/>
        <item h="1" m="1" x="513"/>
        <item h="1" m="1" x="528"/>
        <item h="1" m="1" x="530"/>
        <item h="1" m="1" x="854"/>
        <item h="1" m="1" x="536"/>
        <item h="1" m="1" x="857"/>
        <item h="1" m="1" x="858"/>
        <item h="1" m="1" x="547"/>
        <item h="1" m="1" x="548"/>
        <item h="1" m="1" x="552"/>
        <item h="1" m="1" x="865"/>
        <item h="1" x="343"/>
        <item h="1" x="344"/>
        <item h="1" m="1" x="873"/>
        <item h="1" m="1" x="874"/>
        <item h="1" m="1" x="560"/>
        <item h="1" m="1" x="562"/>
        <item h="1" m="1" x="876"/>
        <item h="1" x="260"/>
        <item h="1" m="1" x="879"/>
        <item h="1" m="1" x="880"/>
        <item h="1" m="1" x="624"/>
        <item h="1" m="1" x="881"/>
        <item h="1" m="1" x="544"/>
        <item h="1" x="273"/>
        <item h="1" x="279"/>
        <item h="1" m="1" x="738"/>
        <item h="1" m="1" x="741"/>
        <item h="1" x="292"/>
        <item h="1" x="291"/>
        <item h="1" m="1" x="882"/>
        <item h="1" m="1" x="883"/>
        <item h="1" m="1" x="569"/>
        <item h="1" m="1" x="884"/>
        <item h="1" m="1" x="570"/>
        <item h="1" x="325"/>
        <item h="1" x="333"/>
        <item h="1" m="1" x="574"/>
        <item h="1" m="1" x="577"/>
        <item h="1" x="199"/>
        <item h="1" m="1" x="593"/>
        <item h="1" m="1" x="594"/>
        <item h="1" m="1" x="611"/>
        <item h="1" x="233"/>
        <item h="1" m="1" x="618"/>
        <item h="1" m="1" x="885"/>
        <item h="1" m="1" x="886"/>
        <item h="1" m="1" x="887"/>
        <item h="1" m="1" x="888"/>
        <item h="1" m="1" x="889"/>
        <item h="1" x="237"/>
        <item h="1" m="1" x="890"/>
        <item h="1" m="1" x="630"/>
        <item h="1" m="1" x="891"/>
        <item h="1" m="1" x="892"/>
        <item h="1" m="1" x="893"/>
        <item h="1" x="255"/>
        <item h="1" m="1" x="655"/>
        <item h="1" m="1" x="737"/>
        <item h="1" m="1" x="752"/>
        <item h="1" m="1" x="753"/>
        <item h="1" x="271"/>
        <item h="1" m="1" x="740"/>
        <item h="1" m="1" x="742"/>
        <item h="1" m="1" x="743"/>
        <item h="1" x="304"/>
        <item h="1" x="302"/>
        <item h="1" m="1" x="665"/>
        <item h="1" m="1" x="895"/>
        <item h="1" m="1" x="896"/>
        <item h="1" m="1" x="748"/>
        <item h="1" m="1" x="758"/>
        <item h="1" m="1" x="669"/>
        <item h="1" m="1" x="670"/>
        <item h="1" x="190"/>
        <item h="1" m="1" x="579"/>
        <item h="1" m="1" x="578"/>
        <item h="1" x="197"/>
        <item h="1" m="1" x="583"/>
        <item h="1" m="1" x="584"/>
        <item h="1" m="1" x="582"/>
        <item h="1" m="1" x="587"/>
        <item h="1" m="1" x="730"/>
        <item h="1" m="1" x="589"/>
        <item h="1" x="319"/>
        <item h="1" m="1" x="590"/>
        <item h="1" x="215"/>
        <item h="1" m="1" x="731"/>
        <item h="1" m="1" x="732"/>
        <item h="1" m="1" x="591"/>
        <item h="1" m="1" x="592"/>
        <item h="1" m="1" x="602"/>
        <item h="1" m="1" x="603"/>
        <item h="1" x="232"/>
        <item h="1" m="1" x="609"/>
        <item h="1" m="1" x="604"/>
        <item h="1" m="1" x="605"/>
        <item h="1" m="1" x="606"/>
        <item h="1" m="1" x="607"/>
        <item h="1" m="1" x="608"/>
        <item h="1" x="220"/>
        <item h="1" x="236"/>
        <item h="1" x="219"/>
        <item h="1" x="238"/>
        <item h="1" m="1" x="622"/>
        <item h="1" m="1" x="625"/>
        <item h="1" m="1" x="626"/>
        <item h="1" m="1" x="628"/>
        <item h="1" m="1" x="629"/>
        <item h="1" m="1" x="619"/>
        <item h="1" x="335"/>
        <item h="1" x="247"/>
        <item h="1" m="1" x="635"/>
        <item h="1" m="1" x="637"/>
        <item h="1" m="1" x="638"/>
        <item h="1" m="1" x="641"/>
        <item h="1" m="1" x="642"/>
        <item h="1" m="1" x="643"/>
        <item h="1" m="1" x="644"/>
        <item h="1" m="1" x="645"/>
        <item h="1" m="1" x="651"/>
        <item h="1" m="1" x="652"/>
        <item h="1" m="1" x="653"/>
        <item h="1" m="1" x="654"/>
        <item h="1" m="1" x="648"/>
        <item h="1" m="1" x="649"/>
        <item h="1" m="1" x="650"/>
        <item h="1" m="1" x="657"/>
        <item h="1" m="1" x="735"/>
        <item h="1" m="1" x="659"/>
        <item h="1" m="1" x="658"/>
        <item h="1" m="1" x="736"/>
        <item h="1" x="274"/>
        <item h="1" x="272"/>
        <item h="1" x="281"/>
        <item h="1" x="282"/>
        <item h="1" m="1" x="739"/>
        <item h="1" x="295"/>
        <item h="1" x="289"/>
        <item h="1" x="293"/>
        <item h="1" m="1" x="662"/>
        <item h="1" x="288"/>
        <item h="1" m="1" x="664"/>
        <item h="1" x="305"/>
        <item h="1" x="313"/>
        <item h="1" m="1" x="746"/>
        <item h="1" m="1" x="747"/>
        <item h="1" x="339"/>
        <item h="1" m="1" x="749"/>
        <item h="1" x="341"/>
        <item h="1" m="1" x="750"/>
        <item h="1" m="1" x="751"/>
        <item h="1" m="1" x="754"/>
        <item h="1" m="1" x="755"/>
        <item h="1" m="1" x="756"/>
        <item h="1" x="89"/>
        <item h="1" x="326"/>
        <item h="1" m="1" x="575"/>
        <item h="1" m="1" x="585"/>
        <item h="1" m="1" x="595"/>
        <item h="1" m="1" x="596"/>
        <item h="1" m="1" x="597"/>
        <item h="1" m="1" x="598"/>
        <item h="1" m="1" x="599"/>
        <item h="1" m="1" x="600"/>
        <item h="1" x="230"/>
        <item h="1" m="1" x="614"/>
        <item h="1" m="1" x="615"/>
        <item h="1" m="1" x="616"/>
        <item h="1" m="1" x="617"/>
        <item h="1" m="1" x="620"/>
        <item h="1" m="1" x="623"/>
        <item h="1" x="245"/>
        <item h="1" m="1" x="631"/>
        <item h="1" m="1" x="632"/>
        <item h="1" m="1" x="633"/>
        <item h="1" m="1" x="634"/>
        <item h="1" m="1" x="646"/>
        <item h="1" m="1" x="647"/>
        <item h="1" x="254"/>
        <item h="1" m="1" x="656"/>
        <item h="1" x="267"/>
        <item h="1" x="268"/>
        <item h="1" x="276"/>
        <item h="1" x="275"/>
        <item h="1" x="287"/>
        <item h="1" m="1" x="663"/>
        <item h="1" x="321"/>
        <item h="1" m="1" x="668"/>
        <item h="1" m="1" x="672"/>
        <item h="1" m="1" x="674"/>
        <item h="1" m="1" x="675"/>
        <item h="1" x="192"/>
        <item h="1" x="221"/>
        <item h="1" x="213"/>
        <item h="1" m="1" x="676"/>
        <item h="1" m="1" x="677"/>
        <item h="1" m="1" x="678"/>
        <item h="1" m="1" x="681"/>
        <item h="1" x="316"/>
        <item h="1" x="324"/>
        <item h="1" m="1" x="683"/>
        <item h="1" m="1" x="685"/>
        <item h="1" m="1" x="687"/>
        <item h="1" m="1" x="688"/>
        <item h="1" m="1" x="689"/>
        <item h="1" m="1" x="693"/>
        <item h="1" m="1" x="695"/>
        <item h="1" m="1" x="696"/>
        <item h="1" m="1" x="697"/>
        <item h="1" m="1" x="698"/>
        <item h="1" m="1" x="700"/>
        <item h="1" m="1" x="702"/>
        <item h="1" m="1" x="704"/>
        <item h="1" x="210"/>
        <item h="1" m="1" x="706"/>
        <item h="1" x="266"/>
        <item h="1" m="1" x="707"/>
        <item h="1" m="1" x="709"/>
        <item h="1" m="1" x="710"/>
        <item h="1" m="1" x="711"/>
        <item h="1" m="1" x="713"/>
        <item h="1" x="300"/>
        <item h="1" x="298"/>
        <item h="1" x="297"/>
        <item h="1" x="299"/>
        <item h="1" x="314"/>
        <item h="1" x="328"/>
        <item h="1" x="191"/>
        <item h="1" x="194"/>
        <item h="1" x="195"/>
        <item h="1" x="198"/>
        <item h="1" x="203"/>
        <item h="1" x="204"/>
        <item h="1" x="205"/>
        <item h="1" x="217"/>
        <item h="1" x="218"/>
        <item h="1" x="224"/>
        <item h="1" x="227"/>
        <item h="1" x="228"/>
        <item h="1" x="229"/>
        <item h="1" x="240"/>
        <item h="1" x="244"/>
        <item h="1" x="251"/>
        <item h="1" x="258"/>
        <item h="1" x="262"/>
        <item h="1" x="263"/>
        <item h="1" x="264"/>
        <item h="1" x="270"/>
        <item h="1" x="283"/>
        <item h="1" x="284"/>
        <item h="1" x="285"/>
        <item h="1" x="294"/>
        <item h="1" x="303"/>
        <item h="1" x="306"/>
        <item h="1" x="309"/>
        <item h="1" x="310"/>
        <item h="1" x="311"/>
        <item h="1" x="312"/>
        <item h="1" x="315"/>
        <item h="1" x="323"/>
        <item h="1" x="327"/>
        <item h="1" x="330"/>
        <item h="1" x="331"/>
        <item h="1" x="347"/>
        <item h="1" x="348"/>
        <item h="1" x="349"/>
        <item h="1" x="351"/>
        <item h="1" x="355"/>
        <item h="1" x="356"/>
        <item h="1" x="357"/>
        <item h="1" x="358"/>
        <item h="1" x="360"/>
        <item h="1" x="361"/>
        <item h="1" x="362"/>
        <item h="1" x="363"/>
        <item h="1" x="364"/>
        <item h="1" x="365"/>
        <item h="1" x="366"/>
        <item h="1" x="367"/>
        <item h="1" x="369"/>
        <item h="1" x="372"/>
        <item h="1" x="374"/>
        <item h="1" x="375"/>
        <item h="1" x="377"/>
        <item h="1" x="378"/>
        <item h="1" x="379"/>
        <item h="1" x="380"/>
        <item h="1" x="381"/>
        <item h="1" x="382"/>
        <item h="1" x="384"/>
        <item h="1" x="385"/>
        <item h="1" x="386"/>
        <item h="1" x="388"/>
        <item h="1" x="391"/>
        <item h="1" x="392"/>
        <item h="1" x="393"/>
        <item h="1" x="394"/>
        <item h="1" x="395"/>
        <item h="1" x="396"/>
        <item h="1" x="397"/>
        <item h="1" x="398"/>
        <item h="1" x="399"/>
        <item h="1" x="400"/>
        <item h="1" x="401"/>
        <item h="1" x="402"/>
        <item h="1" x="403"/>
        <item h="1" x="404"/>
        <item h="1" x="405"/>
        <item h="1" x="406"/>
        <item h="1" x="407"/>
        <item h="1" x="408"/>
        <item h="1" x="409"/>
        <item h="1" x="413"/>
        <item h="1" x="414"/>
        <item h="1" x="417"/>
        <item h="1" x="418"/>
        <item h="1" x="419"/>
        <item h="1" x="420"/>
        <item h="1" x="421"/>
        <item h="1" x="422"/>
        <item h="1" x="423"/>
        <item h="1" x="425"/>
        <item h="1" x="426"/>
        <item h="1" x="427"/>
        <item h="1" x="428"/>
        <item h="1" x="429"/>
        <item h="1" x="430"/>
        <item h="1" x="431"/>
        <item h="1" x="432"/>
        <item h="1" x="433"/>
        <item h="1" x="434"/>
        <item h="1" x="435"/>
        <item h="1" x="437"/>
        <item h="1" x="438"/>
        <item h="1" x="440"/>
        <item h="1" x="441"/>
        <item h="1" x="443"/>
        <item h="1" x="445"/>
        <item h="1" x="446"/>
        <item t="default"/>
      </items>
    </pivotField>
    <pivotField multipleItemSelectionAllowe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x="2"/>
        <item x="1"/>
        <item x="0"/>
        <item x="3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4">
        <item x="1"/>
        <item x="0"/>
        <item x="2"/>
        <item t="default"/>
      </items>
    </pivotField>
  </pivotFields>
  <rowFields count="3">
    <field x="44"/>
    <field x="42"/>
    <field x="12"/>
  </rowFields>
  <rowItems count="4">
    <i>
      <x/>
    </i>
    <i r="1">
      <x v="6"/>
    </i>
    <i r="1">
      <x v="7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/>
  </dataFields>
  <formats count="97">
    <format dxfId="611">
      <pivotArea field="27" type="button" dataOnly="0" labelOnly="1" outline="0" axis="axisPage" fieldPosition="0"/>
    </format>
    <format dxfId="610">
      <pivotArea outline="0" collapsedLevelsAreSubtotals="1" fieldPosition="0"/>
    </format>
    <format dxfId="609">
      <pivotArea type="all" dataOnly="0" outline="0" fieldPosition="0"/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dataOnly="0" labelOnly="1" grandRow="1" outline="0" fieldPosition="0"/>
    </format>
    <format dxfId="605">
      <pivotArea dataOnly="0" labelOnly="1" outline="0" axis="axisValues" fieldPosition="0"/>
    </format>
    <format dxfId="604">
      <pivotArea type="all" dataOnly="0" outline="0" fieldPosition="0"/>
    </format>
    <format dxfId="603">
      <pivotArea outline="0" collapsedLevelsAreSubtotals="1" fieldPosition="0"/>
    </format>
    <format dxfId="602">
      <pivotArea dataOnly="0" labelOnly="1" grandRow="1" outline="0" fieldPosition="0"/>
    </format>
    <format dxfId="601">
      <pivotArea dataOnly="0" labelOnly="1" outline="0" axis="axisValues" fieldPosition="0"/>
    </format>
    <format dxfId="600">
      <pivotArea grandRow="1" outline="0" collapsedLevelsAreSubtotals="1" fieldPosition="0"/>
    </format>
    <format dxfId="599">
      <pivotArea type="all" dataOnly="0" outline="0" fieldPosition="0"/>
    </format>
    <format dxfId="598">
      <pivotArea outline="0" collapsedLevelsAreSubtotals="1" fieldPosition="0"/>
    </format>
    <format dxfId="597">
      <pivotArea dataOnly="0" labelOnly="1" grandRow="1" outline="0" fieldPosition="0"/>
    </format>
    <format dxfId="596">
      <pivotArea dataOnly="0" labelOnly="1" outline="0" axis="axisValues" fieldPosition="0"/>
    </format>
    <format dxfId="595">
      <pivotArea type="all" dataOnly="0" outline="0" fieldPosition="0"/>
    </format>
    <format dxfId="594">
      <pivotArea outline="0" collapsedLevelsAreSubtotals="1" fieldPosition="0"/>
    </format>
    <format dxfId="593">
      <pivotArea dataOnly="0" labelOnly="1" grandRow="1" outline="0" fieldPosition="0"/>
    </format>
    <format dxfId="592">
      <pivotArea dataOnly="0" labelOnly="1" outline="0" axis="axisValues" fieldPosition="0"/>
    </format>
    <format dxfId="591">
      <pivotArea type="all" dataOnly="0" outline="0" fieldPosition="0"/>
    </format>
    <format>
      <pivotArea type="all" dataOnly="0" outline="0" fieldPosition="0"/>
    </format>
    <format dxfId="590">
      <pivotArea grandRow="1" outline="0" collapsedLevelsAreSubtotals="1" fieldPosition="0"/>
    </format>
    <format dxfId="589">
      <pivotArea type="all" dataOnly="0" outline="0" fieldPosition="0"/>
    </format>
    <format dxfId="588">
      <pivotArea dataOnly="0" labelOnly="1" outline="0" axis="axisValues" fieldPosition="0"/>
    </format>
    <format>
      <pivotArea type="all" dataOnly="0" outline="0" fieldPosition="0"/>
    </format>
    <format>
      <pivotArea dataOnly="0" labelOnly="1" outline="0" axis="axisValues" fieldPosition="0"/>
    </format>
    <format dxfId="587">
      <pivotArea dataOnly="0" labelOnly="1" outline="0" axis="axisValues" fieldPosition="0"/>
    </format>
    <format dxfId="586">
      <pivotArea type="all" dataOnly="0" outline="0" fieldPosition="0"/>
    </format>
    <format dxfId="585">
      <pivotArea outline="0" collapsedLevelsAreSubtotals="1" fieldPosition="0"/>
    </format>
    <format dxfId="584">
      <pivotArea dataOnly="0" labelOnly="1" grandRow="1" outline="0" fieldPosition="0"/>
    </format>
    <format dxfId="583">
      <pivotArea dataOnly="0" labelOnly="1" outline="0" axis="axisValues" fieldPosition="0"/>
    </format>
    <format dxfId="582">
      <pivotArea type="all" dataOnly="0" outline="0" fieldPosition="0"/>
    </format>
    <format dxfId="581">
      <pivotArea outline="0" collapsedLevelsAreSubtotals="1" fieldPosition="0"/>
    </format>
    <format dxfId="580">
      <pivotArea dataOnly="0" labelOnly="1" grandRow="1" outline="0" fieldPosition="0"/>
    </format>
    <format dxfId="579">
      <pivotArea dataOnly="0" labelOnly="1" outline="0" axis="axisValues" fieldPosition="0"/>
    </format>
    <format dxfId="578">
      <pivotArea type="all" dataOnly="0" outline="0" fieldPosition="0"/>
    </format>
    <format dxfId="577">
      <pivotArea outline="0" collapsedLevelsAreSubtotals="1" fieldPosition="0"/>
    </format>
    <format dxfId="576">
      <pivotArea field="44" type="button" dataOnly="0" labelOnly="1" outline="0" axis="axisRow" fieldPosition="0"/>
    </format>
    <format dxfId="575">
      <pivotArea dataOnly="0" labelOnly="1" grandRow="1" outline="0" fieldPosition="0"/>
    </format>
    <format dxfId="574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 dxfId="573">
      <pivotArea field="27" type="button" dataOnly="0" labelOnly="1" outline="0" axis="axisPage" fieldPosition="0"/>
    </format>
    <format dxfId="572">
      <pivotArea field="44" type="button" dataOnly="0" labelOnly="1" outline="0" axis="axisRow" fieldPosition="0"/>
    </format>
    <format dxfId="571">
      <pivotArea dataOnly="0" labelOnly="1" fieldPosition="0">
        <references count="1">
          <reference field="44" count="2">
            <x v="0"/>
            <x v="1"/>
          </reference>
        </references>
      </pivotArea>
    </format>
    <format dxfId="570">
      <pivotArea dataOnly="0" labelOnly="1" grandRow="1" outline="0" fieldPosition="0"/>
    </format>
    <format dxfId="569">
      <pivotArea dataOnly="0" labelOnly="1" fieldPosition="0">
        <references count="2">
          <reference field="42" count="2">
            <x v="3"/>
            <x v="4"/>
          </reference>
          <reference field="44" count="1" selected="0">
            <x v="0"/>
          </reference>
        </references>
      </pivotArea>
    </format>
    <format dxfId="568">
      <pivotArea dataOnly="0" labelOnly="1" fieldPosition="0">
        <references count="2">
          <reference field="42" count="1">
            <x v="10"/>
          </reference>
          <reference field="44" count="1" selected="0">
            <x v="1"/>
          </reference>
        </references>
      </pivotArea>
    </format>
    <format dxfId="567">
      <pivotArea field="44" type="button" dataOnly="0" labelOnly="1" outline="0" axis="axisRow" fieldPosition="0"/>
    </format>
    <format dxfId="566">
      <pivotArea dataOnly="0" labelOnly="1" outline="0" axis="axisValues" fieldPosition="0"/>
    </format>
    <format dxfId="565">
      <pivotArea field="44" type="button" dataOnly="0" labelOnly="1" outline="0" axis="axisRow" fieldPosition="0"/>
    </format>
    <format dxfId="564">
      <pivotArea dataOnly="0" labelOnly="1" outline="0" axis="axisValues" fieldPosition="0"/>
    </format>
    <format dxfId="563">
      <pivotArea field="44" type="button" dataOnly="0" labelOnly="1" outline="0" axis="axisRow" fieldPosition="0"/>
    </format>
    <format dxfId="562">
      <pivotArea dataOnly="0" labelOnly="1" outline="0" axis="axisValues" fieldPosition="0"/>
    </format>
    <format dxfId="561">
      <pivotArea collapsedLevelsAreSubtotals="1" fieldPosition="0">
        <references count="1">
          <reference field="44" count="1">
            <x v="0"/>
          </reference>
        </references>
      </pivotArea>
    </format>
    <format dxfId="560">
      <pivotArea dataOnly="0" labelOnly="1" fieldPosition="0">
        <references count="1">
          <reference field="44" count="1">
            <x v="0"/>
          </reference>
        </references>
      </pivotArea>
    </format>
    <format dxfId="559">
      <pivotArea collapsedLevelsAreSubtotals="1" fieldPosition="0">
        <references count="1">
          <reference field="44" count="1">
            <x v="0"/>
          </reference>
        </references>
      </pivotArea>
    </format>
    <format dxfId="558">
      <pivotArea dataOnly="0" labelOnly="1" fieldPosition="0">
        <references count="1">
          <reference field="44" count="1">
            <x v="0"/>
          </reference>
        </references>
      </pivotArea>
    </format>
    <format dxfId="557">
      <pivotArea collapsedLevelsAreSubtotals="1" fieldPosition="0">
        <references count="2">
          <reference field="42" count="1">
            <x v="4"/>
          </reference>
          <reference field="44" count="1" selected="0">
            <x v="0"/>
          </reference>
        </references>
      </pivotArea>
    </format>
    <format dxfId="556">
      <pivotArea dataOnly="0" labelOnly="1" fieldPosition="0">
        <references count="2">
          <reference field="42" count="1">
            <x v="4"/>
          </reference>
          <reference field="44" count="1" selected="0">
            <x v="0"/>
          </reference>
        </references>
      </pivotArea>
    </format>
    <format dxfId="555">
      <pivotArea collapsedLevelsAreSubtotals="1" fieldPosition="0">
        <references count="2">
          <reference field="42" count="1">
            <x v="4"/>
          </reference>
          <reference field="44" count="1" selected="0">
            <x v="0"/>
          </reference>
        </references>
      </pivotArea>
    </format>
    <format dxfId="554">
      <pivotArea dataOnly="0" labelOnly="1" fieldPosition="0">
        <references count="2">
          <reference field="42" count="1">
            <x v="4"/>
          </reference>
          <reference field="44" count="1" selected="0">
            <x v="0"/>
          </reference>
        </references>
      </pivotArea>
    </format>
    <format dxfId="553">
      <pivotArea collapsedLevelsAreSubtotals="1" fieldPosition="0">
        <references count="2">
          <reference field="42" count="1">
            <x v="5"/>
          </reference>
          <reference field="44" count="1" selected="0">
            <x v="0"/>
          </reference>
        </references>
      </pivotArea>
    </format>
    <format dxfId="552">
      <pivotArea dataOnly="0" labelOnly="1" fieldPosition="0">
        <references count="2">
          <reference field="42" count="1">
            <x v="5"/>
          </reference>
          <reference field="44" count="1" selected="0">
            <x v="0"/>
          </reference>
        </references>
      </pivotArea>
    </format>
    <format dxfId="551">
      <pivotArea collapsedLevelsAreSubtotals="1" fieldPosition="0">
        <references count="2">
          <reference field="42" count="1">
            <x v="5"/>
          </reference>
          <reference field="44" count="1" selected="0">
            <x v="0"/>
          </reference>
        </references>
      </pivotArea>
    </format>
    <format dxfId="550">
      <pivotArea dataOnly="0" labelOnly="1" fieldPosition="0">
        <references count="2">
          <reference field="42" count="1">
            <x v="5"/>
          </reference>
          <reference field="44" count="1" selected="0">
            <x v="0"/>
          </reference>
        </references>
      </pivotArea>
    </format>
    <format dxfId="549">
      <pivotArea grandRow="1" outline="0" collapsedLevelsAreSubtotals="1" fieldPosition="0"/>
    </format>
    <format dxfId="548">
      <pivotArea dataOnly="0" labelOnly="1" grandRow="1" outline="0" fieldPosition="0"/>
    </format>
    <format dxfId="547">
      <pivotArea grandRow="1" outline="0" collapsedLevelsAreSubtotals="1" fieldPosition="0"/>
    </format>
    <format dxfId="546">
      <pivotArea dataOnly="0" labelOnly="1" grandRow="1" outline="0" fieldPosition="0"/>
    </format>
    <format dxfId="545">
      <pivotArea grandRow="1" outline="0" collapsedLevelsAreSubtotals="1" fieldPosition="0"/>
    </format>
    <format dxfId="544">
      <pivotArea dataOnly="0" labelOnly="1" grandRow="1" outline="0" fieldPosition="0"/>
    </format>
    <format>
      <pivotArea type="all" dataOnly="0" outline="0" fieldPosition="0"/>
    </format>
    <format>
      <pivotArea field="44" type="button" dataOnly="0" labelOnly="1" outline="0" axis="axisRow" fieldPosition="0"/>
    </format>
    <format>
      <pivotArea dataOnly="0" labelOnly="1" grandRow="1" outline="0" fieldPosition="0"/>
    </format>
    <format>
      <pivotArea dataOnly="0" labelOnly="1" outline="0" axis="axisValues" fieldPosition="0"/>
    </format>
    <format dxfId="543">
      <pivotArea field="44" type="button" dataOnly="0" labelOnly="1" outline="0" axis="axisRow" fieldPosition="0"/>
    </format>
    <format dxfId="542">
      <pivotArea dataOnly="0" labelOnly="1" outline="0" axis="axisValues" fieldPosition="0"/>
    </format>
    <format dxfId="541">
      <pivotArea field="44" type="button" dataOnly="0" labelOnly="1" outline="0" axis="axisRow" fieldPosition="0"/>
    </format>
    <format dxfId="540">
      <pivotArea dataOnly="0" labelOnly="1" outline="0" axis="axisValues" fieldPosition="0"/>
    </format>
    <format dxfId="539">
      <pivotArea field="44" type="button" dataOnly="0" labelOnly="1" outline="0" axis="axisRow" fieldPosition="0"/>
    </format>
    <format dxfId="538">
      <pivotArea dataOnly="0" labelOnly="1" outline="0" axis="axisValues" fieldPosition="0"/>
    </format>
    <format dxfId="537">
      <pivotArea grandRow="1" outline="0" collapsedLevelsAreSubtotals="1" fieldPosition="0"/>
    </format>
    <format dxfId="536">
      <pivotArea dataOnly="0" labelOnly="1" grandRow="1" outline="0" fieldPosition="0"/>
    </format>
    <format dxfId="535">
      <pivotArea grandRow="1" outline="0" collapsedLevelsAreSubtotals="1" fieldPosition="0"/>
    </format>
    <format dxfId="534">
      <pivotArea dataOnly="0" labelOnly="1" grandRow="1" outline="0" fieldPosition="0"/>
    </format>
    <format dxfId="533">
      <pivotArea grandRow="1" outline="0" collapsedLevelsAreSubtotals="1" fieldPosition="0"/>
    </format>
    <format dxfId="532">
      <pivotArea dataOnly="0" labelOnly="1" grandRow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44" type="button" dataOnly="0" labelOnly="1" outline="0" axis="axisRow" fieldPosition="0"/>
    </format>
    <format>
      <pivotArea dataOnly="0" labelOnly="1" fieldPosition="0">
        <references count="1">
          <reference field="44" count="1">
            <x v="0"/>
          </reference>
        </references>
      </pivotArea>
    </format>
    <format>
      <pivotArea dataOnly="0" labelOnly="1" grandRow="1" outline="0" fieldPosition="0"/>
    </format>
    <format>
      <pivotArea dataOnly="0" labelOnly="1" fieldPosition="0">
        <references count="2">
          <reference field="42" count="2">
            <x v="4"/>
            <x v="5"/>
          </reference>
          <reference field="44" count="1" selected="0">
            <x v="0"/>
          </reference>
        </references>
      </pivotArea>
    </format>
    <format>
      <pivotArea dataOnly="0" labelOnly="1" outline="0" axis="axisValues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9000000}" name="Aging_Produto" cacheId="153" applyNumberFormats="0" applyBorderFormats="0" applyFontFormats="0" applyPatternFormats="0" applyAlignmentFormats="0" applyWidthHeightFormats="1" dataCaption="Valores" updatedVersion="8" minRefreshableVersion="3" itemPrintTitles="1" createdVersion="8" indent="0" compact="0" outline="1" outlineData="1" compactData="0" multipleFieldFilters="0" chartFormat="1">
  <location ref="A4:F13" firstHeaderRow="1" firstDataRow="2" firstDataCol="1"/>
  <pivotFields count="45">
    <pivotField compact="0" showAll="0"/>
    <pivotField compact="0" showAll="0"/>
    <pivotField compact="0" showAll="0"/>
    <pivotField compact="0" showAll="0">
      <items count="516">
        <item x="514"/>
        <item x="0"/>
        <item x="1"/>
        <item x="2"/>
        <item x="3"/>
        <item x="4"/>
        <item x="5"/>
        <item x="8"/>
        <item x="9"/>
        <item x="6"/>
        <item x="21"/>
        <item x="12"/>
        <item x="10"/>
        <item x="7"/>
        <item x="15"/>
        <item x="16"/>
        <item x="13"/>
        <item x="37"/>
        <item x="14"/>
        <item x="17"/>
        <item x="11"/>
        <item x="32"/>
        <item x="26"/>
        <item x="27"/>
        <item x="36"/>
        <item x="33"/>
        <item x="18"/>
        <item x="20"/>
        <item x="19"/>
        <item x="47"/>
        <item x="38"/>
        <item x="48"/>
        <item x="45"/>
        <item x="28"/>
        <item x="41"/>
        <item x="46"/>
        <item x="25"/>
        <item x="34"/>
        <item x="22"/>
        <item x="23"/>
        <item x="24"/>
        <item x="39"/>
        <item x="43"/>
        <item x="64"/>
        <item x="77"/>
        <item x="79"/>
        <item x="40"/>
        <item x="42"/>
        <item x="84"/>
        <item x="83"/>
        <item x="35"/>
        <item x="91"/>
        <item x="52"/>
        <item x="73"/>
        <item x="76"/>
        <item x="74"/>
        <item x="78"/>
        <item x="87"/>
        <item x="51"/>
        <item x="54"/>
        <item x="57"/>
        <item x="58"/>
        <item x="90"/>
        <item x="55"/>
        <item x="59"/>
        <item x="60"/>
        <item x="61"/>
        <item x="82"/>
        <item x="100"/>
        <item x="63"/>
        <item x="67"/>
        <item x="68"/>
        <item x="69"/>
        <item x="81"/>
        <item x="88"/>
        <item x="97"/>
        <item x="75"/>
        <item x="96"/>
        <item x="102"/>
        <item x="49"/>
        <item x="53"/>
        <item x="66"/>
        <item x="71"/>
        <item x="80"/>
        <item x="85"/>
        <item x="92"/>
        <item x="93"/>
        <item x="95"/>
        <item x="98"/>
        <item x="99"/>
        <item x="50"/>
        <item x="62"/>
        <item x="72"/>
        <item x="70"/>
        <item x="86"/>
        <item x="107"/>
        <item x="101"/>
        <item x="56"/>
        <item x="181"/>
        <item x="180"/>
        <item x="189"/>
        <item x="89"/>
        <item x="206"/>
        <item x="103"/>
        <item x="105"/>
        <item x="104"/>
        <item x="109"/>
        <item x="108"/>
        <item x="110"/>
        <item x="120"/>
        <item x="121"/>
        <item x="122"/>
        <item x="129"/>
        <item x="127"/>
        <item x="128"/>
        <item x="147"/>
        <item x="167"/>
        <item x="191"/>
        <item x="204"/>
        <item x="205"/>
        <item x="208"/>
        <item x="44"/>
        <item x="65"/>
        <item x="115"/>
        <item x="126"/>
        <item x="112"/>
        <item x="175"/>
        <item x="196"/>
        <item x="195"/>
        <item x="207"/>
        <item x="111"/>
        <item x="162"/>
        <item x="163"/>
        <item x="164"/>
        <item x="165"/>
        <item x="198"/>
        <item x="209"/>
        <item x="193"/>
        <item x="113"/>
        <item x="114"/>
        <item x="130"/>
        <item x="131"/>
        <item x="148"/>
        <item x="160"/>
        <item x="143"/>
        <item x="144"/>
        <item x="159"/>
        <item x="125"/>
        <item x="166"/>
        <item x="161"/>
        <item x="171"/>
        <item x="170"/>
        <item x="173"/>
        <item x="182"/>
        <item x="184"/>
        <item x="185"/>
        <item x="186"/>
        <item x="187"/>
        <item x="123"/>
        <item x="137"/>
        <item x="117"/>
        <item x="106"/>
        <item x="116"/>
        <item x="119"/>
        <item x="124"/>
        <item x="145"/>
        <item x="146"/>
        <item x="158"/>
        <item x="157"/>
        <item x="138"/>
        <item x="139"/>
        <item x="140"/>
        <item x="141"/>
        <item x="142"/>
        <item x="133"/>
        <item x="134"/>
        <item x="135"/>
        <item x="136"/>
        <item x="132"/>
        <item x="151"/>
        <item x="149"/>
        <item x="150"/>
        <item x="169"/>
        <item x="168"/>
        <item x="172"/>
        <item x="174"/>
        <item x="178"/>
        <item x="179"/>
        <item x="188"/>
        <item x="194"/>
        <item x="201"/>
        <item x="202"/>
        <item x="199"/>
        <item x="200"/>
        <item x="197"/>
        <item x="210"/>
        <item x="211"/>
        <item x="190"/>
        <item x="226"/>
        <item x="233"/>
        <item x="118"/>
        <item x="250"/>
        <item x="260"/>
        <item x="152"/>
        <item x="153"/>
        <item x="154"/>
        <item x="155"/>
        <item x="156"/>
        <item x="183"/>
        <item x="374"/>
        <item x="390"/>
        <item x="388"/>
        <item x="278"/>
        <item x="284"/>
        <item x="286"/>
        <item x="290"/>
        <item x="291"/>
        <item x="263"/>
        <item x="274"/>
        <item x="315"/>
        <item x="316"/>
        <item x="363"/>
        <item x="372"/>
        <item x="176"/>
        <item x="177"/>
        <item x="213"/>
        <item x="385"/>
        <item x="243"/>
        <item x="399"/>
        <item x="400"/>
        <item x="293"/>
        <item x="294"/>
        <item x="299"/>
        <item x="304"/>
        <item x="311"/>
        <item x="317"/>
        <item x="318"/>
        <item x="331"/>
        <item x="330"/>
        <item x="192"/>
        <item x="380"/>
        <item x="386"/>
        <item x="393"/>
        <item x="401"/>
        <item x="398"/>
        <item x="222"/>
        <item x="262"/>
        <item x="268"/>
        <item x="289"/>
        <item x="303"/>
        <item x="309"/>
        <item x="345"/>
        <item x="212"/>
        <item x="220"/>
        <item x="223"/>
        <item x="373"/>
        <item x="241"/>
        <item x="242"/>
        <item x="261"/>
        <item x="247"/>
        <item x="264"/>
        <item x="265"/>
        <item x="267"/>
        <item x="246"/>
        <item x="270"/>
        <item x="283"/>
        <item x="287"/>
        <item x="302"/>
        <item x="307"/>
        <item x="312"/>
        <item x="310"/>
        <item x="319"/>
        <item x="320"/>
        <item x="321"/>
        <item x="335"/>
        <item x="328"/>
        <item x="329"/>
        <item x="332"/>
        <item x="327"/>
        <item x="349"/>
        <item x="366"/>
        <item x="371"/>
        <item x="381"/>
        <item x="387"/>
        <item x="391"/>
        <item x="392"/>
        <item x="394"/>
        <item x="395"/>
        <item x="29"/>
        <item x="30"/>
        <item x="31"/>
        <item x="94"/>
        <item x="383"/>
        <item x="259"/>
        <item x="266"/>
        <item x="276"/>
        <item x="281"/>
        <item x="288"/>
        <item x="301"/>
        <item x="305"/>
        <item x="314"/>
        <item x="313"/>
        <item x="326"/>
        <item x="353"/>
        <item x="348"/>
        <item x="375"/>
        <item x="376"/>
        <item x="378"/>
        <item x="379"/>
        <item x="203"/>
        <item x="402"/>
        <item x="215"/>
        <item x="219"/>
        <item x="248"/>
        <item x="249"/>
        <item x="239"/>
        <item x="240"/>
        <item x="238"/>
        <item x="251"/>
        <item x="252"/>
        <item x="369"/>
        <item x="370"/>
        <item x="282"/>
        <item x="295"/>
        <item x="236"/>
        <item x="306"/>
        <item x="300"/>
        <item x="342"/>
        <item x="340"/>
        <item x="339"/>
        <item x="341"/>
        <item x="367"/>
        <item x="384"/>
        <item x="389"/>
        <item x="397"/>
        <item x="214"/>
        <item x="216"/>
        <item x="217"/>
        <item x="218"/>
        <item x="221"/>
        <item x="224"/>
        <item x="225"/>
        <item x="227"/>
        <item x="228"/>
        <item x="229"/>
        <item x="230"/>
        <item x="231"/>
        <item x="232"/>
        <item x="234"/>
        <item x="235"/>
        <item x="237"/>
        <item x="244"/>
        <item x="245"/>
        <item x="253"/>
        <item x="254"/>
        <item x="255"/>
        <item x="256"/>
        <item x="257"/>
        <item x="258"/>
        <item x="269"/>
        <item x="271"/>
        <item x="272"/>
        <item x="273"/>
        <item x="275"/>
        <item x="277"/>
        <item x="279"/>
        <item x="280"/>
        <item x="285"/>
        <item x="292"/>
        <item x="296"/>
        <item x="297"/>
        <item x="298"/>
        <item x="308"/>
        <item x="322"/>
        <item x="323"/>
        <item x="324"/>
        <item x="325"/>
        <item x="333"/>
        <item x="334"/>
        <item x="336"/>
        <item x="337"/>
        <item x="338"/>
        <item x="343"/>
        <item x="344"/>
        <item x="346"/>
        <item x="347"/>
        <item x="350"/>
        <item x="351"/>
        <item x="352"/>
        <item x="354"/>
        <item x="355"/>
        <item x="356"/>
        <item x="357"/>
        <item x="358"/>
        <item x="359"/>
        <item x="360"/>
        <item x="361"/>
        <item x="362"/>
        <item x="364"/>
        <item x="365"/>
        <item x="368"/>
        <item x="377"/>
        <item x="382"/>
        <item x="396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t="default"/>
      </items>
    </pivotField>
    <pivotField compact="0" showAll="0"/>
    <pivotField axis="axisRow" compact="0" showAll="0">
      <items count="9">
        <item x="2"/>
        <item x="1"/>
        <item x="6"/>
        <item x="4"/>
        <item x="5"/>
        <item x="3"/>
        <item x="0"/>
        <item x="7"/>
        <item t="default"/>
      </items>
    </pivotField>
    <pivotField dataField="1" compact="0" showAll="0">
      <items count="9">
        <item x="6"/>
        <item x="5"/>
        <item x="4"/>
        <item x="3"/>
        <item x="2"/>
        <item x="1"/>
        <item x="0"/>
        <item x="7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Col" compact="0" showAll="0">
      <items count="6">
        <item x="0"/>
        <item x="2"/>
        <item x="1"/>
        <item x="3"/>
        <item h="1" x="4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8"/>
  </colFields>
  <colItems count="5">
    <i>
      <x/>
    </i>
    <i>
      <x v="1"/>
    </i>
    <i>
      <x v="2"/>
    </i>
    <i>
      <x v="3"/>
    </i>
    <i t="grand">
      <x/>
    </i>
  </colItems>
  <dataFields count="1">
    <dataField name="Contagem de AGING INCLUSÃO" fld="6" subtotal="count" baseField="0" baseItem="0"/>
  </dataFields>
  <formats count="178">
    <format dxfId="768">
      <pivotArea outline="0" collapsedLevelsAreSubtotals="1" fieldPosition="0"/>
    </format>
    <format dxfId="767">
      <pivotArea dataOnly="0" labelOnly="1" grandCol="1" outline="0" fieldPosition="0"/>
    </format>
    <format dxfId="766">
      <pivotArea type="all" dataOnly="0" outline="0" fieldPosition="0"/>
    </format>
    <format dxfId="765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764">
      <pivotArea dataOnly="0" labelOnly="1" grandCol="1" outline="0" fieldPosition="0"/>
    </format>
    <format dxfId="763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762">
      <pivotArea dataOnly="0" labelOnly="1" grandCol="1" outline="0" fieldPosition="0"/>
    </format>
    <format dxfId="761">
      <pivotArea type="origin" dataOnly="0" labelOnly="1" outline="0" fieldPosition="0"/>
    </format>
    <format dxfId="760">
      <pivotArea field="18" type="button" dataOnly="0" labelOnly="1" outline="0" axis="axisCol" fieldPosition="0"/>
    </format>
    <format dxfId="759">
      <pivotArea type="all" dataOnly="0" outline="0" fieldPosition="0"/>
    </format>
    <format dxfId="758">
      <pivotArea outline="0" collapsedLevelsAreSubtotals="1" fieldPosition="0"/>
    </format>
    <format dxfId="757">
      <pivotArea type="origin" dataOnly="0" labelOnly="1" outline="0" fieldPosition="0"/>
    </format>
    <format dxfId="756">
      <pivotArea field="18" type="button" dataOnly="0" labelOnly="1" outline="0" axis="axisCol" fieldPosition="0"/>
    </format>
    <format dxfId="755">
      <pivotArea type="topRight" dataOnly="0" labelOnly="1" outline="0" fieldPosition="0"/>
    </format>
    <format dxfId="754">
      <pivotArea dataOnly="0" labelOnly="1" grandRow="1" outline="0" fieldPosition="0"/>
    </format>
    <format dxfId="753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752">
      <pivotArea dataOnly="0" labelOnly="1" grandCol="1" outline="0" fieldPosition="0"/>
    </format>
    <format dxfId="751">
      <pivotArea type="all" dataOnly="0" outline="0" fieldPosition="0"/>
    </format>
    <format dxfId="750">
      <pivotArea outline="0" collapsedLevelsAreSubtotals="1" fieldPosition="0"/>
    </format>
    <format dxfId="749">
      <pivotArea type="origin" dataOnly="0" labelOnly="1" outline="0" fieldPosition="0"/>
    </format>
    <format dxfId="748">
      <pivotArea field="18" type="button" dataOnly="0" labelOnly="1" outline="0" axis="axisCol" fieldPosition="0"/>
    </format>
    <format dxfId="747">
      <pivotArea type="topRight" dataOnly="0" labelOnly="1" outline="0" fieldPosition="0"/>
    </format>
    <format dxfId="746">
      <pivotArea dataOnly="0" labelOnly="1" grandRow="1" outline="0" fieldPosition="0"/>
    </format>
    <format dxfId="745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744">
      <pivotArea dataOnly="0" labelOnly="1" grandCol="1" outline="0" fieldPosition="0"/>
    </format>
    <format dxfId="743">
      <pivotArea type="all" dataOnly="0" outline="0" fieldPosition="0"/>
    </format>
    <format dxfId="742">
      <pivotArea outline="0" collapsedLevelsAreSubtotals="1" fieldPosition="0"/>
    </format>
    <format dxfId="741">
      <pivotArea type="origin" dataOnly="0" labelOnly="1" outline="0" fieldPosition="0"/>
    </format>
    <format dxfId="740">
      <pivotArea field="18" type="button" dataOnly="0" labelOnly="1" outline="0" axis="axisCol" fieldPosition="0"/>
    </format>
    <format dxfId="739">
      <pivotArea type="topRight" dataOnly="0" labelOnly="1" outline="0" fieldPosition="0"/>
    </format>
    <format dxfId="738">
      <pivotArea dataOnly="0" labelOnly="1" grandRow="1" outline="0" fieldPosition="0"/>
    </format>
    <format dxfId="737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736">
      <pivotArea dataOnly="0" labelOnly="1" grandCol="1" outline="0" fieldPosition="0"/>
    </format>
    <format dxfId="735">
      <pivotArea type="all" dataOnly="0" outline="0" fieldPosition="0"/>
    </format>
    <format dxfId="734">
      <pivotArea outline="0" collapsedLevelsAreSubtotals="1" fieldPosition="0"/>
    </format>
    <format dxfId="733">
      <pivotArea type="origin" dataOnly="0" labelOnly="1" outline="0" fieldPosition="0"/>
    </format>
    <format dxfId="732">
      <pivotArea field="18" type="button" dataOnly="0" labelOnly="1" outline="0" axis="axisCol" fieldPosition="0"/>
    </format>
    <format dxfId="731">
      <pivotArea type="topRight" dataOnly="0" labelOnly="1" outline="0" fieldPosition="0"/>
    </format>
    <format dxfId="730">
      <pivotArea dataOnly="0" labelOnly="1" grandRow="1" outline="0" fieldPosition="0"/>
    </format>
    <format dxfId="729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728">
      <pivotArea dataOnly="0" labelOnly="1" grandCol="1" outline="0" fieldPosition="0"/>
    </format>
    <format dxfId="727">
      <pivotArea type="all" dataOnly="0" outline="0" fieldPosition="0"/>
    </format>
    <format dxfId="726">
      <pivotArea outline="0" collapsedLevelsAreSubtotals="1" fieldPosition="0"/>
    </format>
    <format dxfId="725">
      <pivotArea type="origin" dataOnly="0" labelOnly="1" outline="0" fieldPosition="0"/>
    </format>
    <format dxfId="724">
      <pivotArea dataOnly="0" labelOnly="1" grandRow="1" outline="0" fieldPosition="0"/>
    </format>
    <format dxfId="723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722">
      <pivotArea dataOnly="0" labelOnly="1" grandCol="1" outline="0" fieldPosition="0"/>
    </format>
    <format dxfId="721">
      <pivotArea outline="0" collapsedLevelsAreSubtotals="1" fieldPosition="0"/>
    </format>
    <format dxfId="720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719">
      <pivotArea dataOnly="0" labelOnly="1" grandCol="1" outline="0" fieldPosition="0"/>
    </format>
    <format dxfId="718">
      <pivotArea type="origin" dataOnly="0" labelOnly="1" outline="0" fieldPosition="0"/>
    </format>
    <format dxfId="717">
      <pivotArea dataOnly="0" labelOnly="1" grandRow="1" outline="0" fieldPosition="0"/>
    </format>
    <format dxfId="716">
      <pivotArea outline="0" collapsedLevelsAreSubtotals="1" fieldPosition="0"/>
    </format>
    <format dxfId="715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714">
      <pivotArea dataOnly="0" labelOnly="1" grandCol="1" outline="0" fieldPosition="0"/>
    </format>
    <format dxfId="713">
      <pivotArea type="all" dataOnly="0" outline="0" fieldPosition="0"/>
    </format>
    <format dxfId="712">
      <pivotArea outline="0" collapsedLevelsAreSubtotals="1" fieldPosition="0"/>
    </format>
    <format dxfId="711">
      <pivotArea type="origin" dataOnly="0" labelOnly="1" outline="0" fieldPosition="0"/>
    </format>
    <format dxfId="710">
      <pivotArea field="18" type="button" dataOnly="0" labelOnly="1" outline="0" axis="axisCol" fieldPosition="0"/>
    </format>
    <format dxfId="709">
      <pivotArea type="topRight" dataOnly="0" labelOnly="1" outline="0" fieldPosition="0"/>
    </format>
    <format dxfId="708">
      <pivotArea dataOnly="0" labelOnly="1" grandRow="1" outline="0" fieldPosition="0"/>
    </format>
    <format dxfId="707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706">
      <pivotArea dataOnly="0" labelOnly="1" grandCol="1" outline="0" fieldPosition="0"/>
    </format>
    <format>
      <pivotArea type="all" dataOnly="0" outline="0" fieldPosition="0"/>
    </format>
    <format dxfId="705">
      <pivotArea type="origin" dataOnly="0" labelOnly="1" outline="0" fieldPosition="0"/>
    </format>
    <format dxfId="704">
      <pivotArea field="18" type="button" dataOnly="0" labelOnly="1" outline="0" axis="axisCol" fieldPosition="0"/>
    </format>
    <format dxfId="703">
      <pivotArea type="all" dataOnly="0" outline="0" fieldPosition="0"/>
    </format>
    <format dxfId="702">
      <pivotArea outline="0" collapsedLevelsAreSubtotals="1" fieldPosition="0"/>
    </format>
    <format dxfId="701">
      <pivotArea field="18" type="button" dataOnly="0" labelOnly="1" outline="0" axis="axisCol" fieldPosition="0"/>
    </format>
    <format dxfId="700">
      <pivotArea type="topRight" dataOnly="0" labelOnly="1" outline="0" fieldPosition="0"/>
    </format>
    <format dxfId="699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698">
      <pivotArea dataOnly="0" labelOnly="1" grandCol="1" outline="0" fieldPosition="0"/>
    </format>
    <format dxfId="697">
      <pivotArea type="origin" dataOnly="0" labelOnly="1" outline="0" fieldPosition="0"/>
    </format>
    <format dxfId="696">
      <pivotArea dataOnly="0" labelOnly="1" grandRow="1" outline="0" fieldPosition="0"/>
    </format>
    <format dxfId="695">
      <pivotArea type="all" dataOnly="0" outline="0" fieldPosition="0"/>
    </format>
    <format dxfId="694">
      <pivotArea outline="0" collapsedLevelsAreSubtotals="1" fieldPosition="0"/>
    </format>
    <format dxfId="693">
      <pivotArea type="origin" dataOnly="0" labelOnly="1" outline="0" fieldPosition="0"/>
    </format>
    <format dxfId="692">
      <pivotArea field="18" type="button" dataOnly="0" labelOnly="1" outline="0" axis="axisCol" fieldPosition="0"/>
    </format>
    <format dxfId="691">
      <pivotArea type="topRight" dataOnly="0" labelOnly="1" outline="0" fieldPosition="0"/>
    </format>
    <format dxfId="690">
      <pivotArea dataOnly="0" labelOnly="1" grandRow="1" outline="0" fieldPosition="0"/>
    </format>
    <format dxfId="689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688">
      <pivotArea dataOnly="0" labelOnly="1" grandCol="1" outline="0" fieldPosition="0"/>
    </format>
    <format dxfId="687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 dxfId="686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 dxfId="685">
      <pivotArea field="6" type="button" dataOnly="0" labelOnly="1" outline="0"/>
    </format>
    <format dxfId="684">
      <pivotArea fieldPosition="0">
        <references count="1">
          <reference field="5" count="2">
            <x v="5"/>
            <x v="6"/>
          </reference>
        </references>
      </pivotArea>
    </format>
    <format dxfId="683">
      <pivotArea dataOnly="0" labelOnly="1" outline="0" fieldPosition="0">
        <references count="1">
          <reference field="5" count="2">
            <x v="5"/>
            <x v="6"/>
          </reference>
        </references>
      </pivotArea>
    </format>
    <format dxfId="682">
      <pivotArea dataOnly="0" labelOnly="1" outline="0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681">
      <pivotArea fieldPosition="0">
        <references count="1">
          <reference field="5" count="1">
            <x v="4"/>
          </reference>
        </references>
      </pivotArea>
    </format>
    <format dxfId="680">
      <pivotArea dataOnly="0" labelOnly="1" outline="0" fieldPosition="0">
        <references count="1">
          <reference field="5" count="1">
            <x v="4"/>
          </reference>
        </references>
      </pivotArea>
    </format>
    <format>
      <pivotArea type="all" dataOnly="0" outline="0" fieldPosition="0"/>
    </format>
    <format dxfId="679">
      <pivotArea type="origin" dataOnly="0" labelOnly="1" outline="0" fieldPosition="0"/>
    </format>
    <format dxfId="678">
      <pivotArea field="5" type="button" dataOnly="0" labelOnly="1" outline="0" axis="axisRow" fieldPosition="0"/>
    </format>
    <format dxfId="677">
      <pivotArea dataOnly="0" labelOnly="1" outline="0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676">
      <pivotArea dataOnly="0" labelOnly="1" grandRow="1" outline="0" fieldPosition="0"/>
    </format>
    <format dxfId="675">
      <pivotArea type="origin" dataOnly="0" labelOnly="1" outline="0" fieldPosition="0"/>
    </format>
    <format dxfId="674">
      <pivotArea field="18" type="button" dataOnly="0" labelOnly="1" outline="0" axis="axisCol" fieldPosition="0"/>
    </format>
    <format dxfId="673">
      <pivotArea type="topRight" dataOnly="0" labelOnly="1" outline="0" fieldPosition="0"/>
    </format>
    <format dxfId="672">
      <pivotArea type="origin" dataOnly="0" labelOnly="1" outline="0" fieldPosition="0"/>
    </format>
    <format dxfId="671">
      <pivotArea field="18" type="button" dataOnly="0" labelOnly="1" outline="0" axis="axisCol" fieldPosition="0"/>
    </format>
    <format dxfId="670">
      <pivotArea type="topRight" dataOnly="0" labelOnly="1" outline="0" fieldPosition="0"/>
    </format>
    <format dxfId="669">
      <pivotArea type="origin" dataOnly="0" labelOnly="1" outline="0" fieldPosition="0"/>
    </format>
    <format dxfId="668">
      <pivotArea field="18" type="button" dataOnly="0" labelOnly="1" outline="0" axis="axisCol" fieldPosition="0"/>
    </format>
    <format dxfId="667">
      <pivotArea type="topRight" dataOnly="0" labelOnly="1" outline="0" fieldPosition="0"/>
    </format>
    <format dxfId="666">
      <pivotArea field="5" type="button" dataOnly="0" labelOnly="1" outline="0" axis="axisRow" fieldPosition="0"/>
    </format>
    <format dxfId="665">
      <pivotArea dataOnly="0" labelOnly="1" outline="0" fieldPosition="0">
        <references count="1">
          <reference field="18" count="0"/>
        </references>
      </pivotArea>
    </format>
    <format dxfId="664">
      <pivotArea dataOnly="0" labelOnly="1" grandCol="1" outline="0" fieldPosition="0"/>
    </format>
    <format dxfId="663">
      <pivotArea field="5" type="button" dataOnly="0" labelOnly="1" outline="0" axis="axisRow" fieldPosition="0"/>
    </format>
    <format dxfId="662">
      <pivotArea dataOnly="0" labelOnly="1" outline="0" fieldPosition="0">
        <references count="1">
          <reference field="18" count="0"/>
        </references>
      </pivotArea>
    </format>
    <format dxfId="661">
      <pivotArea dataOnly="0" labelOnly="1" grandCol="1" outline="0" fieldPosition="0"/>
    </format>
    <format dxfId="660">
      <pivotArea fieldPosition="0">
        <references count="1">
          <reference field="5" count="1">
            <x v="0"/>
          </reference>
        </references>
      </pivotArea>
    </format>
    <format dxfId="659">
      <pivotArea dataOnly="0" labelOnly="1" outline="0" fieldPosition="0">
        <references count="1">
          <reference field="5" count="1">
            <x v="0"/>
          </reference>
        </references>
      </pivotArea>
    </format>
    <format dxfId="658">
      <pivotArea fieldPosition="0">
        <references count="1">
          <reference field="5" count="1">
            <x v="0"/>
          </reference>
        </references>
      </pivotArea>
    </format>
    <format dxfId="657">
      <pivotArea dataOnly="0" labelOnly="1" outline="0" fieldPosition="0">
        <references count="1">
          <reference field="5" count="1">
            <x v="0"/>
          </reference>
        </references>
      </pivotArea>
    </format>
    <format dxfId="656">
      <pivotArea fieldPosition="0">
        <references count="1">
          <reference field="5" count="1">
            <x v="1"/>
          </reference>
        </references>
      </pivotArea>
    </format>
    <format dxfId="655">
      <pivotArea dataOnly="0" labelOnly="1" outline="0" fieldPosition="0">
        <references count="1">
          <reference field="5" count="1">
            <x v="1"/>
          </reference>
        </references>
      </pivotArea>
    </format>
    <format dxfId="654">
      <pivotArea fieldPosition="0">
        <references count="1">
          <reference field="5" count="1">
            <x v="1"/>
          </reference>
        </references>
      </pivotArea>
    </format>
    <format dxfId="653">
      <pivotArea dataOnly="0" labelOnly="1" outline="0" fieldPosition="0">
        <references count="1">
          <reference field="5" count="1">
            <x v="1"/>
          </reference>
        </references>
      </pivotArea>
    </format>
    <format dxfId="652">
      <pivotArea fieldPosition="0">
        <references count="1">
          <reference field="5" count="1">
            <x v="2"/>
          </reference>
        </references>
      </pivotArea>
    </format>
    <format dxfId="651">
      <pivotArea dataOnly="0" labelOnly="1" outline="0" fieldPosition="0">
        <references count="1">
          <reference field="5" count="1">
            <x v="2"/>
          </reference>
        </references>
      </pivotArea>
    </format>
    <format dxfId="650">
      <pivotArea fieldPosition="0">
        <references count="1">
          <reference field="5" count="1">
            <x v="2"/>
          </reference>
        </references>
      </pivotArea>
    </format>
    <format dxfId="649">
      <pivotArea dataOnly="0" labelOnly="1" outline="0" fieldPosition="0">
        <references count="1">
          <reference field="5" count="1">
            <x v="2"/>
          </reference>
        </references>
      </pivotArea>
    </format>
    <format dxfId="648">
      <pivotArea fieldPosition="0">
        <references count="1">
          <reference field="5" count="1">
            <x v="3"/>
          </reference>
        </references>
      </pivotArea>
    </format>
    <format dxfId="647">
      <pivotArea dataOnly="0" labelOnly="1" outline="0" fieldPosition="0">
        <references count="1">
          <reference field="5" count="1">
            <x v="3"/>
          </reference>
        </references>
      </pivotArea>
    </format>
    <format dxfId="646">
      <pivotArea fieldPosition="0">
        <references count="1">
          <reference field="5" count="1">
            <x v="3"/>
          </reference>
        </references>
      </pivotArea>
    </format>
    <format dxfId="645">
      <pivotArea dataOnly="0" labelOnly="1" outline="0" fieldPosition="0">
        <references count="1">
          <reference field="5" count="1">
            <x v="3"/>
          </reference>
        </references>
      </pivotArea>
    </format>
    <format dxfId="644">
      <pivotArea fieldPosition="0">
        <references count="1">
          <reference field="5" count="1">
            <x v="4"/>
          </reference>
        </references>
      </pivotArea>
    </format>
    <format dxfId="643">
      <pivotArea dataOnly="0" labelOnly="1" outline="0" fieldPosition="0">
        <references count="1">
          <reference field="5" count="1">
            <x v="4"/>
          </reference>
        </references>
      </pivotArea>
    </format>
    <format dxfId="642">
      <pivotArea fieldPosition="0">
        <references count="1">
          <reference field="5" count="1">
            <x v="4"/>
          </reference>
        </references>
      </pivotArea>
    </format>
    <format dxfId="641">
      <pivotArea dataOnly="0" labelOnly="1" outline="0" fieldPosition="0">
        <references count="1">
          <reference field="5" count="1">
            <x v="4"/>
          </reference>
        </references>
      </pivotArea>
    </format>
    <format dxfId="640">
      <pivotArea fieldPosition="0">
        <references count="1">
          <reference field="5" count="1">
            <x v="5"/>
          </reference>
        </references>
      </pivotArea>
    </format>
    <format dxfId="639">
      <pivotArea dataOnly="0" labelOnly="1" outline="0" fieldPosition="0">
        <references count="1">
          <reference field="5" count="1">
            <x v="5"/>
          </reference>
        </references>
      </pivotArea>
    </format>
    <format dxfId="638">
      <pivotArea fieldPosition="0">
        <references count="1">
          <reference field="5" count="1">
            <x v="5"/>
          </reference>
        </references>
      </pivotArea>
    </format>
    <format dxfId="637">
      <pivotArea dataOnly="0" labelOnly="1" outline="0" fieldPosition="0">
        <references count="1">
          <reference field="5" count="1">
            <x v="5"/>
          </reference>
        </references>
      </pivotArea>
    </format>
    <format dxfId="636">
      <pivotArea fieldPosition="0">
        <references count="1">
          <reference field="5" count="1">
            <x v="6"/>
          </reference>
        </references>
      </pivotArea>
    </format>
    <format dxfId="635">
      <pivotArea dataOnly="0" labelOnly="1" outline="0" fieldPosition="0">
        <references count="1">
          <reference field="5" count="1">
            <x v="6"/>
          </reference>
        </references>
      </pivotArea>
    </format>
    <format dxfId="634">
      <pivotArea fieldPosition="0">
        <references count="1">
          <reference field="5" count="1">
            <x v="6"/>
          </reference>
        </references>
      </pivotArea>
    </format>
    <format dxfId="633">
      <pivotArea dataOnly="0" labelOnly="1" outline="0" fieldPosition="0">
        <references count="1">
          <reference field="5" count="1">
            <x v="6"/>
          </reference>
        </references>
      </pivotArea>
    </format>
    <format dxfId="632">
      <pivotArea grandRow="1" outline="0" collapsedLevelsAreSubtotals="1" fieldPosition="0"/>
    </format>
    <format dxfId="631">
      <pivotArea dataOnly="0" labelOnly="1" grandRow="1" outline="0" fieldPosition="0"/>
    </format>
    <format dxfId="630">
      <pivotArea grandRow="1" outline="0" collapsedLevelsAreSubtotals="1" fieldPosition="0"/>
    </format>
    <format dxfId="629">
      <pivotArea dataOnly="0" labelOnly="1" grandRow="1" outline="0" fieldPosition="0"/>
    </format>
    <format dxfId="628">
      <pivotArea grandRow="1" outline="0" collapsedLevelsAreSubtotals="1" fieldPosition="0"/>
    </format>
    <format dxfId="627">
      <pivotArea dataOnly="0" labelOnly="1" grandRow="1" outline="0" fieldPosition="0"/>
    </format>
    <format>
      <pivotArea type="all" dataOnly="0" outline="0" fieldPosition="0"/>
    </format>
    <format>
      <pivotArea type="origin" dataOnly="0" labelOnly="1" outline="0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grandRow="1" outline="0" fieldPosition="0"/>
    </format>
    <format dxfId="626">
      <pivotArea type="origin" dataOnly="0" labelOnly="1" outline="0" fieldPosition="0"/>
    </format>
    <format dxfId="625">
      <pivotArea field="18" type="button" dataOnly="0" labelOnly="1" outline="0" axis="axisCol" fieldPosition="0"/>
    </format>
    <format dxfId="624">
      <pivotArea type="topRight" dataOnly="0" labelOnly="1" outline="0" fieldPosition="0"/>
    </format>
    <format dxfId="623">
      <pivotArea type="origin" dataOnly="0" labelOnly="1" outline="0" fieldPosition="0"/>
    </format>
    <format dxfId="622">
      <pivotArea field="18" type="button" dataOnly="0" labelOnly="1" outline="0" axis="axisCol" fieldPosition="0"/>
    </format>
    <format dxfId="621">
      <pivotArea type="topRight" dataOnly="0" labelOnly="1" outline="0" fieldPosition="0"/>
    </format>
    <format dxfId="620">
      <pivotArea type="origin" dataOnly="0" labelOnly="1" outline="0" fieldPosition="0"/>
    </format>
    <format dxfId="619">
      <pivotArea field="18" type="button" dataOnly="0" labelOnly="1" outline="0" axis="axisCol" fieldPosition="0"/>
    </format>
    <format dxfId="618">
      <pivotArea type="topRight" dataOnly="0" labelOnly="1" outline="0" fieldPosition="0"/>
    </format>
    <format dxfId="617">
      <pivotArea grandRow="1" outline="0" collapsedLevelsAreSubtotals="1" fieldPosition="0"/>
    </format>
    <format dxfId="616">
      <pivotArea dataOnly="0" labelOnly="1" grandRow="1" outline="0" fieldPosition="0"/>
    </format>
    <format dxfId="615">
      <pivotArea grandRow="1" outline="0" collapsedLevelsAreSubtotals="1" fieldPosition="0"/>
    </format>
    <format dxfId="614">
      <pivotArea dataOnly="0" labelOnly="1" grandRow="1" outline="0" fieldPosition="0"/>
    </format>
    <format dxfId="613">
      <pivotArea grandRow="1" outline="0" collapsedLevelsAreSubtotals="1" fieldPosition="0"/>
    </format>
    <format dxfId="612">
      <pivotArea dataOnly="0" labelOnly="1" grandRow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type="origin" dataOnly="0" labelOnly="1" outline="0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field="5" type="button" dataOnly="0" labelOnly="1" outline="0" axis="axisRow" fieldPosition="0"/>
    </format>
    <format>
      <pivotArea dataOnly="0" labelOnly="1" outline="0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>
      <pivotArea dataOnly="0" labelOnly="1" grandRow="1" outline="0" fieldPosition="0"/>
    </format>
    <format>
      <pivotArea dataOnly="0" labelOnly="1" outline="0" fieldPosition="0">
        <references count="1">
          <reference field="18" count="0"/>
        </references>
      </pivotArea>
    </format>
    <format>
      <pivotArea dataOnly="0" labelOnly="1" grandCol="1" outline="0" fieldPosition="0"/>
    </format>
  </format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</chart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8000000}" name="Tarifa_Data_Inclusao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S122:T128" firstHeaderRow="1" firstDataRow="1" firstDataCol="1" rowPageCount="1" colPageCount="1"/>
  <pivotFields count="48">
    <pivotField showAll="0"/>
    <pivotField showAll="0"/>
    <pivotField showAll="0"/>
    <pivotField axis="axisRow" showAll="0">
      <items count="516">
        <item x="514"/>
        <item x="0"/>
        <item x="1"/>
        <item x="2"/>
        <item x="3"/>
        <item x="4"/>
        <item x="5"/>
        <item x="8"/>
        <item x="9"/>
        <item x="6"/>
        <item x="21"/>
        <item x="12"/>
        <item x="10"/>
        <item x="7"/>
        <item x="15"/>
        <item x="16"/>
        <item x="13"/>
        <item x="37"/>
        <item x="14"/>
        <item x="17"/>
        <item x="11"/>
        <item x="32"/>
        <item x="26"/>
        <item x="27"/>
        <item x="36"/>
        <item x="33"/>
        <item x="18"/>
        <item x="20"/>
        <item x="19"/>
        <item x="47"/>
        <item x="38"/>
        <item x="48"/>
        <item x="45"/>
        <item x="28"/>
        <item x="41"/>
        <item x="46"/>
        <item x="25"/>
        <item x="34"/>
        <item x="22"/>
        <item x="23"/>
        <item x="24"/>
        <item x="39"/>
        <item x="43"/>
        <item x="64"/>
        <item x="77"/>
        <item x="79"/>
        <item x="40"/>
        <item x="42"/>
        <item x="84"/>
        <item x="83"/>
        <item x="35"/>
        <item x="91"/>
        <item x="52"/>
        <item x="73"/>
        <item x="76"/>
        <item x="74"/>
        <item x="78"/>
        <item x="87"/>
        <item x="51"/>
        <item x="54"/>
        <item x="57"/>
        <item x="58"/>
        <item x="90"/>
        <item x="55"/>
        <item x="59"/>
        <item x="60"/>
        <item x="61"/>
        <item x="82"/>
        <item x="100"/>
        <item x="63"/>
        <item x="67"/>
        <item x="68"/>
        <item x="69"/>
        <item x="81"/>
        <item x="88"/>
        <item x="97"/>
        <item x="75"/>
        <item x="96"/>
        <item x="102"/>
        <item x="49"/>
        <item x="53"/>
        <item x="66"/>
        <item x="71"/>
        <item x="80"/>
        <item x="85"/>
        <item x="92"/>
        <item x="93"/>
        <item x="95"/>
        <item x="98"/>
        <item x="99"/>
        <item x="50"/>
        <item x="62"/>
        <item x="72"/>
        <item x="70"/>
        <item x="86"/>
        <item x="107"/>
        <item x="101"/>
        <item x="56"/>
        <item x="181"/>
        <item x="180"/>
        <item x="189"/>
        <item x="89"/>
        <item x="206"/>
        <item x="103"/>
        <item x="105"/>
        <item x="104"/>
        <item x="109"/>
        <item x="108"/>
        <item x="110"/>
        <item x="120"/>
        <item x="121"/>
        <item x="122"/>
        <item x="129"/>
        <item x="127"/>
        <item x="128"/>
        <item x="147"/>
        <item x="167"/>
        <item x="191"/>
        <item x="204"/>
        <item x="205"/>
        <item x="208"/>
        <item x="44"/>
        <item x="65"/>
        <item x="115"/>
        <item x="126"/>
        <item x="112"/>
        <item x="175"/>
        <item x="196"/>
        <item x="195"/>
        <item x="207"/>
        <item x="111"/>
        <item x="162"/>
        <item x="163"/>
        <item x="164"/>
        <item x="165"/>
        <item x="198"/>
        <item x="209"/>
        <item x="193"/>
        <item x="113"/>
        <item x="114"/>
        <item x="130"/>
        <item x="131"/>
        <item x="148"/>
        <item x="160"/>
        <item x="143"/>
        <item x="144"/>
        <item x="159"/>
        <item x="125"/>
        <item x="166"/>
        <item x="161"/>
        <item x="171"/>
        <item x="170"/>
        <item x="173"/>
        <item x="182"/>
        <item x="184"/>
        <item x="185"/>
        <item x="186"/>
        <item x="187"/>
        <item x="123"/>
        <item x="137"/>
        <item x="117"/>
        <item x="106"/>
        <item x="116"/>
        <item x="119"/>
        <item x="124"/>
        <item x="145"/>
        <item x="146"/>
        <item x="158"/>
        <item x="157"/>
        <item x="138"/>
        <item x="139"/>
        <item x="140"/>
        <item x="141"/>
        <item x="142"/>
        <item x="133"/>
        <item x="134"/>
        <item x="135"/>
        <item x="136"/>
        <item x="132"/>
        <item x="151"/>
        <item x="149"/>
        <item x="150"/>
        <item x="169"/>
        <item x="168"/>
        <item x="172"/>
        <item x="174"/>
        <item x="178"/>
        <item x="179"/>
        <item x="188"/>
        <item x="194"/>
        <item x="201"/>
        <item x="202"/>
        <item x="199"/>
        <item x="200"/>
        <item x="197"/>
        <item x="210"/>
        <item x="211"/>
        <item x="190"/>
        <item x="226"/>
        <item x="233"/>
        <item x="118"/>
        <item x="250"/>
        <item x="260"/>
        <item x="152"/>
        <item x="153"/>
        <item x="154"/>
        <item x="155"/>
        <item x="156"/>
        <item x="183"/>
        <item x="374"/>
        <item x="390"/>
        <item x="388"/>
        <item x="278"/>
        <item x="284"/>
        <item x="286"/>
        <item x="290"/>
        <item x="291"/>
        <item x="263"/>
        <item x="274"/>
        <item x="315"/>
        <item x="316"/>
        <item x="363"/>
        <item x="372"/>
        <item x="176"/>
        <item x="177"/>
        <item x="213"/>
        <item x="385"/>
        <item x="243"/>
        <item x="399"/>
        <item x="400"/>
        <item x="293"/>
        <item x="294"/>
        <item x="299"/>
        <item x="304"/>
        <item x="311"/>
        <item x="317"/>
        <item x="318"/>
        <item x="331"/>
        <item x="330"/>
        <item x="192"/>
        <item x="380"/>
        <item x="386"/>
        <item x="393"/>
        <item x="401"/>
        <item x="398"/>
        <item x="222"/>
        <item x="262"/>
        <item x="268"/>
        <item x="289"/>
        <item x="303"/>
        <item x="309"/>
        <item x="345"/>
        <item x="212"/>
        <item x="220"/>
        <item x="223"/>
        <item x="373"/>
        <item x="241"/>
        <item x="242"/>
        <item x="261"/>
        <item x="247"/>
        <item x="264"/>
        <item x="265"/>
        <item x="267"/>
        <item x="246"/>
        <item x="270"/>
        <item x="283"/>
        <item x="287"/>
        <item x="302"/>
        <item x="307"/>
        <item x="312"/>
        <item x="310"/>
        <item x="319"/>
        <item x="320"/>
        <item x="321"/>
        <item x="335"/>
        <item x="328"/>
        <item x="329"/>
        <item x="332"/>
        <item x="327"/>
        <item x="349"/>
        <item x="366"/>
        <item x="371"/>
        <item x="381"/>
        <item x="387"/>
        <item x="391"/>
        <item x="392"/>
        <item x="394"/>
        <item x="395"/>
        <item x="29"/>
        <item x="30"/>
        <item x="31"/>
        <item x="94"/>
        <item x="383"/>
        <item x="259"/>
        <item x="266"/>
        <item x="276"/>
        <item x="281"/>
        <item x="288"/>
        <item x="301"/>
        <item x="305"/>
        <item x="314"/>
        <item x="313"/>
        <item x="326"/>
        <item x="353"/>
        <item x="348"/>
        <item x="375"/>
        <item x="376"/>
        <item x="378"/>
        <item x="379"/>
        <item x="203"/>
        <item x="402"/>
        <item x="215"/>
        <item x="219"/>
        <item x="248"/>
        <item x="249"/>
        <item x="239"/>
        <item x="240"/>
        <item x="238"/>
        <item x="251"/>
        <item x="252"/>
        <item x="369"/>
        <item x="370"/>
        <item x="282"/>
        <item x="295"/>
        <item x="236"/>
        <item x="306"/>
        <item x="300"/>
        <item x="342"/>
        <item x="340"/>
        <item x="339"/>
        <item x="341"/>
        <item x="367"/>
        <item x="384"/>
        <item x="389"/>
        <item x="397"/>
        <item x="214"/>
        <item x="216"/>
        <item x="217"/>
        <item x="218"/>
        <item x="221"/>
        <item x="224"/>
        <item x="225"/>
        <item x="227"/>
        <item x="228"/>
        <item x="229"/>
        <item x="230"/>
        <item x="231"/>
        <item x="232"/>
        <item x="234"/>
        <item x="235"/>
        <item x="237"/>
        <item x="244"/>
        <item x="245"/>
        <item x="253"/>
        <item x="254"/>
        <item x="255"/>
        <item x="256"/>
        <item x="257"/>
        <item x="258"/>
        <item x="269"/>
        <item x="271"/>
        <item x="272"/>
        <item x="273"/>
        <item x="275"/>
        <item x="277"/>
        <item x="279"/>
        <item x="280"/>
        <item x="285"/>
        <item x="292"/>
        <item x="296"/>
        <item x="297"/>
        <item x="298"/>
        <item x="308"/>
        <item x="322"/>
        <item x="323"/>
        <item x="324"/>
        <item x="325"/>
        <item x="333"/>
        <item x="334"/>
        <item x="336"/>
        <item x="337"/>
        <item x="338"/>
        <item x="343"/>
        <item x="344"/>
        <item x="346"/>
        <item x="347"/>
        <item x="350"/>
        <item x="351"/>
        <item x="352"/>
        <item x="354"/>
        <item x="355"/>
        <item x="356"/>
        <item x="357"/>
        <item x="358"/>
        <item x="359"/>
        <item x="360"/>
        <item x="361"/>
        <item x="362"/>
        <item x="364"/>
        <item x="365"/>
        <item x="368"/>
        <item x="377"/>
        <item x="382"/>
        <item x="396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66">
        <item x="464"/>
        <item x="33"/>
        <item x="0"/>
        <item x="4"/>
        <item x="1"/>
        <item x="2"/>
        <item x="10"/>
        <item x="5"/>
        <item x="8"/>
        <item x="9"/>
        <item x="6"/>
        <item x="7"/>
        <item x="21"/>
        <item x="12"/>
        <item x="15"/>
        <item x="13"/>
        <item x="16"/>
        <item x="37"/>
        <item x="14"/>
        <item x="17"/>
        <item x="11"/>
        <item x="32"/>
        <item x="26"/>
        <item x="27"/>
        <item x="36"/>
        <item x="18"/>
        <item x="20"/>
        <item x="19"/>
        <item x="47"/>
        <item x="175"/>
        <item x="45"/>
        <item x="38"/>
        <item x="28"/>
        <item x="195"/>
        <item x="41"/>
        <item x="46"/>
        <item x="25"/>
        <item x="34"/>
        <item x="22"/>
        <item x="23"/>
        <item x="24"/>
        <item x="61"/>
        <item x="39"/>
        <item x="43"/>
        <item x="63"/>
        <item x="76"/>
        <item x="66"/>
        <item x="78"/>
        <item x="40"/>
        <item x="42"/>
        <item x="82"/>
        <item x="77"/>
        <item x="53"/>
        <item x="191"/>
        <item x="35"/>
        <item x="89"/>
        <item x="51"/>
        <item x="72"/>
        <item x="75"/>
        <item x="74"/>
        <item x="85"/>
        <item x="73"/>
        <item x="50"/>
        <item x="56"/>
        <item x="57"/>
        <item x="88"/>
        <item x="54"/>
        <item x="58"/>
        <item x="59"/>
        <item x="60"/>
        <item x="81"/>
        <item x="97"/>
        <item x="62"/>
        <item x="67"/>
        <item x="94"/>
        <item x="68"/>
        <item x="80"/>
        <item x="86"/>
        <item x="93"/>
        <item x="99"/>
        <item x="48"/>
        <item x="52"/>
        <item x="95"/>
        <item x="65"/>
        <item x="70"/>
        <item x="79"/>
        <item x="83"/>
        <item x="90"/>
        <item x="92"/>
        <item x="96"/>
        <item x="69"/>
        <item x="49"/>
        <item x="174"/>
        <item x="71"/>
        <item x="84"/>
        <item x="104"/>
        <item x="98"/>
        <item x="55"/>
        <item x="170"/>
        <item x="178"/>
        <item x="87"/>
        <item x="192"/>
        <item x="100"/>
        <item x="102"/>
        <item x="101"/>
        <item x="106"/>
        <item x="105"/>
        <item x="107"/>
        <item x="117"/>
        <item x="118"/>
        <item x="119"/>
        <item x="125"/>
        <item x="124"/>
        <item x="140"/>
        <item x="160"/>
        <item x="180"/>
        <item x="190"/>
        <item x="194"/>
        <item x="44"/>
        <item x="64"/>
        <item x="112"/>
        <item x="123"/>
        <item x="158"/>
        <item x="109"/>
        <item x="167"/>
        <item x="185"/>
        <item x="184"/>
        <item x="193"/>
        <item x="108"/>
        <item x="176"/>
        <item x="155"/>
        <item x="156"/>
        <item x="157"/>
        <item x="187"/>
        <item x="182"/>
        <item x="110"/>
        <item x="111"/>
        <item x="126"/>
        <item x="127"/>
        <item x="141"/>
        <item x="153"/>
        <item x="137"/>
        <item x="152"/>
        <item x="122"/>
        <item x="159"/>
        <item x="154"/>
        <item x="163"/>
        <item x="165"/>
        <item x="171"/>
        <item x="173"/>
        <item x="120"/>
        <item x="133"/>
        <item x="114"/>
        <item x="103"/>
        <item x="113"/>
        <item x="116"/>
        <item x="121"/>
        <item x="138"/>
        <item x="139"/>
        <item x="151"/>
        <item x="150"/>
        <item x="134"/>
        <item x="135"/>
        <item x="136"/>
        <item x="129"/>
        <item x="130"/>
        <item x="131"/>
        <item x="132"/>
        <item x="128"/>
        <item x="144"/>
        <item x="142"/>
        <item x="143"/>
        <item x="162"/>
        <item x="161"/>
        <item x="164"/>
        <item x="166"/>
        <item x="169"/>
        <item x="177"/>
        <item x="183"/>
        <item x="188"/>
        <item x="186"/>
        <item x="196"/>
        <item x="197"/>
        <item x="179"/>
        <item x="212"/>
        <item x="220"/>
        <item x="115"/>
        <item x="237"/>
        <item x="345"/>
        <item x="247"/>
        <item x="277"/>
        <item x="145"/>
        <item x="146"/>
        <item x="147"/>
        <item x="148"/>
        <item x="149"/>
        <item x="357"/>
        <item x="172"/>
        <item x="346"/>
        <item x="356"/>
        <item x="264"/>
        <item x="270"/>
        <item x="272"/>
        <item x="276"/>
        <item x="250"/>
        <item x="261"/>
        <item x="299"/>
        <item x="300"/>
        <item x="338"/>
        <item x="168"/>
        <item x="199"/>
        <item x="353"/>
        <item x="230"/>
        <item x="249"/>
        <item x="365"/>
        <item x="366"/>
        <item x="278"/>
        <item x="279"/>
        <item x="284"/>
        <item x="288"/>
        <item x="295"/>
        <item x="301"/>
        <item x="311"/>
        <item x="310"/>
        <item x="181"/>
        <item x="349"/>
        <item x="354"/>
        <item x="360"/>
        <item x="364"/>
        <item x="208"/>
        <item x="255"/>
        <item x="275"/>
        <item x="287"/>
        <item x="293"/>
        <item x="323"/>
        <item x="198"/>
        <item x="344"/>
        <item x="206"/>
        <item x="209"/>
        <item x="286"/>
        <item x="228"/>
        <item x="229"/>
        <item x="248"/>
        <item x="234"/>
        <item x="251"/>
        <item x="252"/>
        <item x="254"/>
        <item x="233"/>
        <item x="257"/>
        <item x="269"/>
        <item x="362"/>
        <item x="273"/>
        <item x="368"/>
        <item x="309"/>
        <item x="291"/>
        <item x="296"/>
        <item x="294"/>
        <item x="302"/>
        <item x="303"/>
        <item x="314"/>
        <item x="312"/>
        <item x="308"/>
        <item x="327"/>
        <item x="350"/>
        <item x="355"/>
        <item x="358"/>
        <item x="359"/>
        <item x="361"/>
        <item x="3"/>
        <item x="29"/>
        <item x="30"/>
        <item x="31"/>
        <item x="91"/>
        <item x="352"/>
        <item x="451"/>
        <item x="246"/>
        <item x="253"/>
        <item x="263"/>
        <item x="267"/>
        <item x="235"/>
        <item x="274"/>
        <item x="285"/>
        <item x="289"/>
        <item x="298"/>
        <item x="297"/>
        <item x="307"/>
        <item x="331"/>
        <item x="326"/>
        <item x="347"/>
        <item x="348"/>
        <item x="189"/>
        <item x="367"/>
        <item x="280"/>
        <item x="201"/>
        <item x="205"/>
        <item x="236"/>
        <item x="226"/>
        <item x="227"/>
        <item x="225"/>
        <item x="238"/>
        <item x="239"/>
        <item x="342"/>
        <item x="343"/>
        <item x="268"/>
        <item x="245"/>
        <item x="231"/>
        <item x="223"/>
        <item x="290"/>
        <item x="320"/>
        <item x="319"/>
        <item x="318"/>
        <item x="341"/>
        <item x="304"/>
        <item x="200"/>
        <item x="202"/>
        <item x="203"/>
        <item x="204"/>
        <item x="207"/>
        <item x="210"/>
        <item x="211"/>
        <item x="213"/>
        <item x="214"/>
        <item x="215"/>
        <item x="216"/>
        <item x="217"/>
        <item x="218"/>
        <item x="219"/>
        <item x="221"/>
        <item x="222"/>
        <item x="224"/>
        <item x="232"/>
        <item x="240"/>
        <item x="241"/>
        <item x="242"/>
        <item x="243"/>
        <item x="244"/>
        <item x="256"/>
        <item x="258"/>
        <item x="259"/>
        <item x="260"/>
        <item x="262"/>
        <item x="265"/>
        <item x="266"/>
        <item x="271"/>
        <item x="281"/>
        <item x="282"/>
        <item x="283"/>
        <item x="292"/>
        <item x="305"/>
        <item x="306"/>
        <item x="313"/>
        <item x="315"/>
        <item x="316"/>
        <item x="317"/>
        <item x="321"/>
        <item x="322"/>
        <item x="324"/>
        <item x="325"/>
        <item x="328"/>
        <item x="329"/>
        <item x="330"/>
        <item x="332"/>
        <item x="333"/>
        <item x="334"/>
        <item x="335"/>
        <item x="336"/>
        <item x="337"/>
        <item x="339"/>
        <item x="340"/>
        <item x="351"/>
        <item x="363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8"/>
        <item m="1" x="1886"/>
        <item x="223"/>
        <item x="125"/>
        <item x="132"/>
        <item m="1" x="2907"/>
        <item m="1" x="7986"/>
        <item x="121"/>
        <item m="1" x="2889"/>
        <item x="63"/>
        <item x="61"/>
        <item m="1" x="2778"/>
        <item m="1" x="6535"/>
        <item x="148"/>
        <item m="1" x="565"/>
        <item m="1" x="3504"/>
        <item x="126"/>
        <item m="1" x="493"/>
        <item m="1" x="2084"/>
        <item x="332"/>
        <item m="1" x="909"/>
        <item m="1" x="464"/>
        <item m="1" x="2331"/>
        <item m="1" x="3332"/>
        <item x="239"/>
        <item x="175"/>
        <item x="134"/>
        <item x="182"/>
        <item x="114"/>
        <item m="1" x="3256"/>
        <item m="1" x="6542"/>
        <item m="1" x="2912"/>
        <item x="85"/>
        <item x="447"/>
        <item m="1" x="531"/>
        <item x="259"/>
        <item m="1" x="495"/>
        <item m="1" x="2533"/>
        <item m="1" x="1189"/>
        <item m="1" x="559"/>
        <item m="1" x="2976"/>
        <item m="1" x="4838"/>
        <item x="184"/>
        <item x="359"/>
        <item m="1" x="3007"/>
        <item x="147"/>
        <item m="1" x="3628"/>
        <item m="1" x="3995"/>
        <item m="1" x="1965"/>
        <item m="1" x="4502"/>
        <item m="1" x="902"/>
        <item m="1" x="1042"/>
        <item x="246"/>
        <item m="1" x="468"/>
        <item m="1" x="2906"/>
        <item m="1" x="918"/>
        <item x="56"/>
        <item m="1" x="3389"/>
        <item m="1" x="910"/>
        <item x="444"/>
        <item m="1" x="2569"/>
        <item x="60"/>
        <item h="1" m="1" x="666"/>
        <item h="1" x="390"/>
        <item m="1" x="3860"/>
        <item h="1" x="265"/>
        <item h="1" x="261"/>
        <item h="1" x="146"/>
        <item h="1" m="1" x="1034"/>
        <item h="1" m="1" x="610"/>
        <item h="1" m="1" x="2894"/>
        <item h="1" m="1" x="778"/>
        <item h="1" x="140"/>
        <item h="1" m="1" x="667"/>
        <item h="1" x="342"/>
        <item h="1" m="1" x="897"/>
        <item h="1" m="1" x="1125"/>
        <item h="1" m="1" x="1967"/>
        <item h="1" m="1" x="568"/>
        <item h="1" x="243"/>
        <item h="1" m="1" x="1586"/>
        <item h="1" x="40"/>
        <item h="1" m="1" x="1750"/>
        <item h="1" m="1" x="2132"/>
        <item h="1" m="1" x="1705"/>
        <item h="1" m="1" x="472"/>
        <item h="1" m="1" x="2633"/>
        <item h="1" x="131"/>
        <item h="1" x="20"/>
        <item h="1" x="124"/>
        <item h="1" x="92"/>
        <item h="1" x="129"/>
        <item h="1" m="1" x="2094"/>
        <item h="1" x="133"/>
        <item h="1" m="1" x="1223"/>
        <item h="1" x="336"/>
        <item h="1" m="1" x="2781"/>
        <item h="1" m="1" x="766"/>
        <item h="1" x="248"/>
        <item h="1" m="1" x="2981"/>
        <item h="1" m="1" x="487"/>
        <item h="1" m="1" x="4075"/>
        <item h="1" m="1" x="997"/>
        <item h="1" x="212"/>
        <item h="1" x="93"/>
        <item h="1" m="1" x="5950"/>
        <item h="1" m="1" x="3675"/>
        <item h="1" m="1" x="463"/>
        <item h="1" m="1" x="457"/>
        <item h="1" m="1" x="2753"/>
        <item h="1" m="1" x="2780"/>
        <item h="1" m="1" x="4661"/>
        <item h="1" m="1" x="6892"/>
        <item h="1" m="1" x="3439"/>
        <item h="1" x="346"/>
        <item h="1" x="242"/>
        <item h="1" m="1" x="2550"/>
        <item h="1" m="1" x="639"/>
        <item h="1" m="1" x="1524"/>
        <item h="1" m="1" x="2170"/>
        <item h="1" m="1" x="4135"/>
        <item h="1" m="1" x="2382"/>
        <item h="1" m="1" x="3736"/>
        <item h="1" m="1" x="3352"/>
        <item h="1" m="1" x="5933"/>
        <item h="1" x="249"/>
        <item h="1" m="1" x="6945"/>
        <item h="1" m="1" x="836"/>
        <item h="1" m="1" x="2899"/>
        <item h="1" m="1" x="3492"/>
        <item h="1" m="1" x="1748"/>
        <item h="1" m="1" x="1577"/>
        <item h="1" m="1" x="4882"/>
        <item h="1" m="1" x="6610"/>
        <item h="1" m="1" x="1532"/>
        <item h="1" m="1" x="3859"/>
        <item h="1" m="1" x="4153"/>
        <item h="1" m="1" x="5464"/>
        <item h="1" m="1" x="680"/>
        <item h="1" m="1" x="3901"/>
        <item h="1" m="1" x="7955"/>
        <item h="1" m="1" x="7946"/>
        <item h="1" m="1" x="7874"/>
        <item h="1" m="1" x="5316"/>
        <item h="1" m="1" x="3911"/>
        <item h="1" m="1" x="4232"/>
        <item h="1" m="1" x="6098"/>
        <item h="1" m="1" x="1117"/>
        <item h="1" m="1" x="4008"/>
        <item h="1" m="1" x="539"/>
        <item h="1" m="1" x="494"/>
        <item h="1" m="1" x="1775"/>
        <item h="1" m="1" x="1687"/>
        <item h="1" m="1" x="1904"/>
        <item h="1" m="1" x="7535"/>
        <item h="1" m="1" x="2785"/>
        <item h="1" m="1" x="3368"/>
        <item h="1" m="1" x="4668"/>
        <item h="1" m="1" x="7799"/>
        <item h="1" m="1" x="7534"/>
        <item h="1" m="1" x="6537"/>
        <item h="1" m="1" x="1912"/>
        <item h="1" m="1" x="2281"/>
        <item h="1" m="1" x="2892"/>
        <item h="1" m="1" x="563"/>
        <item h="1" m="1" x="1584"/>
        <item h="1" m="1" x="3044"/>
        <item h="1" m="1" x="1565"/>
        <item h="1" m="1" x="998"/>
        <item h="1" m="1" x="2061"/>
        <item h="1" m="1" x="2887"/>
        <item h="1" m="1" x="7395"/>
        <item h="1" x="16"/>
        <item h="1" m="1" x="6551"/>
        <item h="1" m="1" x="928"/>
        <item h="1" m="1" x="2948"/>
        <item h="1" x="76"/>
        <item h="1" m="1" x="4041"/>
        <item h="1" m="1" x="2040"/>
        <item h="1" m="1" x="6547"/>
        <item h="1" m="1" x="496"/>
        <item h="1" m="1" x="4493"/>
        <item h="1" m="1" x="3955"/>
        <item h="1" m="1" x="4572"/>
        <item h="1" m="1" x="3683"/>
        <item h="1" m="1" x="5896"/>
        <item h="1" m="1" x="4567"/>
        <item h="1" m="1" x="3814"/>
        <item h="1" x="207"/>
        <item h="1" m="1" x="6541"/>
        <item h="1" m="1" x="3268"/>
        <item h="1" m="1" x="919"/>
        <item h="1" m="1" x="6555"/>
        <item h="1" m="1" x="6921"/>
        <item h="1" x="172"/>
        <item h="1" m="1" x="2950"/>
        <item h="1" m="1" x="1708"/>
        <item h="1" m="1" x="485"/>
        <item h="1" m="1" x="7551"/>
        <item h="1" m="1" x="7992"/>
        <item h="1" m="1" x="2517"/>
        <item h="1" m="1" x="6949"/>
        <item h="1" m="1" x="791"/>
        <item h="1" m="1" x="3266"/>
        <item h="1" m="1" x="4987"/>
        <item h="1" m="1" x="1040"/>
        <item h="1" m="1" x="2152"/>
        <item h="1" m="1" x="2489"/>
        <item h="1" m="1" x="5005"/>
        <item h="1" m="1" x="7958"/>
        <item h="1" x="100"/>
        <item h="1" m="1" x="1116"/>
        <item h="1" m="1" x="4134"/>
        <item h="1" m="1" x="3419"/>
        <item h="1" m="1" x="1918"/>
        <item h="1" m="1" x="1989"/>
        <item h="1" m="1" x="1290"/>
        <item h="1" m="1" x="1220"/>
        <item h="1" m="1" x="7982"/>
        <item h="1" m="1" x="7776"/>
        <item h="1" m="1" x="6503"/>
        <item h="1" m="1" x="7218"/>
        <item h="1" m="1" x="7796"/>
        <item h="1" m="1" x="7385"/>
        <item h="1" m="1" x="2055"/>
        <item h="1" m="1" x="938"/>
        <item h="1" m="1" x="835"/>
        <item h="1" m="1" x="537"/>
        <item h="1" m="1" x="1581"/>
        <item h="1" m="1" x="6514"/>
        <item h="1" m="1" x="7661"/>
        <item h="1" m="1" x="1236"/>
        <item h="1" m="1" x="2757"/>
        <item h="1" m="1" x="1707"/>
        <item h="1" m="1" x="4981"/>
        <item h="1" m="1" x="4382"/>
        <item h="1" x="62"/>
        <item h="1" m="1" x="6613"/>
        <item h="1" m="1" x="3994"/>
        <item h="1" m="1" x="7990"/>
        <item h="1" m="1" x="7959"/>
        <item h="1" m="1" x="7896"/>
        <item h="1" m="1" x="7899"/>
        <item h="1" m="1" x="1634"/>
        <item h="1" m="1" x="2561"/>
        <item h="1" m="1" x="6377"/>
        <item h="1" m="1" x="4683"/>
        <item h="1" m="1" x="3837"/>
        <item h="1" m="1" x="4736"/>
        <item h="1" m="1" x="7202"/>
        <item h="1" m="1" x="3416"/>
        <item h="1" m="1" x="3343"/>
        <item h="1" m="1" x="3414"/>
        <item h="1" m="1" x="7794"/>
        <item h="1" m="1" x="2440"/>
        <item h="1" m="1" x="5915"/>
        <item h="1" m="1" x="501"/>
        <item h="1" m="1" x="4303"/>
        <item h="1" m="1" x="6925"/>
        <item h="1" m="1" x="1742"/>
        <item h="1" m="1" x="2110"/>
        <item h="1" m="1" x="1096"/>
        <item h="1" m="1" x="7983"/>
        <item h="1" m="1" x="2547"/>
        <item h="1" m="1" x="3642"/>
        <item h="1" m="1" x="4319"/>
        <item h="1" m="1" x="3434"/>
        <item h="1" m="1" x="7605"/>
        <item h="1" m="1" x="6788"/>
        <item h="1" m="1" x="5160"/>
        <item h="1" m="1" x="7575"/>
        <item h="1" m="1" x="546"/>
        <item h="1" x="87"/>
        <item h="1" x="206"/>
        <item h="1" m="1" x="4516"/>
        <item h="1" m="1" x="5403"/>
        <item h="1" m="1" x="7890"/>
        <item h="1" m="1" x="2513"/>
        <item h="1" x="57"/>
        <item h="1" m="1" x="7131"/>
        <item h="1" m="1" x="6745"/>
        <item h="1" m="1" x="2090"/>
        <item h="1" m="1" x="7898"/>
        <item h="1" m="1" x="7731"/>
        <item h="1" m="1" x="6656"/>
        <item h="1" m="1" x="2097"/>
        <item h="1" m="1" x="6751"/>
        <item h="1" m="1" x="2223"/>
        <item h="1" x="376"/>
        <item h="1" m="1" x="2380"/>
        <item h="1" m="1" x="4108"/>
        <item h="1" m="1" x="2446"/>
        <item h="1" m="1" x="2452"/>
        <item h="1" m="1" x="5686"/>
        <item h="1" m="1" x="5610"/>
        <item h="1" m="1" x="7996"/>
        <item h="1" m="1" x="4868"/>
        <item h="1" m="1" x="5934"/>
        <item h="1" m="1" x="5842"/>
        <item h="1" m="1" x="5843"/>
        <item h="1" m="1" x="5452"/>
        <item h="1" m="1" x="7420"/>
        <item h="1" m="1" x="6803"/>
        <item h="1" m="1" x="6836"/>
        <item h="1" m="1" x="1572"/>
        <item h="1" m="1" x="7901"/>
        <item h="1" m="1" x="1558"/>
        <item h="1" m="1" x="5578"/>
        <item h="1" m="1" x="7900"/>
        <item h="1" m="1" x="1090"/>
        <item h="1" m="1" x="2134"/>
        <item h="1" m="1" x="5555"/>
        <item h="1" m="1" x="4452"/>
        <item h="1" m="1" x="550"/>
        <item h="1" m="1" x="5832"/>
        <item h="1" m="1" x="7287"/>
        <item h="1" m="1" x="2765"/>
        <item h="1" m="1" x="6866"/>
        <item h="1" m="1" x="1925"/>
        <item h="1" m="1" x="7831"/>
        <item h="1" m="1" x="6827"/>
        <item h="1" m="1" x="5146"/>
        <item h="1" m="1" x="7424"/>
        <item h="1" m="1" x="6545"/>
        <item h="1" m="1" x="6847"/>
        <item h="1" x="235"/>
        <item h="1" m="1" x="7389"/>
        <item h="1" m="1" x="7171"/>
        <item h="1" m="1" x="4613"/>
        <item h="1" m="1" x="5368"/>
        <item h="1" m="1" x="6746"/>
        <item h="1" m="1" x="720"/>
        <item h="1" m="1" x="6662"/>
        <item h="1" m="1" x="7667"/>
        <item h="1" m="1" x="4132"/>
        <item h="1" m="1" x="7722"/>
        <item h="1" m="1" x="6819"/>
        <item h="1" m="1" x="7167"/>
        <item h="1" m="1" x="7525"/>
        <item h="1" m="1" x="7824"/>
        <item h="1" m="1" x="1044"/>
        <item h="1" m="1" x="2725"/>
        <item h="1" m="1" x="7993"/>
        <item h="1" m="1" x="2755"/>
        <item h="1" m="1" x="6604"/>
        <item h="1" m="1" x="7077"/>
        <item h="1" m="1" x="6436"/>
        <item h="1" m="1" x="7041"/>
        <item h="1" m="1" x="564"/>
        <item h="1" m="1" x="2767"/>
        <item h="1" m="1" x="7832"/>
        <item h="1" m="1" x="4436"/>
        <item h="1" m="1" x="2458"/>
        <item h="1" m="1" x="6389"/>
        <item h="1" m="1" x="4663"/>
        <item h="1" m="1" x="5913"/>
        <item h="1" m="1" x="4627"/>
        <item h="1" m="1" x="4102"/>
        <item h="1" m="1" x="6820"/>
        <item h="1" m="1" x="6775"/>
        <item h="1" m="1" x="6211"/>
        <item h="1" m="1" x="3535"/>
        <item h="1" m="1" x="6741"/>
        <item h="1" m="1" x="5621"/>
        <item h="1" m="1" x="6885"/>
        <item h="1" m="1" x="2447"/>
        <item h="1" m="1" x="4118"/>
        <item h="1" m="1" x="4728"/>
        <item h="1" m="1" x="7752"/>
        <item h="1" m="1" x="2449"/>
        <item h="1" m="1" x="6627"/>
        <item h="1" m="1" x="5353"/>
        <item h="1" m="1" x="6721"/>
        <item h="1" m="1" x="551"/>
        <item h="1" m="1" x="7109"/>
        <item h="1" m="1" x="2432"/>
        <item h="1" x="250"/>
        <item h="1" m="1" x="4323"/>
        <item h="1" m="1" x="7387"/>
        <item h="1" x="96"/>
        <item h="1" x="116"/>
        <item h="1" m="1" x="6814"/>
        <item h="1" m="1" x="4320"/>
        <item h="1" m="1" x="7625"/>
        <item h="1" m="1" x="7793"/>
        <item h="1" m="1" x="841"/>
        <item h="1" m="1" x="7465"/>
        <item h="1" m="1" x="7965"/>
        <item h="1" m="1" x="1891"/>
        <item h="1" m="1" x="7290"/>
        <item h="1" m="1" x="6546"/>
        <item h="1" m="1" x="2909"/>
        <item h="1" m="1" x="2844"/>
        <item h="1" m="1" x="6562"/>
        <item h="1" m="1" x="6235"/>
        <item h="1" m="1" x="6234"/>
        <item h="1" m="1" x="1686"/>
        <item h="1" m="1" x="7524"/>
        <item h="1" m="1" x="7356"/>
        <item h="1" m="1" x="1910"/>
        <item h="1" m="1" x="4242"/>
        <item h="1" m="1" x="1026"/>
        <item h="1" m="1" x="6378"/>
        <item h="1" m="1" x="3626"/>
        <item h="1" m="1" x="5158"/>
        <item h="1" m="1" x="6493"/>
        <item h="1" m="1" x="7373"/>
        <item h="1" m="1" x="2287"/>
        <item h="1" m="1" x="7342"/>
        <item h="1" m="1" x="6822"/>
        <item h="1" m="1" x="6167"/>
        <item h="1" m="1" x="6566"/>
        <item h="1" m="1" x="3591"/>
        <item h="1" m="1" x="6060"/>
        <item h="1" m="1" x="6327"/>
        <item h="1" m="1" x="2105"/>
        <item h="1" m="1" x="7505"/>
        <item h="1" m="1" x="3307"/>
        <item h="1" x="345"/>
        <item h="1" m="1" x="1200"/>
        <item h="1" m="1" x="4491"/>
        <item h="1" m="1" x="2510"/>
        <item h="1" m="1" x="1963"/>
        <item h="1" m="1" x="7521"/>
        <item h="1" m="1" x="3078"/>
        <item h="1" m="1" x="2923"/>
        <item h="1" m="1" x="5598"/>
        <item h="1" m="1" x="6692"/>
        <item h="1" m="1" x="5797"/>
        <item h="1" m="1" x="4891"/>
        <item h="1" m="1" x="3673"/>
        <item h="1" m="1" x="538"/>
        <item h="1" m="1" x="7517"/>
        <item h="1" m="1" x="2965"/>
        <item h="1" m="1" x="2234"/>
        <item h="1" m="1" x="5624"/>
        <item h="1" m="1" x="4564"/>
        <item h="1" m="1" x="7514"/>
        <item h="1" m="1" x="2047"/>
        <item h="1" x="322"/>
        <item h="1" m="1" x="7798"/>
        <item h="1" m="1" x="2238"/>
        <item h="1" m="1" x="7583"/>
        <item h="1" m="1" x="2135"/>
        <item h="1" m="1" x="7528"/>
        <item h="1" m="1" x="2398"/>
        <item h="1" m="1" x="7770"/>
        <item h="1" m="1" x="2451"/>
        <item h="1" m="1" x="2929"/>
        <item h="1" m="1" x="580"/>
        <item h="1" m="1" x="1982"/>
        <item h="1" m="1" x="6214"/>
        <item h="1" m="1" x="7084"/>
        <item h="1" m="1" x="7245"/>
        <item h="1" m="1" x="6739"/>
        <item h="1" m="1" x="911"/>
        <item h="1" x="373"/>
        <item h="1" m="1" x="1048"/>
        <item h="1" m="1" x="7502"/>
        <item h="1" m="1" x="4961"/>
        <item h="1" m="1" x="7838"/>
        <item h="1" m="1" x="7624"/>
        <item h="1" m="1" x="4441"/>
        <item h="1" m="1" x="894"/>
        <item h="1" m="1" x="7629"/>
        <item h="1" m="1" x="5885"/>
        <item h="1" m="1" x="6879"/>
        <item h="1" m="1" x="7417"/>
        <item h="1" m="1" x="2438"/>
        <item h="1" m="1" x="776"/>
        <item h="1" m="1" x="3651"/>
        <item h="1" m="1" x="3577"/>
        <item h="1" m="1" x="7805"/>
        <item h="1" m="1" x="7701"/>
        <item h="1" m="1" x="6528"/>
        <item h="1" m="1" x="7940"/>
        <item h="1" m="1" x="2763"/>
        <item h="1" m="1" x="2115"/>
        <item h="1" m="1" x="3206"/>
        <item h="1" m="1" x="3622"/>
        <item h="1" m="1" x="3071"/>
        <item h="1" m="1" x="7897"/>
        <item h="1" m="1" x="3650"/>
        <item h="1" m="1" x="5568"/>
        <item h="1" m="1" x="4893"/>
        <item h="1" m="1" x="6482"/>
        <item h="1" m="1" x="7829"/>
        <item h="1" m="1" x="524"/>
        <item h="1" m="1" x="640"/>
        <item h="1" m="1" x="7812"/>
        <item h="1" m="1" x="5883"/>
        <item h="1" m="1" x="7216"/>
        <item h="1" m="1" x="2453"/>
        <item h="1" m="1" x="7813"/>
        <item h="1" m="1" x="4550"/>
        <item h="1" m="1" x="6975"/>
        <item h="1" m="1" x="4735"/>
        <item h="1" m="1" x="4511"/>
        <item h="1" m="1" x="7978"/>
        <item h="1" m="1" x="2623"/>
        <item h="1" m="1" x="2926"/>
        <item h="1" m="1" x="7559"/>
        <item h="1" m="1" x="6772"/>
        <item h="1" m="1" x="7388"/>
        <item h="1" m="1" x="6624"/>
        <item h="1" m="1" x="4370"/>
        <item h="1" m="1" x="2622"/>
        <item h="1" m="1" x="4273"/>
        <item h="1" m="1" x="2109"/>
        <item h="1" m="1" x="1261"/>
        <item h="1" m="1" x="7980"/>
        <item h="1" m="1" x="2957"/>
        <item h="1" m="1" x="4726"/>
        <item h="1" m="1" x="2565"/>
        <item h="1" m="1" x="7623"/>
        <item h="1" m="1" x="5553"/>
        <item h="1" m="1" x="6715"/>
        <item h="1" m="1" x="4116"/>
        <item h="1" m="1" x="1219"/>
        <item h="1" m="1" x="6929"/>
        <item h="1" m="1" x="2789"/>
        <item h="1" m="1" x="3761"/>
        <item h="1" m="1" x="7553"/>
        <item h="1" m="1" x="5703"/>
        <item h="1" m="1" x="5712"/>
        <item h="1" m="1" x="7333"/>
        <item h="1" m="1" x="7777"/>
        <item h="1" m="1" x="5866"/>
        <item h="1" m="1" x="7293"/>
        <item h="1" m="1" x="4239"/>
        <item h="1" m="1" x="6749"/>
        <item h="1" m="1" x="6735"/>
        <item h="1" m="1" x="5825"/>
        <item h="1" m="1" x="6755"/>
        <item h="1" m="1" x="3202"/>
        <item h="1" m="1" x="1683"/>
        <item h="1" m="1" x="3052"/>
        <item h="1" m="1" x="5401"/>
        <item h="1" m="1" x="2886"/>
        <item h="1" m="1" x="3123"/>
        <item h="1" m="1" x="1892"/>
        <item h="1" m="1" x="6383"/>
        <item h="1" m="1" x="3931"/>
        <item h="1" m="1" x="6007"/>
        <item h="1" m="1" x="2112"/>
        <item h="1" m="1" x="2448"/>
        <item h="1" m="1" x="2436"/>
        <item h="1" m="1" x="3961"/>
        <item h="1" m="1" x="6987"/>
        <item h="1" m="1" x="6642"/>
        <item h="1" m="1" x="558"/>
        <item h="1" m="1" x="2707"/>
        <item h="1" m="1" x="4826"/>
        <item h="1" m="1" x="6616"/>
        <item h="1" m="1" x="4304"/>
        <item h="1" m="1" x="7062"/>
        <item h="1" m="1" x="7070"/>
        <item h="1" m="1" x="4585"/>
        <item h="1" x="253"/>
        <item h="1" m="1" x="3353"/>
        <item h="1" m="1" x="1749"/>
        <item h="1" m="1" x="898"/>
        <item h="1" m="1" x="3766"/>
        <item h="1" m="1" x="6533"/>
        <item h="1" m="1" x="5453"/>
        <item h="1" x="109"/>
        <item h="1" m="1" x="5665"/>
        <item h="1" m="1" x="5651"/>
        <item h="1" m="1" x="5661"/>
        <item h="1" m="1" x="4029"/>
        <item h="1" m="1" x="7759"/>
        <item h="1" m="1" x="6835"/>
        <item h="1" m="1" x="6304"/>
        <item h="1" m="1" x="4272"/>
        <item h="1" m="1" x="6054"/>
        <item h="1" m="1" x="4854"/>
        <item h="1" m="1" x="2284"/>
        <item h="1" m="1" x="4681"/>
        <item h="1" m="1" x="7956"/>
        <item h="1" m="1" x="3657"/>
        <item h="1" m="1" x="462"/>
        <item h="1" x="225"/>
        <item h="1" m="1" x="5660"/>
        <item h="1" m="1" x="7570"/>
        <item h="1" m="1" x="5835"/>
        <item h="1" m="1" x="6946"/>
        <item h="1" m="1" x="5367"/>
        <item h="1" m="1" x="4213"/>
        <item h="1" m="1" x="5097"/>
        <item h="1" m="1" x="4343"/>
        <item h="1" m="1" x="5481"/>
        <item h="1" m="1" x="2450"/>
        <item h="1" m="1" x="3456"/>
        <item h="1" m="1" x="6626"/>
        <item h="1" m="1" x="6865"/>
        <item h="1" m="1" x="5656"/>
        <item h="1" m="1" x="5646"/>
        <item h="1" m="1" x="7370"/>
        <item h="1" m="1" x="5625"/>
        <item h="1" m="1" x="5697"/>
        <item h="1" m="1" x="3392"/>
        <item h="1" m="1" x="5635"/>
        <item h="1" m="1" x="1171"/>
        <item h="1" m="1" x="3073"/>
        <item h="1" m="1" x="3633"/>
        <item h="1" m="1" x="6985"/>
        <item h="1" x="23"/>
        <item h="1" m="1" x="7348"/>
        <item h="1" m="1" x="5627"/>
        <item h="1" m="1" x="7574"/>
        <item h="1" m="1" x="5648"/>
        <item h="1" m="1" x="985"/>
        <item h="1" m="1" x="679"/>
        <item h="1" m="1" x="4583"/>
        <item h="1" m="1" x="7780"/>
        <item h="1" m="1" x="7833"/>
        <item h="1" m="1" x="3760"/>
        <item h="1" m="1" x="7738"/>
        <item h="1" m="1" x="5612"/>
        <item h="1" m="1" x="5633"/>
        <item h="1" m="1" x="2901"/>
        <item h="1" m="1" x="6657"/>
        <item h="1" m="1" x="5381"/>
        <item h="1" m="1" x="5639"/>
        <item h="1" m="1" x="7739"/>
        <item h="1" m="1" x="7998"/>
        <item h="1" m="1" x="5979"/>
        <item h="1" m="1" x="471"/>
        <item h="1" m="1" x="3152"/>
        <item h="1" m="1" x="4973"/>
        <item h="1" m="1" x="7879"/>
        <item h="1" m="1" x="7894"/>
        <item h="1" m="1" x="2279"/>
        <item h="1" m="1" x="7200"/>
        <item h="1" m="1" x="6625"/>
        <item h="1" m="1" x="2762"/>
        <item h="1" m="1" x="7204"/>
        <item h="1" m="1" x="6737"/>
        <item h="1" m="1" x="6601"/>
        <item h="1" m="1" x="7440"/>
        <item h="1" m="1" x="5932"/>
        <item h="1" m="1" x="6939"/>
        <item h="1" m="1" x="6366"/>
        <item h="1" m="1" x="4180"/>
        <item h="1" m="1" x="7285"/>
        <item h="1" m="1" x="6960"/>
        <item h="1" m="1" x="2900"/>
        <item h="1" m="1" x="7347"/>
        <item h="1" m="1" x="7944"/>
        <item h="1" m="1" x="7937"/>
        <item h="1" m="1" x="7936"/>
        <item h="1" m="1" x="6769"/>
        <item h="1" m="1" x="7905"/>
        <item h="1" x="143"/>
        <item h="1" m="1" x="7543"/>
        <item h="1" m="1" x="6742"/>
        <item h="1" m="1" x="5643"/>
        <item h="1" m="1" x="5649"/>
        <item h="1" m="1" x="5616"/>
        <item h="1" m="1" x="6996"/>
        <item h="1" m="1" x="6909"/>
        <item h="1" m="1" x="7932"/>
        <item h="1" m="1" x="7836"/>
        <item h="1" m="1" x="5764"/>
        <item h="1" m="1" x="7046"/>
        <item h="1" m="1" x="7620"/>
        <item h="1" m="1" x="2503"/>
        <item h="1" m="1" x="5873"/>
        <item h="1" m="1" x="7344"/>
        <item h="1" m="1" x="5388"/>
        <item h="1" m="1" x="7772"/>
        <item h="1" m="1" x="4819"/>
        <item h="1" m="1" x="7774"/>
        <item h="1" m="1" x="7790"/>
        <item h="1" x="29"/>
        <item h="1" m="1" x="6570"/>
        <item h="1" m="1" x="7357"/>
        <item h="1" m="1" x="7358"/>
        <item h="1" m="1" x="4515"/>
        <item h="1" m="1" x="1788"/>
        <item h="1" m="1" x="5947"/>
        <item h="1" m="1" x="6095"/>
        <item h="1" m="1" x="6785"/>
        <item h="1" m="1" x="5540"/>
        <item h="1" m="1" x="3551"/>
        <item h="1" m="1" x="7016"/>
        <item h="1" m="1" x="7882"/>
        <item h="1" m="1" x="6619"/>
        <item h="1" m="1" x="7341"/>
        <item h="1" m="1" x="7346"/>
        <item h="1" m="1" x="7345"/>
        <item h="1" m="1" x="7876"/>
        <item h="1" m="1" x="4088"/>
        <item h="1" m="1" x="7784"/>
        <item h="1" m="1" x="7788"/>
        <item h="1" m="1" x="6034"/>
        <item h="1" m="1" x="7991"/>
        <item h="1" m="1" x="7359"/>
        <item h="1" m="1" x="7835"/>
        <item h="1" m="1" x="5615"/>
        <item h="1" m="1" x="7683"/>
        <item h="1" m="1" x="6959"/>
        <item h="1" m="1" x="7880"/>
        <item h="1" m="1" x="7881"/>
        <item h="1" m="1" x="7340"/>
        <item h="1" m="1" x="7343"/>
        <item h="1" m="1" x="4595"/>
        <item h="1" m="1" x="7715"/>
        <item h="1" m="1" x="7935"/>
        <item h="1" m="1" x="7501"/>
        <item h="1" m="1" x="3218"/>
        <item h="1" m="1" x="6950"/>
        <item h="1" m="1" x="7974"/>
        <item h="1" m="1" x="7360"/>
        <item h="1" m="1" x="7361"/>
        <item h="1" m="1" x="7979"/>
        <item h="1" m="1" x="3987"/>
        <item h="1" m="1" x="920"/>
        <item h="1" m="1" x="6997"/>
        <item h="1" m="1" x="6647"/>
        <item h="1" m="1" x="6648"/>
        <item h="1" m="1" x="7430"/>
        <item h="1" m="1" x="7431"/>
        <item h="1" m="1" x="6784"/>
        <item h="1" m="1" x="6787"/>
        <item h="1" m="1" x="7734"/>
        <item h="1" m="1" x="5629"/>
        <item h="1" m="1" x="7743"/>
        <item h="1" m="1" x="2751"/>
        <item h="1" m="1" x="7860"/>
        <item h="1" m="1" x="7934"/>
        <item h="1" m="1" x="4513"/>
        <item h="1" m="1" x="6981"/>
        <item h="1" m="1" x="4853"/>
        <item h="1" x="30"/>
        <item h="1" m="1" x="5364"/>
        <item h="1" m="1" x="7917"/>
        <item h="1" m="1" x="7658"/>
        <item h="1" m="1" x="2953"/>
        <item h="1" m="1" x="7981"/>
        <item h="1" m="1" x="6659"/>
        <item h="1" m="1" x="6998"/>
        <item h="1" m="1" x="7730"/>
        <item h="1" m="1" x="7802"/>
        <item h="1" m="1" x="7383"/>
        <item h="1" m="1" x="7366"/>
        <item h="1" m="1" x="7988"/>
        <item h="1" m="1" x="7989"/>
        <item h="1" m="1" x="7362"/>
        <item h="1" m="1" x="7987"/>
        <item h="1" m="1" x="7367"/>
        <item h="1" m="1" x="7810"/>
        <item h="1" x="149"/>
        <item h="1" m="1" x="7811"/>
        <item h="1" m="1" x="7808"/>
        <item h="1" m="1" x="7337"/>
        <item h="1" m="1" x="7554"/>
        <item h="1" m="1" x="2041"/>
        <item h="1" m="1" x="7819"/>
        <item h="1" m="1" x="661"/>
        <item h="1" m="1" x="7843"/>
        <item h="1" m="1" x="2361"/>
        <item h="1" m="1" x="6828"/>
        <item h="1" m="1" x="7626"/>
        <item h="1" m="1" x="1403"/>
        <item h="1" m="1" x="7643"/>
        <item h="1" m="1" x="1172"/>
        <item h="1" m="1" x="2600"/>
        <item h="1" m="1" x="1696"/>
        <item h="1" m="1" x="6144"/>
        <item h="1" m="1" x="1888"/>
        <item h="1" m="1" x="6886"/>
        <item h="1" m="1" x="7949"/>
        <item h="1" m="1" x="6593"/>
        <item h="1" m="1" x="6592"/>
        <item h="1" m="1" x="4415"/>
        <item h="1" m="1" x="6988"/>
        <item h="1" m="1" x="6618"/>
        <item h="1" m="1" x="7970"/>
        <item h="1" m="1" x="7368"/>
        <item h="1" m="1" x="7369"/>
        <item h="1" m="1" x="7364"/>
        <item h="1" m="1" x="7365"/>
        <item h="1" m="1" x="7363"/>
        <item h="1" m="1" x="7807"/>
        <item h="1" m="1" x="7806"/>
        <item h="1" m="1" x="7338"/>
        <item h="1" m="1" x="7339"/>
        <item h="1" m="1" x="7565"/>
        <item h="1" m="1" x="6776"/>
        <item h="1" m="1" x="1947"/>
        <item h="1" m="1" x="7849"/>
        <item h="1" m="1" x="3380"/>
        <item h="1" m="1" x="7746"/>
        <item h="1" m="1" x="4099"/>
        <item h="1" m="1" x="7947"/>
        <item h="1" m="1" x="7948"/>
        <item h="1" m="1" x="7950"/>
        <item h="1" m="1" x="2111"/>
        <item h="1" m="1" x="7526"/>
        <item h="1" m="1" x="7893"/>
        <item h="1" m="1" x="6572"/>
        <item h="1" m="1" x="7920"/>
        <item h="1" m="1" x="7679"/>
        <item h="1" m="1" x="7977"/>
        <item h="1" m="1" x="7336"/>
        <item h="1" m="1" x="2521"/>
        <item h="1" m="1" x="7374"/>
        <item h="1" m="1" x="6650"/>
        <item h="1" m="1" x="6649"/>
        <item h="1" m="1" x="7432"/>
        <item h="1" m="1" x="5914"/>
        <item h="1" m="1" x="6809"/>
        <item h="1" m="1" x="2297"/>
        <item h="1" m="1" x="4176"/>
        <item h="1" m="1" x="6958"/>
        <item h="1" m="1" x="6957"/>
        <item h="1" m="1" x="7951"/>
        <item h="1" m="1" x="7952"/>
        <item h="1" m="1" x="7323"/>
        <item h="1" m="1" x="7954"/>
        <item h="1" m="1" x="7953"/>
        <item h="1" m="1" x="7943"/>
        <item h="1" m="1" x="7718"/>
        <item h="1" m="1" x="7719"/>
        <item h="1" m="1" x="7887"/>
        <item h="1" m="1" x="7889"/>
        <item h="1" m="1" x="7891"/>
        <item h="1" m="1" x="7906"/>
        <item h="1" m="1" x="7914"/>
        <item h="1" m="1" x="7350"/>
        <item h="1" m="1" x="7782"/>
        <item h="1" m="1" x="7785"/>
        <item h="1" m="1" x="7428"/>
        <item h="1" m="1" x="7429"/>
        <item h="1" m="1" x="7351"/>
        <item h="1" m="1" x="7334"/>
        <item h="1" m="1" x="7335"/>
        <item h="1" m="1" x="7963"/>
        <item h="1" m="1" x="2067"/>
        <item h="1" m="1" x="5659"/>
        <item h="1" m="1" x="7558"/>
        <item h="1" m="1" x="5664"/>
        <item h="1" m="1" x="671"/>
        <item h="1" m="1" x="7997"/>
        <item h="1" m="1" x="7818"/>
        <item h="1" m="1" x="6786"/>
        <item h="1" m="1" x="5912"/>
        <item h="1" m="1" x="7762"/>
        <item h="1" m="1" x="7761"/>
        <item h="1" m="1" x="7763"/>
        <item h="1" m="1" x="7764"/>
        <item h="1" m="1" x="7621"/>
        <item h="1" m="1" x="7655"/>
        <item h="1" m="1" x="7497"/>
        <item h="1" m="1" x="7500"/>
        <item h="1" m="1" x="7942"/>
        <item h="1" m="1" x="7941"/>
        <item h="1" m="1" x="6571"/>
        <item h="1" m="1" x="7902"/>
        <item h="1" m="1" x="5689"/>
        <item h="1" m="1" x="6595"/>
        <item h="1" m="1" x="6594"/>
        <item h="1" m="1" x="7922"/>
        <item h="1" m="1" x="7923"/>
        <item h="1" m="1" x="7924"/>
        <item h="1" m="1" x="7925"/>
        <item h="1" m="1" x="7926"/>
        <item h="1" m="1" x="6165"/>
        <item h="1" m="1" x="7787"/>
        <item h="1" m="1" x="7927"/>
        <item h="1" m="1" x="7929"/>
        <item h="1" m="1" x="7931"/>
        <item h="1" m="1" x="7984"/>
        <item h="1" m="1" x="6640"/>
        <item h="1" m="1" x="7324"/>
        <item h="1" m="1" x="6643"/>
        <item h="1" m="1" x="7966"/>
        <item h="1" m="1" x="7967"/>
        <item h="1" m="1" x="7968"/>
        <item h="1" m="1" x="7969"/>
        <item h="1" m="1" x="6713"/>
        <item h="1" m="1" x="7014"/>
        <item h="1" m="1" x="7567"/>
        <item h="1" m="1" x="7975"/>
        <item h="1" m="1" x="5609"/>
        <item h="1" m="1" x="6753"/>
        <item h="1" m="1" x="6760"/>
        <item h="1" m="1" x="1692"/>
        <item h="1" m="1" x="4173"/>
        <item h="1" m="1" x="7390"/>
        <item h="1" m="1" x="7462"/>
        <item h="1" m="1" x="7475"/>
        <item h="1" m="1" x="1991"/>
        <item h="1" m="1" x="6754"/>
        <item h="1" m="1" x="7877"/>
        <item h="1" m="1" x="7875"/>
        <item h="1" m="1" x="7878"/>
        <item h="1" m="1" x="7895"/>
        <item h="1" x="352"/>
        <item h="1" m="1" x="7903"/>
        <item h="1" m="1" x="7907"/>
        <item h="1" m="1" x="7908"/>
        <item h="1" m="1" x="2283"/>
        <item h="1" m="1" x="7913"/>
        <item h="1" m="1" x="7523"/>
        <item h="1" m="1" x="7888"/>
        <item h="1" m="1" x="7885"/>
        <item h="1" m="1" x="7886"/>
        <item h="1" m="1" x="7921"/>
        <item h="1" m="1" x="7918"/>
        <item h="1" m="1" x="7919"/>
        <item h="1" m="1" x="6990"/>
        <item h="1" m="1" x="6628"/>
        <item h="1" m="1" x="7945"/>
        <item h="1" m="1" x="7939"/>
        <item h="1" m="1" x="7938"/>
        <item h="1" m="1" x="7727"/>
        <item h="1" m="1" x="7728"/>
        <item h="1" m="1" x="7789"/>
        <item h="1" m="1" x="7930"/>
        <item h="1" m="1" x="7433"/>
        <item h="1" m="1" x="7976"/>
        <item h="1" m="1" x="6711"/>
        <item h="1" m="1" x="6709"/>
        <item h="1" m="1" x="6708"/>
        <item h="1" m="1" x="478"/>
        <item h="1" m="1" x="6704"/>
        <item h="1" m="1" x="4665"/>
        <item h="1" m="1" x="5006"/>
        <item h="1" m="1" x="7017"/>
        <item h="1" m="1" x="7015"/>
        <item h="1" m="1" x="2613"/>
        <item h="1" m="1" x="7834"/>
        <item h="1" m="1" x="7837"/>
        <item h="1" m="1" x="922"/>
        <item h="1" m="1" x="7328"/>
        <item h="1" m="1" x="1198"/>
        <item h="1" m="1" x="7329"/>
        <item h="1" m="1" x="7330"/>
        <item h="1" m="1" x="7327"/>
        <item h="1" m="1" x="7962"/>
        <item h="1" m="1" x="6914"/>
        <item h="1" m="1" x="7427"/>
        <item h="1" m="1" x="7325"/>
        <item h="1" m="1" x="7391"/>
        <item h="1" m="1" x="7737"/>
        <item h="1" m="1" x="7225"/>
        <item h="1" m="1" x="7677"/>
        <item h="1" m="1" x="7678"/>
        <item h="1" m="1" x="7999"/>
        <item h="1" m="1" x="6816"/>
        <item h="1" m="1" x="6817"/>
        <item h="1" m="1" x="2661"/>
        <item h="1" m="1" x="6029"/>
        <item h="1" m="1" x="6883"/>
        <item h="1" m="1" x="6951"/>
        <item h="1" m="1" x="7870"/>
        <item h="1" m="1" x="6904"/>
        <item h="1" m="1" x="7423"/>
        <item h="1" m="1" x="7498"/>
        <item h="1" m="1" x="7883"/>
        <item h="1" m="1" x="7884"/>
        <item h="1" m="1" x="7892"/>
        <item h="1" m="1" x="7904"/>
        <item h="1" m="1" x="6596"/>
        <item h="1" m="1" x="7723"/>
        <item h="1" m="1" x="7909"/>
        <item h="1" m="1" x="7910"/>
        <item h="1" m="1" x="7911"/>
        <item h="1" m="1" x="7912"/>
        <item h="1" m="1" x="7522"/>
        <item h="1" m="1" x="7915"/>
        <item h="1" m="1" x="7916"/>
        <item h="1" m="1" x="7786"/>
        <item h="1" m="1" x="7928"/>
        <item h="1" m="1" x="6620"/>
        <item h="1" m="1" x="6621"/>
        <item h="1" m="1" x="7933"/>
        <item h="1" m="1" x="6629"/>
        <item h="1" m="1" x="7957"/>
        <item h="1" m="1" x="7800"/>
        <item h="1" m="1" x="7733"/>
        <item h="1" m="1" x="7732"/>
        <item h="1" m="1" x="7332"/>
        <item h="1" m="1" x="7960"/>
        <item h="1" m="1" x="7961"/>
        <item h="1" m="1" x="7331"/>
        <item h="1" m="1" x="7326"/>
        <item h="1" m="1" x="7804"/>
        <item h="1" m="1" x="7964"/>
        <item h="1" m="1" x="5898"/>
        <item h="1" m="1" x="7803"/>
        <item h="1" m="1" x="7971"/>
        <item h="1" m="1" x="7972"/>
        <item h="1" m="1" x="7973"/>
        <item h="1" m="1" x="4639"/>
        <item h="1" m="1" x="6710"/>
        <item h="1" m="1" x="7729"/>
        <item h="1" m="1" x="6646"/>
        <item h="1" m="1" x="6645"/>
        <item h="1" m="1" x="7985"/>
        <item h="1" m="1" x="7994"/>
        <item h="1" m="1" x="7995"/>
        <item h="1" m="1" x="4287"/>
        <item h="1" m="1" x="7846"/>
        <item h="1" m="1" x="7066"/>
        <item h="1" m="1" x="4155"/>
        <item h="1" m="1" x="6818"/>
        <item h="1" m="1" x="7854"/>
        <item h="1" m="1" x="7392"/>
        <item h="1" m="1" x="7741"/>
        <item h="1" m="1" x="7740"/>
        <item h="1" m="1" x="7393"/>
        <item h="1" m="1" x="7394"/>
        <item h="1" m="1" x="4069"/>
        <item h="1" m="1" x="6888"/>
        <item h="1" m="1" x="6887"/>
        <item h="1" m="1" x="7765"/>
        <item h="1" m="1" x="7724"/>
        <item h="1" m="1" x="7725"/>
        <item h="1" m="1" x="7766"/>
        <item h="1" m="1" x="7767"/>
        <item h="1" m="1" x="7768"/>
        <item h="1" m="1" x="1095"/>
        <item h="1" m="1" x="7769"/>
        <item h="1" m="1" x="7771"/>
        <item h="1" m="1" x="6597"/>
        <item h="1" m="1" x="7529"/>
        <item h="1" m="1" x="7717"/>
        <item h="1" m="1" x="7773"/>
        <item h="1" m="1" x="7716"/>
        <item h="1" m="1" x="6854"/>
        <item h="1" m="1" x="7775"/>
        <item h="1" m="1" x="3750"/>
        <item h="1" m="1" x="7720"/>
        <item h="1" m="1" x="7778"/>
        <item h="1" m="1" x="7779"/>
        <item h="1" m="1" x="7425"/>
        <item h="1" m="1" x="7781"/>
        <item h="1" m="1" x="7721"/>
        <item h="1" m="1" x="6591"/>
        <item h="1" m="1" x="7783"/>
        <item h="1" m="1" x="6614"/>
        <item h="1" m="1" x="7791"/>
        <item h="1" m="1" x="7726"/>
        <item h="1" m="1" x="1615"/>
        <item h="1" m="1" x="7792"/>
        <item h="1" m="1" x="7795"/>
        <item h="1" m="1" x="7797"/>
        <item h="1" m="1" x="7665"/>
        <item h="1" m="1" x="6633"/>
        <item h="1" m="1" x="6631"/>
        <item h="1" m="1" x="6634"/>
        <item h="1" m="1" x="7434"/>
        <item h="1" m="1" x="7435"/>
        <item h="1" m="1" x="7801"/>
        <item h="1" m="1" x="6691"/>
        <item h="1" m="1" x="6690"/>
        <item h="1" m="1" x="7809"/>
        <item h="1" m="1" x="6728"/>
        <item h="1" m="1" x="6729"/>
        <item h="1" m="1" x="6730"/>
        <item h="1" m="1" x="7814"/>
        <item h="1" m="1" x="7815"/>
        <item h="1" m="1" x="6759"/>
        <item h="1" m="1" x="7816"/>
        <item h="1" m="1" x="7817"/>
        <item h="1" m="1" x="7820"/>
        <item h="1" m="1" x="7821"/>
        <item h="1" m="1" x="7822"/>
        <item h="1" m="1" x="7823"/>
        <item h="1" m="1" x="7825"/>
        <item h="1" m="1" x="7826"/>
        <item h="1" m="1" x="7827"/>
        <item h="1" m="1" x="7735"/>
        <item h="1" m="1" x="7828"/>
        <item h="1" m="1" x="7830"/>
        <item h="1" m="1" x="7839"/>
        <item h="1" m="1" x="6752"/>
        <item h="1" m="1" x="7840"/>
        <item h="1" m="1" x="7841"/>
        <item h="1" m="1" x="6940"/>
        <item h="1" m="1" x="7842"/>
        <item h="1" m="1" x="7592"/>
        <item h="1" m="1" x="7736"/>
        <item h="1" m="1" x="7223"/>
        <item h="1" m="1" x="7224"/>
        <item h="1" m="1" x="7591"/>
        <item h="1" m="1" x="7386"/>
        <item h="1" m="1" x="7844"/>
        <item h="1" m="1" x="1631"/>
        <item h="1" m="1" x="7845"/>
        <item h="1" m="1" x="5990"/>
        <item h="1" m="1" x="7847"/>
        <item h="1" m="1" x="7848"/>
        <item h="1" m="1" x="7850"/>
        <item h="1" m="1" x="7744"/>
        <item h="1" m="1" x="7622"/>
        <item h="1" m="1" x="5343"/>
        <item h="1" m="1" x="7851"/>
        <item h="1" m="1" x="7852"/>
        <item h="1" m="1" x="7853"/>
        <item h="1" m="1" x="7855"/>
        <item h="1" m="1" x="7856"/>
        <item h="1" m="1" x="7857"/>
        <item h="1" m="1" x="7858"/>
        <item h="1" m="1" x="7859"/>
        <item h="1" m="1" x="6826"/>
        <item h="1" m="1" x="7745"/>
        <item h="1" m="1" x="7861"/>
        <item h="1" m="1" x="7862"/>
        <item h="1" m="1" x="7863"/>
        <item h="1" m="1" x="7463"/>
        <item h="1" m="1" x="7864"/>
        <item h="1" m="1" x="7865"/>
        <item h="1" m="1" x="7866"/>
        <item h="1" m="1" x="6930"/>
        <item h="1" m="1" x="6928"/>
        <item h="1" m="1" x="7302"/>
        <item h="1" m="1" x="6938"/>
        <item h="1" m="1" x="7469"/>
        <item h="1" m="1" x="3887"/>
        <item h="1" m="1" x="6862"/>
        <item h="1" m="1" x="7867"/>
        <item h="1" m="1" x="7868"/>
        <item h="1" m="1" x="7869"/>
        <item h="1" m="1" x="7477"/>
        <item h="1" m="1" x="7478"/>
        <item h="1" m="1" x="6889"/>
        <item h="1" m="1" x="7481"/>
        <item h="1" m="1" x="7871"/>
        <item h="1" m="1" x="7872"/>
        <item h="1" m="1" x="7873"/>
        <item h="1" m="1" x="2154"/>
        <item h="1" m="1" x="7495"/>
        <item h="1" m="1" x="7496"/>
        <item h="1" m="1" x="6917"/>
        <item h="1" m="1" x="7656"/>
        <item h="1" m="1" x="6853"/>
        <item h="1" m="1" x="6855"/>
        <item h="1" m="1" x="6569"/>
        <item h="1" m="1" x="7503"/>
        <item h="1" m="1" x="7504"/>
        <item h="1" m="1" x="7510"/>
        <item h="1" m="1" x="7516"/>
        <item h="1" m="1" x="7515"/>
        <item h="1" m="1" x="2719"/>
        <item h="1" m="1" x="7659"/>
        <item h="1" m="1" x="7657"/>
        <item h="1" m="1" x="6617"/>
        <item h="1" m="1" x="7662"/>
        <item h="1" m="1" x="6630"/>
        <item h="1" m="1" x="6641"/>
        <item h="1" m="1" x="6653"/>
        <item h="1" m="1" x="6664"/>
        <item h="1" m="1" x="6651"/>
        <item h="1" m="1" x="7668"/>
        <item h="1" m="1" x="7671"/>
        <item h="1" m="1" x="7552"/>
        <item h="1" m="1" x="7572"/>
        <item h="1" m="1" x="7576"/>
        <item h="1" m="1" x="7577"/>
        <item h="1" m="1" x="7564"/>
        <item h="1" m="1" x="7569"/>
        <item h="1" m="1" x="7571"/>
        <item h="1" m="1" x="7573"/>
        <item h="1" m="1" x="7674"/>
        <item h="1" m="1" x="7579"/>
        <item h="1" m="1" x="6774"/>
        <item h="1" m="1" x="6780"/>
        <item h="1" m="1" x="6778"/>
        <item h="1" m="1" x="4652"/>
        <item h="1" m="1" x="6083"/>
        <item h="1" m="1" x="7680"/>
        <item h="1" m="1" x="7742"/>
        <item h="1" m="1" x="7684"/>
        <item h="1" m="1" x="7686"/>
        <item h="1" m="1" x="4936"/>
        <item h="1" m="1" x="6586"/>
        <item h="1" m="1" x="7689"/>
        <item h="1" m="1" x="7687"/>
        <item h="1" m="1" x="7688"/>
        <item h="1" m="1" x="7747"/>
        <item h="1" m="1" x="7748"/>
        <item h="1" m="1" x="7690"/>
        <item h="1" m="1" x="7749"/>
        <item h="1" m="1" x="7750"/>
        <item h="1" m="1" x="7751"/>
        <item h="1" m="1" x="7695"/>
        <item h="1" m="1" x="7692"/>
        <item h="1" m="1" x="7693"/>
        <item h="1" m="1" x="7646"/>
        <item h="1" m="1" x="7753"/>
        <item h="1" m="1" x="7700"/>
        <item h="1" m="1" x="7702"/>
        <item h="1" m="1" x="6860"/>
        <item h="1" m="1" x="7698"/>
        <item h="1" m="1" x="7699"/>
        <item h="1" m="1" x="7703"/>
        <item h="1" m="1" x="6585"/>
        <item h="1" m="1" x="7754"/>
        <item h="1" m="1" x="7755"/>
        <item h="1" m="1" x="7710"/>
        <item h="1" m="1" x="7756"/>
        <item h="1" x="174"/>
        <item h="1" m="1" x="6587"/>
        <item h="1" m="1" x="7757"/>
        <item h="1" m="1" x="7758"/>
        <item h="1" m="1" x="6902"/>
        <item h="1" m="1" x="7760"/>
        <item h="1" m="1" x="7419"/>
        <item h="1" m="1" x="6661"/>
        <item h="1" m="1" x="6654"/>
        <item h="1" m="1" x="1700"/>
        <item h="1" m="1" x="6773"/>
        <item h="1" m="1" x="6663"/>
        <item h="1" m="1" x="6652"/>
        <item h="1" m="1" x="7211"/>
        <item h="1" x="101"/>
        <item h="1" m="1" x="6863"/>
        <item h="1" m="1" x="6864"/>
        <item h="1" m="1" x="7507"/>
        <item h="1" m="1" x="7508"/>
        <item h="1" m="1" x="7509"/>
        <item h="1" m="1" x="1257"/>
        <item h="1" m="1" x="7519"/>
        <item h="1" m="1" x="7518"/>
        <item h="1" m="1" x="7520"/>
        <item h="1" m="1" x="5392"/>
        <item h="1" m="1" x="7660"/>
        <item h="1" m="1" x="6218"/>
        <item h="1" m="1" x="7663"/>
        <item h="1" m="1" x="7664"/>
        <item h="1" m="1" x="7536"/>
        <item h="1" m="1" x="4376"/>
        <item h="1" m="1" x="3613"/>
        <item h="1" m="1" x="6660"/>
        <item h="1" m="1" x="4151"/>
        <item h="1" m="1" x="6724"/>
        <item h="1" m="1" x="7666"/>
        <item h="1" m="1" x="7669"/>
        <item h="1" m="1" x="7670"/>
        <item h="1" m="1" x="5657"/>
        <item h="1" m="1" x="5644"/>
        <item h="1" m="1" x="7672"/>
        <item h="1" m="1" x="7673"/>
        <item h="1" m="1" x="6237"/>
        <item h="1" m="1" x="7580"/>
        <item h="1" m="1" x="7581"/>
        <item h="1" m="1" x="7582"/>
        <item h="1" m="1" x="7584"/>
        <item h="1" m="1" x="7585"/>
        <item h="1" m="1" x="7675"/>
        <item h="1" m="1" x="7590"/>
        <item h="1" m="1" x="7588"/>
        <item h="1" m="1" x="7589"/>
        <item h="1" m="1" x="7676"/>
        <item h="1" m="1" x="7286"/>
        <item h="1" m="1" x="7681"/>
        <item h="1" m="1" x="7682"/>
        <item h="1" m="1" x="7685"/>
        <item h="1" m="1" x="2026"/>
        <item h="1" m="1" x="7616"/>
        <item h="1" m="1" x="6812"/>
        <item h="1" m="1" x="7614"/>
        <item h="1" m="1" x="7615"/>
        <item h="1" m="1" x="6821"/>
        <item h="1" m="1" x="5501"/>
        <item h="1" m="1" x="5502"/>
        <item h="1" m="1" x="7633"/>
        <item h="1" m="1" x="7691"/>
        <item h="1" m="1" x="7300"/>
        <item h="1" m="1" x="7694"/>
        <item h="1" m="1" x="7696"/>
        <item h="1" m="1" x="7697"/>
        <item h="1" m="1" x="7087"/>
        <item h="1" m="1" x="7704"/>
        <item h="1" m="1" x="7705"/>
        <item h="1" m="1" x="7706"/>
        <item h="1" m="1" x="7707"/>
        <item h="1" m="1" x="7708"/>
        <item h="1" m="1" x="7709"/>
        <item h="1" m="1" x="7416"/>
        <item h="1" m="1" x="5111"/>
        <item h="1" m="1" x="6900"/>
        <item h="1" m="1" x="7711"/>
        <item h="1" m="1" x="6903"/>
        <item h="1" m="1" x="7712"/>
        <item h="1" m="1" x="5558"/>
        <item h="1" m="1" x="7713"/>
        <item h="1" m="1" x="7714"/>
        <item h="1" m="1" x="1890"/>
        <item h="1" m="1" x="5563"/>
        <item h="1" m="1" x="6208"/>
        <item h="1" m="1" x="7506"/>
        <item h="1" m="1" x="3149"/>
        <item h="1" m="1" x="7511"/>
        <item h="1" m="1" x="7512"/>
        <item h="1" m="1" x="7513"/>
        <item h="1" m="1" x="7210"/>
        <item h="1" m="1" x="7099"/>
        <item h="1" m="1" x="7527"/>
        <item h="1" m="1" x="7530"/>
        <item h="1" m="1" x="7531"/>
        <item h="1" m="1" x="7532"/>
        <item h="1" m="1" x="7533"/>
        <item h="1" m="1" x="7604"/>
        <item h="1" m="1" x="4643"/>
        <item h="1" m="1" x="7537"/>
        <item h="1" m="1" x="6644"/>
        <item h="1" m="1" x="5409"/>
        <item h="1" m="1" x="6693"/>
        <item h="1" m="1" x="6688"/>
        <item h="1" m="1" x="6689"/>
        <item h="1" m="1" x="7438"/>
        <item h="1" m="1" x="7538"/>
        <item h="1" m="1" x="7539"/>
        <item h="1" m="1" x="7540"/>
        <item h="1" m="1" x="6725"/>
        <item h="1" m="1" x="7541"/>
        <item h="1" m="1" x="6727"/>
        <item h="1" m="1" x="6920"/>
        <item h="1" m="1" x="6726"/>
        <item h="1" m="1" x="7542"/>
        <item h="1" m="1" x="7436"/>
        <item h="1" m="1" x="7437"/>
        <item h="1" m="1" x="7544"/>
        <item h="1" m="1" x="7545"/>
        <item h="1" m="1" x="470"/>
        <item h="1" m="1" x="7546"/>
        <item h="1" m="1" x="7547"/>
        <item h="1" m="1" x="7548"/>
        <item h="1" m="1" x="7549"/>
        <item h="1" m="1" x="7550"/>
        <item h="1" m="1" x="7555"/>
        <item h="1" m="1" x="7556"/>
        <item h="1" m="1" x="7557"/>
        <item h="1" m="1" x="7560"/>
        <item h="1" m="1" x="6734"/>
        <item h="1" m="1" x="7561"/>
        <item h="1" m="1" x="7562"/>
        <item h="1" m="1" x="7563"/>
        <item h="1" m="1" x="7566"/>
        <item h="1" m="1" x="5628"/>
        <item h="1" m="1" x="7568"/>
        <item h="1" m="1" x="6236"/>
        <item h="1" m="1" x="7578"/>
        <item h="1" m="1" x="7586"/>
        <item h="1" m="1" x="7587"/>
        <item h="1" m="1" x="7593"/>
        <item h="1" m="1" x="7594"/>
        <item h="1" m="1" x="6258"/>
        <item h="1" m="1" x="7595"/>
        <item h="1" m="1" x="929"/>
        <item h="1" m="1" x="7596"/>
        <item h="1" m="1" x="7597"/>
        <item h="1" m="1" x="7598"/>
        <item h="1" m="1" x="7599"/>
        <item h="1" m="1" x="660"/>
        <item h="1" m="1" x="7600"/>
        <item h="1" m="1" x="7601"/>
        <item h="1" m="1" x="7602"/>
        <item h="1" m="1" x="7603"/>
        <item h="1" m="1" x="7606"/>
        <item h="1" m="1" x="7607"/>
        <item h="1" m="1" x="7608"/>
        <item h="1" m="1" x="7609"/>
        <item h="1" m="1" x="6611"/>
        <item h="1" m="1" x="7610"/>
        <item h="1" m="1" x="7611"/>
        <item h="1" m="1" x="7612"/>
        <item h="1" m="1" x="7613"/>
        <item h="1" m="1" x="7617"/>
        <item h="1" m="1" x="7618"/>
        <item h="1" m="1" x="7619"/>
        <item h="1" m="1" x="5488"/>
        <item h="1" m="1" x="5487"/>
        <item h="1" m="1" x="2686"/>
        <item h="1" m="1" x="7627"/>
        <item h="1" m="1" x="7628"/>
        <item h="1" m="1" x="7630"/>
        <item h="1" m="1" x="6255"/>
        <item h="1" m="1" x="7631"/>
        <item h="1" m="1" x="7632"/>
        <item h="1" m="1" x="7460"/>
        <item h="1" m="1" x="7461"/>
        <item h="1" m="1" x="7459"/>
        <item h="1" m="1" x="7634"/>
        <item h="1" m="1" x="5083"/>
        <item h="1" m="1" x="7635"/>
        <item h="1" m="1" x="7636"/>
        <item h="1" m="1" x="7637"/>
        <item h="1" m="1" x="7638"/>
        <item h="1" m="1" x="7639"/>
        <item h="1" m="1" x="7640"/>
        <item h="1" m="1" x="7641"/>
        <item h="1" m="1" x="7642"/>
        <item h="1" m="1" x="4395"/>
        <item h="1" m="1" x="7644"/>
        <item h="1" m="1" x="7645"/>
        <item h="1" m="1" x="6846"/>
        <item h="1" m="1" x="7647"/>
        <item h="1" m="1" x="7648"/>
        <item h="1" x="286"/>
        <item h="1" m="1" x="7649"/>
        <item h="1" m="1" x="7650"/>
        <item h="1" m="1" x="6867"/>
        <item h="1" x="296"/>
        <item h="1" m="1" x="7651"/>
        <item h="1" m="1" x="7479"/>
        <item h="1" m="1" x="7480"/>
        <item h="1" m="1" x="7652"/>
        <item h="1" m="1" x="7653"/>
        <item h="1" m="1" x="7654"/>
        <item h="1" m="1" x="6852"/>
        <item h="1" m="1" x="7421"/>
        <item h="1" m="1" x="6895"/>
        <item h="1" m="1" x="6918"/>
        <item h="1" m="1" x="5379"/>
        <item h="1" m="1" x="5378"/>
        <item h="1" m="1" x="7176"/>
        <item h="1" m="1" x="7177"/>
        <item h="1" m="1" x="7175"/>
        <item h="1" m="1" x="7181"/>
        <item h="1" m="1" x="7187"/>
        <item h="1" m="1" x="7188"/>
        <item h="1" m="1" x="7189"/>
        <item h="1" m="1" x="5386"/>
        <item h="1" m="1" x="5393"/>
        <item h="1" m="1" x="2759"/>
        <item h="1" m="1" x="7426"/>
        <item h="1" m="1" x="5394"/>
        <item h="1" m="1" x="5399"/>
        <item h="1" m="1" x="5814"/>
        <item h="1" m="1" x="6658"/>
        <item h="1" m="1" x="3260"/>
        <item h="1" m="1" x="7439"/>
        <item h="1" m="1" x="6655"/>
        <item h="1" m="1" x="6712"/>
        <item h="1" m="1" x="7352"/>
        <item h="1" m="1" x="7353"/>
        <item h="1" m="1" x="7376"/>
        <item h="1" m="1" x="5447"/>
        <item h="1" m="1" x="5448"/>
        <item h="1" m="1" x="5449"/>
        <item h="1" m="1" x="7205"/>
        <item h="1" m="1" x="7213"/>
        <item h="1" m="1" x="7214"/>
        <item h="1" m="1" x="7215"/>
        <item h="1" m="1" x="7378"/>
        <item h="1" m="1" x="7217"/>
        <item h="1" m="1" x="6767"/>
        <item h="1" m="1" x="6768"/>
        <item h="1" m="1" x="7379"/>
        <item h="1" m="1" x="7380"/>
        <item h="1" m="1" x="7384"/>
        <item h="1" m="1" x="7246"/>
        <item h="1" m="1" x="7247"/>
        <item h="1" m="1" x="7248"/>
        <item h="1" m="1" x="7249"/>
        <item h="1" m="1" x="7250"/>
        <item h="1" m="1" x="7251"/>
        <item h="1" m="1" x="7252"/>
        <item h="1" m="1" x="7253"/>
        <item h="1" m="1" x="7149"/>
        <item h="1" m="1" x="7254"/>
        <item h="1" m="1" x="7255"/>
        <item h="1" m="1" x="7244"/>
        <item h="1" m="1" x="7259"/>
        <item h="1" m="1" x="7260"/>
        <item h="1" m="1" x="7261"/>
        <item h="1" m="1" x="7262"/>
        <item h="1" m="1" x="7263"/>
        <item h="1" m="1" x="6882"/>
        <item h="1" m="1" x="7264"/>
        <item h="1" m="1" x="1544"/>
        <item h="1" m="1" x="7265"/>
        <item h="1" m="1" x="7266"/>
        <item h="1" m="1" x="7267"/>
        <item h="1" m="1" x="7256"/>
        <item h="1" m="1" x="7258"/>
        <item h="1" m="1" x="7276"/>
        <item h="1" m="1" x="7282"/>
        <item h="1" m="1" x="6243"/>
        <item h="1" m="1" x="7283"/>
        <item h="1" m="1" x="6811"/>
        <item h="1" m="1" x="7295"/>
        <item h="1" m="1" x="7291"/>
        <item h="1" m="1" x="7441"/>
        <item h="1" m="1" x="7442"/>
        <item h="1" m="1" x="7443"/>
        <item h="1" m="1" x="7444"/>
        <item h="1" m="1" x="7445"/>
        <item h="1" m="1" x="7446"/>
        <item h="1" m="1" x="7447"/>
        <item h="1" m="1" x="7448"/>
        <item h="1" m="1" x="7449"/>
        <item h="1" m="1" x="7450"/>
        <item h="1" m="1" x="7451"/>
        <item h="1" m="1" x="7452"/>
        <item h="1" m="1" x="7453"/>
        <item h="1" m="1" x="7454"/>
        <item h="1" m="1" x="7455"/>
        <item h="1" m="1" x="7456"/>
        <item h="1" m="1" x="7457"/>
        <item h="1" m="1" x="7458"/>
        <item h="1" m="1" x="7399"/>
        <item h="1" m="1" x="5504"/>
        <item h="1" m="1" x="7464"/>
        <item h="1" m="1" x="7466"/>
        <item h="1" m="1" x="6932"/>
        <item h="1" m="1" x="6931"/>
        <item h="1" m="1" x="7008"/>
        <item h="1" m="1" x="7467"/>
        <item h="1" m="1" x="7468"/>
        <item h="1" m="1" x="6934"/>
        <item h="1" m="1" x="7414"/>
        <item h="1" m="1" x="7470"/>
        <item h="1" m="1" x="7471"/>
        <item h="1" m="1" x="5531"/>
        <item h="1" m="1" x="6563"/>
        <item h="1" m="1" x="7472"/>
        <item h="1" m="1" x="7473"/>
        <item h="1" m="1" x="7474"/>
        <item h="1" m="1" x="7476"/>
        <item h="1" m="1" x="7408"/>
        <item h="1" m="1" x="7142"/>
        <item h="1" m="1" x="6942"/>
        <item h="1" m="1" x="7418"/>
        <item h="1" m="1" x="6561"/>
        <item h="1" m="1" x="7482"/>
        <item h="1" m="1" x="7483"/>
        <item h="1" m="1" x="7484"/>
        <item h="1" m="1" x="7485"/>
        <item h="1" m="1" x="7486"/>
        <item h="1" m="1" x="7487"/>
        <item h="1" m="1" x="7488"/>
        <item h="1" m="1" x="7489"/>
        <item h="1" m="1" x="7490"/>
        <item h="1" m="1" x="7491"/>
        <item h="1" m="1" x="7492"/>
        <item h="1" m="1" x="7493"/>
        <item h="1" m="1" x="6884"/>
        <item h="1" m="1" x="6935"/>
        <item h="1" m="1" x="7494"/>
        <item h="1" m="1" x="6897"/>
        <item h="1" m="1" x="6896"/>
        <item h="1" m="1" x="7499"/>
        <item h="1" m="1" x="6933"/>
        <item h="1" m="1" x="7168"/>
        <item h="1" m="1" x="6564"/>
        <item h="1" m="1" x="4125"/>
        <item h="1" m="1" x="2330"/>
        <item h="1" m="1" x="7172"/>
        <item h="1" m="1" x="6575"/>
        <item h="1" m="1" x="7321"/>
        <item h="1" m="1" x="5375"/>
        <item h="1" m="1" x="7179"/>
        <item h="1" m="1" x="7180"/>
        <item h="1" m="1" x="7182"/>
        <item h="1" m="1" x="7106"/>
        <item h="1" m="1" x="7183"/>
        <item h="1" m="1" x="5385"/>
        <item h="1" m="1" x="4123"/>
        <item h="1" m="1" x="7322"/>
        <item h="1" m="1" x="6899"/>
        <item h="1" m="1" x="6220"/>
        <item h="1" m="1" x="6635"/>
        <item h="1" m="1" x="6219"/>
        <item h="1" m="1" x="7118"/>
        <item h="1" m="1" x="6526"/>
        <item h="1" m="1" x="6687"/>
        <item h="1" m="1" x="7349"/>
        <item h="1" m="1" x="7354"/>
        <item h="1" m="1" x="7355"/>
        <item h="1" m="1" x="6714"/>
        <item h="1" m="1" x="6926"/>
        <item h="1" m="1" x="7198"/>
        <item h="1" m="1" x="7199"/>
        <item h="1" m="1" x="7371"/>
        <item h="1" m="1" x="7372"/>
        <item h="1" m="1" x="7375"/>
        <item h="1" m="1" x="7377"/>
        <item h="1" m="1" x="5460"/>
        <item h="1" m="1" x="7381"/>
        <item h="1" m="1" x="7382"/>
        <item h="1" m="1" x="6084"/>
        <item h="1" m="1" x="7396"/>
        <item h="1" m="1" x="7397"/>
        <item h="1" m="1" x="7219"/>
        <item h="1" m="1" x="7220"/>
        <item h="1" m="1" x="7398"/>
        <item h="1" m="1" x="7221"/>
        <item h="1" m="1" x="6100"/>
        <item h="1" m="1" x="7257"/>
        <item h="1" m="1" x="7277"/>
        <item h="1" m="1" x="7278"/>
        <item h="1" m="1" x="7279"/>
        <item h="1" m="1" x="7280"/>
        <item h="1" m="1" x="7281"/>
        <item h="1" m="1" x="7289"/>
        <item h="1" m="1" x="5500"/>
        <item h="1" m="1" x="6815"/>
        <item h="1" m="1" x="7292"/>
        <item h="1" m="1" x="7294"/>
        <item h="1" m="1" x="7226"/>
        <item h="1" m="1" x="7239"/>
        <item h="1" m="1" x="7240"/>
        <item h="1" m="1" x="7241"/>
        <item h="1" m="1" x="7243"/>
        <item h="1" m="1" x="6810"/>
        <item h="1" m="1" x="7400"/>
        <item h="1" m="1" x="7401"/>
        <item h="1" m="1" x="7402"/>
        <item h="1" m="1" x="7403"/>
        <item h="1" m="1" x="7301"/>
        <item h="1" m="1" x="7404"/>
        <item h="1" m="1" x="7405"/>
        <item h="1" m="1" x="7406"/>
        <item h="1" m="1" x="7407"/>
        <item h="1" m="1" x="7409"/>
        <item h="1" m="1" x="7410"/>
        <item h="1" m="1" x="7411"/>
        <item h="1" m="1" x="7412"/>
        <item h="1" m="1" x="7413"/>
        <item h="1" m="1" x="7415"/>
        <item h="1" m="1" x="7311"/>
        <item h="1" m="1" x="3472"/>
        <item h="1" m="1" x="6861"/>
        <item h="1" m="1" x="7088"/>
        <item h="1" m="1" x="6995"/>
        <item h="1" m="1" x="7422"/>
        <item h="1" m="1" x="6898"/>
        <item h="1" m="1" x="6565"/>
        <item h="1" m="1" x="7169"/>
        <item h="1" m="1" x="7170"/>
        <item h="1" m="1" x="6856"/>
        <item h="1" m="1" x="6848"/>
        <item h="1" m="1" x="4832"/>
        <item h="1" m="1" x="1968"/>
        <item h="1" m="1" x="6577"/>
        <item h="1" m="1" x="717"/>
        <item h="1" m="1" x="7173"/>
        <item h="1" m="1" x="7174"/>
        <item h="1" m="1" x="6869"/>
        <item h="1" m="1" x="7178"/>
        <item h="1" m="1" x="7184"/>
        <item h="1" m="1" x="7185"/>
        <item h="1" m="1" x="6603"/>
        <item h="1" m="1" x="7186"/>
        <item h="1" m="1" x="6590"/>
        <item h="1" m="1" x="7190"/>
        <item h="1" m="1" x="6612"/>
        <item h="1" m="1" x="7191"/>
        <item h="1" m="1" x="7192"/>
        <item h="1" m="1" x="5812"/>
        <item h="1" m="1" x="2165"/>
        <item h="1" m="1" x="6637"/>
        <item h="1" m="1" x="993"/>
        <item h="1" m="1" x="7193"/>
        <item h="1" m="1" x="6666"/>
        <item h="1" m="1" x="6667"/>
        <item h="1" m="1" x="6665"/>
        <item h="1" m="1" x="6685"/>
        <item h="1" m="1" x="6695"/>
        <item h="1" m="1" x="6686"/>
        <item h="1" m="1" x="7003"/>
        <item h="1" m="1" x="7194"/>
        <item h="1" m="1" x="6905"/>
        <item h="1" m="1" x="7195"/>
        <item h="1" m="1" x="7196"/>
        <item h="1" m="1" x="7197"/>
        <item h="1" m="1" x="6050"/>
        <item h="1" m="1" x="6922"/>
        <item h="1" m="1" x="7201"/>
        <item h="1" m="1" x="6732"/>
        <item h="1" m="1" x="7203"/>
        <item h="1" m="1" x="4951"/>
        <item h="1" m="1" x="4952"/>
        <item h="1" m="1" x="7206"/>
        <item h="1" m="1" x="6941"/>
        <item h="1" m="1" x="7207"/>
        <item h="1" m="1" x="7208"/>
        <item h="1" m="1" x="6762"/>
        <item h="1" m="1" x="7209"/>
        <item h="1" m="1" x="7212"/>
        <item h="1" m="1" x="6947"/>
        <item h="1" m="1" x="7222"/>
        <item h="1" m="1" x="6245"/>
        <item h="1" m="1" x="6791"/>
        <item h="1" m="1" x="7227"/>
        <item h="1" m="1" x="7228"/>
        <item h="1" m="1" x="7229"/>
        <item h="1" m="1" x="7230"/>
        <item h="1" m="1" x="7231"/>
        <item h="1" m="1" x="7232"/>
        <item h="1" m="1" x="7233"/>
        <item h="1" m="1" x="7234"/>
        <item h="1" m="1" x="7235"/>
        <item h="1" m="1" x="7236"/>
        <item h="1" m="1" x="7028"/>
        <item h="1" m="1" x="7237"/>
        <item h="1" m="1" x="7238"/>
        <item h="1" m="1" x="6798"/>
        <item h="1" m="1" x="7242"/>
        <item h="1" m="1" x="7268"/>
        <item h="1" m="1" x="7269"/>
        <item h="1" m="1" x="3328"/>
        <item h="1" m="1" x="7270"/>
        <item h="1" m="1" x="7271"/>
        <item h="1" m="1" x="7272"/>
        <item h="1" m="1" x="7273"/>
        <item h="1" m="1" x="7274"/>
        <item h="1" m="1" x="7275"/>
        <item h="1" m="1" x="6099"/>
        <item h="1" m="1" x="7284"/>
        <item h="1" m="1" x="7288"/>
        <item h="1" m="1" x="7296"/>
        <item h="1" m="1" x="7297"/>
        <item h="1" m="1" x="7298"/>
        <item h="1" m="1" x="7299"/>
        <item h="1" m="1" x="6894"/>
        <item h="1" m="1" x="6891"/>
        <item h="1" x="0"/>
        <item h="1" m="1" x="7139"/>
        <item h="1" m="1" x="7140"/>
        <item h="1" m="1" x="1794"/>
        <item h="1" m="1" x="6893"/>
        <item h="1" m="1" x="7303"/>
        <item h="1" m="1" x="7304"/>
        <item h="1" m="1" x="7305"/>
        <item h="1" m="1" x="7306"/>
        <item h="1" m="1" x="7307"/>
        <item h="1" m="1" x="7308"/>
        <item h="1" m="1" x="1727"/>
        <item h="1" m="1" x="7309"/>
        <item h="1" m="1" x="7310"/>
        <item h="1" m="1" x="6877"/>
        <item h="1" m="1" x="7312"/>
        <item h="1" m="1" x="6937"/>
        <item h="1" m="1" x="6890"/>
        <item h="1" m="1" x="7313"/>
        <item h="1" m="1" x="7314"/>
        <item h="1" m="1" x="7315"/>
        <item h="1" m="1" x="6859"/>
        <item h="1" m="1" x="7316"/>
        <item h="1" m="1" x="7317"/>
        <item h="1" m="1" x="7318"/>
        <item h="1" m="1" x="6881"/>
        <item h="1" m="1" x="6944"/>
        <item h="1" m="1" x="6973"/>
        <item h="1" m="1" x="7319"/>
        <item h="1" m="1" x="7320"/>
        <item h="1" m="1" x="7049"/>
        <item h="1" m="1" x="7050"/>
        <item h="1" m="1" x="4820"/>
        <item h="1" m="1" x="7051"/>
        <item h="1" m="1" x="7052"/>
        <item h="1" m="1" x="1809"/>
        <item h="1" m="1" x="7053"/>
        <item h="1" m="1" x="7054"/>
        <item h="1" m="1" x="7055"/>
        <item h="1" m="1" x="7056"/>
        <item h="1" m="1" x="7057"/>
        <item h="1" m="1" x="7058"/>
        <item h="1" m="1" x="7059"/>
        <item h="1" m="1" x="7060"/>
        <item h="1" m="1" x="7061"/>
        <item h="1" m="1" x="7063"/>
        <item h="1" m="1" x="7064"/>
        <item h="1" m="1" x="7065"/>
        <item h="1" m="1" x="7067"/>
        <item h="1" m="1" x="7068"/>
        <item h="1" m="1" x="5894"/>
        <item h="1" m="1" x="7069"/>
        <item h="1" m="1" x="7071"/>
        <item h="1" m="1" x="7072"/>
        <item h="1" m="1" x="7073"/>
        <item h="1" m="1" x="7074"/>
        <item h="1" m="1" x="7075"/>
        <item h="1" m="1" x="7076"/>
        <item h="1" m="1" x="7078"/>
        <item h="1" m="1" x="7079"/>
        <item h="1" m="1" x="7080"/>
        <item h="1" m="1" x="7081"/>
        <item h="1" m="1" x="7082"/>
        <item h="1" m="1" x="6967"/>
        <item h="1" m="1" x="1719"/>
        <item h="1" m="1" x="7083"/>
        <item h="1" m="1" x="7085"/>
        <item h="1" m="1" x="7086"/>
        <item h="1" m="1" x="7089"/>
        <item h="1" m="1" x="7090"/>
        <item h="1" m="1" x="6870"/>
        <item h="1" m="1" x="7091"/>
        <item h="1" m="1" x="7092"/>
        <item h="1" m="1" x="7093"/>
        <item h="1" m="1" x="7094"/>
        <item h="1" m="1" x="7095"/>
        <item h="1" m="1" x="6979"/>
        <item h="1" m="1" x="6874"/>
        <item h="1" m="1" x="4805"/>
        <item h="1" m="1" x="7096"/>
        <item h="1" m="1" x="7097"/>
        <item h="1" m="1" x="5365"/>
        <item h="1" m="1" x="7098"/>
        <item h="1" m="1" x="7100"/>
        <item h="1" m="1" x="7101"/>
        <item h="1" m="1" x="7102"/>
        <item h="1" m="1" x="7103"/>
        <item h="1" m="1" x="7104"/>
        <item h="1" m="1" x="7105"/>
        <item h="1" m="1" x="7107"/>
        <item h="1" m="1" x="7108"/>
        <item h="1" m="1" x="5366"/>
        <item h="1" m="1" x="5906"/>
        <item h="1" m="1" x="4625"/>
        <item h="1" m="1" x="7110"/>
        <item h="1" m="1" x="5854"/>
        <item h="1" m="1" x="7111"/>
        <item h="1" m="1" x="7112"/>
        <item h="1" m="1" x="4394"/>
        <item h="1" m="1" x="7113"/>
        <item h="1" x="2"/>
        <item h="1" m="1" x="7114"/>
        <item h="1" m="1" x="6222"/>
        <item h="1" m="1" x="7115"/>
        <item h="1" m="1" x="6639"/>
        <item h="1" m="1" x="4590"/>
        <item h="1" m="1" x="7116"/>
        <item h="1" m="1" x="6638"/>
        <item h="1" m="1" x="7117"/>
        <item h="1" m="1" x="6670"/>
        <item h="1" m="1" x="7119"/>
        <item h="1" m="1" x="6908"/>
        <item h="1" m="1" x="6910"/>
        <item h="1" m="1" x="7120"/>
        <item h="1" m="1" x="6696"/>
        <item h="1" m="1" x="6683"/>
        <item h="1" m="1" x="6684"/>
        <item h="1" m="1" x="7121"/>
        <item h="1" x="3"/>
        <item h="1" x="4"/>
        <item h="1" m="1" x="3150"/>
        <item h="1" m="1" x="3599"/>
        <item h="1" x="5"/>
        <item h="1" m="1" x="7122"/>
        <item h="1" m="1" x="7123"/>
        <item h="1" x="387"/>
        <item h="1" m="1" x="5606"/>
        <item h="1" m="1" x="7124"/>
        <item h="1" m="1" x="7125"/>
        <item h="1" m="1" x="6702"/>
        <item h="1" m="1" x="6701"/>
        <item h="1" m="1" x="7126"/>
        <item h="1" m="1" x="7127"/>
        <item h="1" m="1" x="6705"/>
        <item h="1" m="1" x="6706"/>
        <item h="1" m="1" x="7128"/>
        <item h="1" m="1" x="6717"/>
        <item h="1" m="1" x="6719"/>
        <item h="1" m="1" x="6720"/>
        <item h="1" m="1" x="6919"/>
        <item h="1" x="91"/>
        <item h="1" m="1" x="6388"/>
        <item h="1" m="1" x="6718"/>
        <item h="1" m="1" x="6716"/>
        <item h="1" m="1" x="7007"/>
        <item h="1" m="1" x="7012"/>
        <item h="1" m="1" x="7013"/>
        <item h="1" m="1" x="7010"/>
        <item h="1" m="1" x="7006"/>
        <item h="1" m="1" x="7011"/>
        <item h="1" m="1" x="1167"/>
        <item h="1" m="1" x="7009"/>
        <item h="1" m="1" x="613"/>
        <item h="1" m="1" x="6738"/>
        <item h="1" m="1" x="6740"/>
        <item h="1" m="1" x="6736"/>
        <item h="1" m="1" x="7129"/>
        <item h="1" m="1" x="7130"/>
        <item h="1" m="1" x="7019"/>
        <item h="1" m="1" x="759"/>
        <item h="1" m="1" x="838"/>
        <item h="1" m="1" x="6761"/>
        <item h="1" m="1" x="7132"/>
        <item h="1" m="1" x="7133"/>
        <item h="1" m="1" x="5455"/>
        <item h="1" m="1" x="7134"/>
        <item h="1" m="1" x="7135"/>
        <item h="1" m="1" x="7136"/>
        <item h="1" m="1" x="7137"/>
        <item h="1" m="1" x="7138"/>
        <item h="1" m="1" x="4464"/>
        <item h="1" m="1" x="6082"/>
        <item h="1" m="1" x="6090"/>
        <item h="1" m="1" x="6091"/>
        <item h="1" x="14"/>
        <item h="1" m="1" x="5945"/>
        <item h="1" m="1" x="4982"/>
        <item h="1" m="1" x="6092"/>
        <item h="1" m="1" x="6093"/>
        <item h="1" m="1" x="5944"/>
        <item h="1" m="1" x="5684"/>
        <item h="1" m="1" x="5946"/>
        <item h="1" m="1" x="5685"/>
        <item h="1" m="1" x="7141"/>
        <item h="1" m="1" x="5329"/>
        <item h="1" m="1" x="6246"/>
        <item h="1" m="1" x="7143"/>
        <item h="1" m="1" x="7144"/>
        <item h="1" m="1" x="7145"/>
        <item h="1" m="1" x="7146"/>
        <item h="1" m="1" x="7147"/>
        <item h="1" m="1" x="7148"/>
        <item h="1" m="1" x="7150"/>
        <item h="1" m="1" x="7151"/>
        <item h="1" m="1" x="7152"/>
        <item h="1" m="1" x="7153"/>
        <item h="1" m="1" x="7154"/>
        <item h="1" m="1" x="7155"/>
        <item h="1" m="1" x="7156"/>
        <item h="1" m="1" x="7157"/>
        <item h="1" m="1" x="7158"/>
        <item h="1" m="1" x="7159"/>
        <item h="1" m="1" x="7160"/>
        <item h="1" m="1" x="7161"/>
        <item h="1" m="1" x="7162"/>
        <item h="1" m="1" x="7163"/>
        <item h="1" m="1" x="5709"/>
        <item h="1" m="1" x="7164"/>
        <item h="1" m="1" x="5708"/>
        <item h="1" m="1" x="7165"/>
        <item h="1" m="1" x="7166"/>
        <item h="1" m="1" x="5051"/>
        <item h="1" m="1" x="6291"/>
        <item h="1" m="1" x="6963"/>
        <item h="1" m="1" x="6830"/>
        <item h="1" m="1" x="5798"/>
        <item h="1" m="1" x="6833"/>
        <item h="1" m="1" x="6832"/>
        <item h="1" m="1" x="6831"/>
        <item h="1" m="1" x="6834"/>
        <item h="1" m="1" x="6964"/>
        <item h="1" m="1" x="6965"/>
        <item h="1" m="1" x="6966"/>
        <item h="1" m="1" x="5746"/>
        <item h="1" m="1" x="5194"/>
        <item h="1" m="1" x="6968"/>
        <item h="1" m="1" x="6969"/>
        <item h="1" m="1" x="6970"/>
        <item h="1" m="1" x="6971"/>
        <item h="1" m="1" x="6972"/>
        <item h="1" m="1" x="6849"/>
        <item h="1" m="1" x="6850"/>
        <item h="1" m="1" x="4546"/>
        <item h="1" m="1" x="6851"/>
        <item h="1" m="1" x="6974"/>
        <item h="1" m="1" x="6858"/>
        <item h="1" m="1" x="6857"/>
        <item h="1" m="1" x="6868"/>
        <item h="1" m="1" x="4837"/>
        <item h="1" m="1" x="6873"/>
        <item h="1" m="1" x="6976"/>
        <item h="1" m="1" x="6977"/>
        <item h="1" m="1" x="3284"/>
        <item h="1" m="1" x="6978"/>
        <item h="1" m="1" x="5747"/>
        <item h="1" m="1" x="6980"/>
        <item h="1" m="1" x="5377"/>
        <item h="1" m="1" x="6602"/>
        <item h="1" m="1" x="5571"/>
        <item h="1" m="1" x="6605"/>
        <item h="1" m="1" x="6982"/>
        <item h="1" m="1" x="482"/>
        <item h="1" m="1" x="6216"/>
        <item h="1" m="1" x="5907"/>
        <item h="1" m="1" x="6875"/>
        <item h="1" m="1" x="6876"/>
        <item h="1" m="1" x="6878"/>
        <item h="1" m="1" x="6880"/>
        <item h="1" m="1" x="6983"/>
        <item h="1" m="1" x="6984"/>
        <item h="1" m="1" x="6986"/>
        <item h="1" x="6"/>
        <item h="1" x="1"/>
        <item h="1" m="1" x="6989"/>
        <item h="1" m="1" x="834"/>
        <item h="1" m="1" x="4469"/>
        <item h="1" m="1" x="4575"/>
        <item h="1" m="1" x="6991"/>
        <item h="1" m="1" x="6992"/>
        <item h="1" m="1" x="6993"/>
        <item h="1" m="1" x="6221"/>
        <item h="1" m="1" x="6994"/>
        <item h="1" m="1" x="4573"/>
        <item h="1" m="1" x="6669"/>
        <item h="1" m="1" x="5215"/>
        <item h="1" m="1" x="733"/>
        <item h="1" m="1" x="6999"/>
        <item h="1" m="1" x="7000"/>
        <item h="1" m="1" x="6675"/>
        <item h="1" m="1" x="6907"/>
        <item h="1" m="1" x="6906"/>
        <item h="1" m="1" x="7001"/>
        <item h="1" m="1" x="7002"/>
        <item h="1" m="1" x="6916"/>
        <item h="1" m="1" x="6915"/>
        <item h="1" m="1" x="6682"/>
        <item h="1" m="1" x="6679"/>
        <item h="1" m="1" x="7004"/>
        <item h="1" m="1" x="6901"/>
        <item h="1" m="1" x="6681"/>
        <item h="1" m="1" x="3163"/>
        <item h="1" m="1" x="5430"/>
        <item h="1" m="1" x="5607"/>
        <item h="1" m="1" x="6722"/>
        <item h="1" m="1" x="4977"/>
        <item h="1" m="1" x="6924"/>
        <item h="1" m="1" x="6923"/>
        <item h="1" m="1" x="6513"/>
        <item h="1" m="1" x="7005"/>
        <item h="1" m="1" x="7018"/>
        <item h="1" x="9"/>
        <item h="1" m="1" x="6744"/>
        <item h="1" m="1" x="6743"/>
        <item h="1" m="1" x="6936"/>
        <item h="1" m="1" x="5446"/>
        <item h="1" m="1" x="7020"/>
        <item h="1" x="317"/>
        <item h="1" m="1" x="7021"/>
        <item h="1" m="1" x="7022"/>
        <item h="1" m="1" x="5943"/>
        <item h="1" m="1" x="5065"/>
        <item h="1" m="1" x="5675"/>
        <item h="1" m="1" x="6094"/>
        <item h="1" m="1" x="5948"/>
        <item h="1" m="1" x="5677"/>
        <item h="1" m="1" x="5949"/>
        <item h="1" m="1" x="5687"/>
        <item h="1" m="1" x="5688"/>
        <item h="1" m="1" x="5951"/>
        <item h="1" m="1" x="7023"/>
        <item h="1" m="1" x="7024"/>
        <item h="1" m="1" x="1695"/>
        <item h="1" m="1" x="7025"/>
        <item h="1" m="1" x="7026"/>
        <item h="1" m="1" x="7027"/>
        <item h="1" m="1" x="7029"/>
        <item h="1" m="1" x="4675"/>
        <item h="1" m="1" x="7030"/>
        <item h="1" m="1" x="7031"/>
        <item h="1" m="1" x="7032"/>
        <item h="1" m="1" x="7033"/>
        <item h="1" m="1" x="7034"/>
        <item h="1" m="1" x="7035"/>
        <item h="1" m="1" x="7036"/>
        <item h="1" m="1" x="7037"/>
        <item h="1" m="1" x="7038"/>
        <item h="1" m="1" x="7039"/>
        <item h="1" m="1" x="7040"/>
        <item h="1" m="1" x="7042"/>
        <item h="1" m="1" x="7043"/>
        <item h="1" m="1" x="7044"/>
        <item h="1" m="1" x="7045"/>
        <item h="1" m="1" x="7047"/>
        <item h="1" m="1" x="6962"/>
        <item h="1" m="1" x="7048"/>
        <item h="1" m="1" x="4047"/>
        <item h="1" m="1" x="5989"/>
        <item h="1" m="1" x="6829"/>
        <item h="1" m="1" x="5339"/>
        <item h="1" m="1" x="6837"/>
        <item h="1" m="1" x="6838"/>
        <item h="1" m="1" x="6839"/>
        <item h="1" m="1" x="6840"/>
        <item h="1" m="1" x="6841"/>
        <item h="1" m="1" x="6842"/>
        <item h="1" m="1" x="6843"/>
        <item h="1" m="1" x="6844"/>
        <item h="1" m="1" x="6845"/>
        <item h="1" m="1" x="6568"/>
        <item h="1" m="1" x="4290"/>
        <item h="1" m="1" x="4901"/>
        <item h="1" m="1" x="5897"/>
        <item h="1" m="1" x="3656"/>
        <item h="1" m="1" x="6576"/>
        <item h="1" m="1" x="6343"/>
        <item h="1" m="1" x="6344"/>
        <item h="1" m="1" x="6313"/>
        <item h="1" m="1" x="6582"/>
        <item h="1" m="1" x="6871"/>
        <item h="1" m="1" x="6872"/>
        <item h="1" m="1" x="5380"/>
        <item h="1" m="1" x="4842"/>
        <item h="1" m="1" x="6598"/>
        <item h="1" m="1" x="6599"/>
        <item h="1" m="1" x="5358"/>
        <item h="1" m="1" x="4168"/>
        <item h="1" m="1" x="6608"/>
        <item h="1" m="1" x="6609"/>
        <item h="1" m="1" x="6600"/>
        <item h="1" x="31"/>
        <item h="1" m="1" x="4878"/>
        <item h="1" m="1" x="5391"/>
        <item h="1" m="1" x="4879"/>
        <item h="1" m="1" x="5579"/>
        <item h="1" m="1" x="3922"/>
        <item h="1" m="1" x="5808"/>
        <item h="1" m="1" x="6632"/>
        <item h="1" m="1" x="6636"/>
        <item h="1" m="1" x="6668"/>
        <item h="1" m="1" x="912"/>
        <item h="1" m="1" x="6671"/>
        <item h="1" m="1" x="6672"/>
        <item h="1" m="1" x="6911"/>
        <item h="1" m="1" x="6912"/>
        <item h="1" m="1" x="6678"/>
        <item h="1" m="1" x="6677"/>
        <item h="1" m="1" x="6676"/>
        <item h="1" m="1" x="6680"/>
        <item h="1" m="1" x="6694"/>
        <item h="1" m="1" x="6913"/>
        <item h="1" m="1" x="4915"/>
        <item h="1" m="1" x="6699"/>
        <item h="1" m="1" x="5605"/>
        <item h="1" m="1" x="6698"/>
        <item h="1" m="1" x="6703"/>
        <item h="1" m="1" x="5604"/>
        <item h="1" m="1" x="6723"/>
        <item h="1" m="1" x="4898"/>
        <item h="1" m="1" x="6707"/>
        <item h="1" m="1" x="5931"/>
        <item h="1" m="1" x="6927"/>
        <item h="1" m="1" x="6733"/>
        <item h="1" m="1" x="6731"/>
        <item h="1" m="1" x="760"/>
        <item h="1" m="1" x="6756"/>
        <item h="1" m="1" x="6757"/>
        <item h="1" m="1" x="6765"/>
        <item h="1" m="1" x="6763"/>
        <item h="1" m="1" x="4966"/>
        <item h="1" m="1" x="6770"/>
        <item h="1" m="1" x="6771"/>
        <item h="1" m="1" x="6943"/>
        <item h="1" m="1" x="6948"/>
        <item h="1" m="1" x="6952"/>
        <item h="1" m="1" x="6953"/>
        <item h="1" m="1" x="2741"/>
        <item h="1" m="1" x="6954"/>
        <item h="1" m="1" x="6955"/>
        <item h="1" m="1" x="6089"/>
        <item h="1" m="1" x="5960"/>
        <item h="1" m="1" x="6777"/>
        <item h="1" m="1" x="6956"/>
        <item h="1" m="1" x="6783"/>
        <item h="1" m="1" x="6792"/>
        <item h="1" m="1" x="6790"/>
        <item h="1" m="1" x="6793"/>
        <item h="1" m="1" x="6806"/>
        <item h="1" m="1" x="6804"/>
        <item h="1" m="1" x="6805"/>
        <item h="1" m="1" x="6807"/>
        <item h="1" m="1" x="5345"/>
        <item h="1" m="1" x="6799"/>
        <item h="1" m="1" x="6800"/>
        <item h="1" m="1" x="5034"/>
        <item h="1" m="1" x="6257"/>
        <item h="1" m="1" x="6961"/>
        <item h="1" m="1" x="5978"/>
        <item h="1" m="1" x="6560"/>
        <item h="1" m="1" x="6539"/>
        <item h="1" m="1" x="6567"/>
        <item h="1" m="1" x="6169"/>
        <item h="1" m="1" x="6213"/>
        <item h="1" m="1" x="6212"/>
        <item h="1" m="1" x="6573"/>
        <item h="1" m="1" x="6574"/>
        <item h="1" m="1" x="6578"/>
        <item h="1" m="1" x="6579"/>
        <item h="1" m="1" x="6580"/>
        <item h="1" m="1" x="6581"/>
        <item h="1" m="1" x="6583"/>
        <item h="1" m="1" x="6584"/>
        <item h="1" m="1" x="6588"/>
        <item h="1" m="1" x="6589"/>
        <item h="1" m="1" x="5332"/>
        <item h="1" m="1" x="5376"/>
        <item h="1" m="1" x="636"/>
        <item h="1" m="1" x="6606"/>
        <item h="1" m="1" x="6607"/>
        <item h="1" m="1" x="4857"/>
        <item h="1" m="1" x="6615"/>
        <item h="1" m="1" x="6622"/>
        <item h="1" m="1" x="6623"/>
        <item h="1" m="1" x="4691"/>
        <item h="1" m="1" x="1795"/>
        <item h="1" m="1" x="6267"/>
        <item h="1" m="1" x="1796"/>
        <item h="1" m="1" x="6360"/>
        <item h="1" m="1" x="6223"/>
        <item h="1" m="1" x="5303"/>
        <item h="1" m="1" x="6673"/>
        <item h="1" m="1" x="6674"/>
        <item h="1" m="1" x="6361"/>
        <item h="1" m="1" x="6697"/>
        <item h="1" m="1" x="2027"/>
        <item h="1" m="1" x="6700"/>
        <item h="1" m="1" x="6527"/>
        <item h="1" m="1" x="6483"/>
        <item h="1" m="1" x="6451"/>
        <item h="1" m="1" x="6747"/>
        <item h="1" m="1" x="6748"/>
        <item h="1" m="1" x="6750"/>
        <item h="1" m="1" x="6758"/>
        <item h="1" m="1" x="6764"/>
        <item h="1" m="1" x="6766"/>
        <item h="1" m="1" x="5937"/>
        <item h="1" m="1" x="5875"/>
        <item h="1" m="1" x="6466"/>
        <item h="1" m="1" x="6088"/>
        <item h="1" m="1" x="5148"/>
        <item h="1" m="1" x="5958"/>
        <item h="1" m="1" x="5959"/>
        <item h="1" m="1" x="5674"/>
        <item h="1" m="1" x="6779"/>
        <item h="1" m="1" x="6781"/>
        <item h="1" m="1" x="6782"/>
        <item h="1" m="1" x="6789"/>
        <item h="1" m="1" x="6794"/>
        <item h="1" m="1" x="6795"/>
        <item h="1" m="1" x="6796"/>
        <item h="1" m="1" x="6797"/>
        <item h="1" m="1" x="6248"/>
        <item h="1" m="1" x="6801"/>
        <item h="1" m="1" x="6802"/>
        <item h="1" m="1" x="6808"/>
        <item h="1" m="1" x="6813"/>
        <item h="1" m="1" x="6256"/>
        <item h="1" m="1" x="6823"/>
        <item h="1" m="1" x="6824"/>
        <item h="1" m="1" x="6825"/>
        <item h="1" m="1" x="6367"/>
        <item h="1" m="1" x="6207"/>
        <item h="1" m="1" x="6368"/>
        <item h="1" m="1" x="6209"/>
        <item h="1" m="1" x="5567"/>
        <item h="1" m="1" x="3991"/>
        <item h="1" m="1" x="4829"/>
        <item h="1" m="1" x="6369"/>
        <item h="1" m="1" x="6370"/>
        <item h="1" m="1" x="6371"/>
        <item h="1" m="1" x="6372"/>
        <item h="1" m="1" x="5905"/>
        <item h="1" m="1" x="6373"/>
        <item h="1" m="1" x="6374"/>
        <item h="1" m="1" x="5220"/>
        <item h="1" m="1" x="5222"/>
        <item h="1" m="1" x="5221"/>
        <item h="1" m="1" x="5574"/>
        <item h="1" m="1" x="5575"/>
        <item h="1" m="1" x="5223"/>
        <item h="1" m="1" x="5224"/>
        <item h="1" m="1" x="1743"/>
        <item h="1" m="1" x="2282"/>
        <item h="1" m="1" x="6375"/>
        <item h="1" m="1" x="6376"/>
        <item h="1" m="1" x="4856"/>
        <item h="1" m="1" x="5465"/>
        <item h="1" m="1" x="1840"/>
        <item h="1" m="1" x="1088"/>
        <item h="1" m="1" x="4831"/>
        <item h="1" m="1" x="6049"/>
        <item h="1" m="1" x="5924"/>
        <item h="1" m="1" x="5903"/>
        <item h="1" m="1" x="5902"/>
        <item h="1" m="1" x="5577"/>
        <item h="1" m="1" x="4870"/>
        <item h="1" m="1" x="4869"/>
        <item h="1" m="1" x="6379"/>
        <item h="1" m="1" x="6380"/>
        <item h="1" m="1" x="6381"/>
        <item h="1" m="1" x="1735"/>
        <item h="1" m="1" x="6230"/>
        <item h="1" m="1" x="5397"/>
        <item h="1" m="1" x="6226"/>
        <item h="1" m="1" x="6227"/>
        <item h="1" m="1" x="6228"/>
        <item h="1" m="1" x="6229"/>
        <item h="1" m="1" x="6224"/>
        <item h="1" m="1" x="6225"/>
        <item h="1" m="1" x="4268"/>
        <item h="1" m="1" x="6382"/>
        <item h="1" m="1" x="5927"/>
        <item h="1" m="1" x="5404"/>
        <item h="1" m="1" x="5402"/>
        <item h="1" m="1" x="6384"/>
        <item h="1" m="1" x="5423"/>
        <item h="1" m="1" x="5422"/>
        <item h="1" m="1" x="5425"/>
        <item h="1" m="1" x="5424"/>
        <item h="1" m="1" x="4914"/>
        <item h="1" m="1" x="5429"/>
        <item h="1" m="1" x="6385"/>
        <item h="1" m="1" x="5613"/>
        <item h="1" m="1" x="6386"/>
        <item h="1" m="1" x="6387"/>
        <item h="1" m="1" x="4924"/>
        <item h="1" m="1" x="4919"/>
        <item h="1" m="1" x="6073"/>
        <item h="1" m="1" x="6075"/>
        <item h="1" m="1" x="6074"/>
        <item h="1" x="211"/>
        <item h="1" m="1" x="5437"/>
        <item h="1" m="1" x="1156"/>
        <item h="1" m="1" x="5655"/>
        <item h="1" m="1" x="5650"/>
        <item h="1" m="1" x="6390"/>
        <item h="1" m="1" x="6359"/>
        <item h="1" m="1" x="5645"/>
        <item h="1" m="1" x="5647"/>
        <item h="1" m="1" x="5642"/>
        <item h="1" m="1" x="5640"/>
        <item h="1" m="1" x="5641"/>
        <item h="1" m="1" x="5662"/>
        <item h="1" m="1" x="5450"/>
        <item h="1" m="1" x="4945"/>
        <item h="1" m="1" x="6391"/>
        <item h="1" m="1" x="6392"/>
        <item h="1" m="1" x="6393"/>
        <item h="1" m="1" x="6394"/>
        <item h="1" x="226"/>
        <item h="1" m="1" x="6395"/>
        <item h="1" m="1" x="5961"/>
        <item h="1" m="1" x="5673"/>
        <item h="1" m="1" x="6097"/>
        <item h="1" m="1" x="3440"/>
        <item h="1" m="1" x="5672"/>
        <item h="1" m="1" x="5324"/>
        <item h="1" m="1" x="2157"/>
        <item h="1" m="1" x="6085"/>
        <item h="1" m="1" x="6086"/>
        <item h="1" m="1" x="6087"/>
        <item h="1" m="1" x="3410"/>
        <item h="1" m="1" x="6396"/>
        <item h="1" m="1" x="6244"/>
        <item h="1" m="1" x="6397"/>
        <item h="1" m="1" x="6398"/>
        <item h="1" m="1" x="6399"/>
        <item h="1" m="1" x="6400"/>
        <item h="1" m="1" x="6401"/>
        <item h="1" m="1" x="5470"/>
        <item h="1" m="1" x="5482"/>
        <item h="1" m="1" x="6402"/>
        <item h="1" m="1" x="6403"/>
        <item h="1" m="1" x="5484"/>
        <item h="1" m="1" x="6404"/>
        <item h="1" m="1" x="6405"/>
        <item h="1" m="1" x="6406"/>
        <item h="1" m="1" x="6407"/>
        <item h="1" m="1" x="6408"/>
        <item h="1" m="1" x="6409"/>
        <item h="1" m="1" x="6410"/>
        <item h="1" m="1" x="6411"/>
        <item h="1" m="1" x="6412"/>
        <item h="1" m="1" x="6413"/>
        <item h="1" m="1" x="5480"/>
        <item h="1" m="1" x="6252"/>
        <item h="1" m="1" x="5060"/>
        <item h="1" m="1" x="4718"/>
        <item h="1" m="1" x="5008"/>
        <item h="1" m="1" x="5009"/>
        <item h="1" m="1" x="6414"/>
        <item h="1" m="1" x="6415"/>
        <item h="1" m="1" x="6416"/>
        <item h="1" m="1" x="6417"/>
        <item h="1" m="1" x="4404"/>
        <item h="1" m="1" x="734"/>
        <item h="1" m="1" x="5489"/>
        <item h="1" m="1" x="6418"/>
        <item h="1" m="1" x="6419"/>
        <item h="1" m="1" x="6420"/>
        <item h="1" m="1" x="6421"/>
        <item h="1" m="1" x="6422"/>
        <item h="1" m="1" x="6423"/>
        <item h="1" m="1" x="5048"/>
        <item h="1" m="1" x="5874"/>
        <item h="1" m="1" x="5965"/>
        <item h="1" m="1" x="6424"/>
        <item h="1" m="1" x="5483"/>
        <item h="1" m="1" x="6425"/>
        <item h="1" m="1" x="6426"/>
        <item h="1" m="1" x="2834"/>
        <item h="1" m="1" x="975"/>
        <item h="1" m="1" x="6427"/>
        <item h="1" m="1" x="6428"/>
        <item h="1" m="1" x="6429"/>
        <item h="1" m="1" x="6430"/>
        <item h="1" m="1" x="6431"/>
        <item h="1" m="1" x="6432"/>
        <item h="1" m="1" x="6433"/>
        <item h="1" m="1" x="6434"/>
        <item h="1" m="1" x="6435"/>
        <item h="1" m="1" x="6437"/>
        <item h="1" m="1" x="6438"/>
        <item h="1" m="1" x="6439"/>
        <item h="1" m="1" x="6440"/>
        <item h="1" m="1" x="6441"/>
        <item h="1" m="1" x="6442"/>
        <item h="1" m="1" x="6443"/>
        <item h="1" m="1" x="6444"/>
        <item h="1" m="1" x="6445"/>
        <item h="1" m="1" x="6446"/>
        <item h="1" m="1" x="6447"/>
        <item h="1" m="1" x="6448"/>
        <item h="1" m="1" x="6449"/>
        <item h="1" m="1" x="6450"/>
        <item h="1" m="1" x="6452"/>
        <item h="1" m="1" x="6453"/>
        <item h="1" m="1" x="6454"/>
        <item h="1" m="1" x="6455"/>
        <item h="1" m="1" x="6456"/>
        <item h="1" m="1" x="6457"/>
        <item h="1" m="1" x="6458"/>
        <item h="1" m="1" x="6459"/>
        <item h="1" m="1" x="6460"/>
        <item h="1" m="1" x="6461"/>
        <item h="1" m="1" x="5067"/>
        <item h="1" m="1" x="6275"/>
        <item h="1" m="1" x="6462"/>
        <item h="1" m="1" x="708"/>
        <item h="1" m="1" x="6271"/>
        <item h="1" m="1" x="6270"/>
        <item h="1" m="1" x="6269"/>
        <item h="1" m="1" x="6297"/>
        <item h="1" m="1" x="6285"/>
        <item h="1" m="1" x="6286"/>
        <item h="1" m="1" x="6295"/>
        <item h="1" m="1" x="6292"/>
        <item h="1" m="1" x="6293"/>
        <item h="1" m="1" x="6294"/>
        <item h="1" m="1" x="6289"/>
        <item h="1" m="1" x="6288"/>
        <item h="1" m="1" x="6290"/>
        <item h="1" m="1" x="6296"/>
        <item h="1" m="1" x="6274"/>
        <item h="1" m="1" x="6278"/>
        <item h="1" m="1" x="6279"/>
        <item h="1" m="1" x="6280"/>
        <item h="1" m="1" x="6281"/>
        <item h="1" m="1" x="5198"/>
        <item h="1" m="1" x="6282"/>
        <item h="1" m="1" x="6283"/>
        <item h="1" m="1" x="6284"/>
        <item h="1" m="1" x="6463"/>
        <item h="1" m="1" x="6464"/>
        <item h="1" m="1" x="6465"/>
        <item h="1" m="1" x="6467"/>
        <item h="1" m="1" x="6468"/>
        <item h="1" m="1" x="6469"/>
        <item h="1" m="1" x="3338"/>
        <item h="1" m="1" x="6470"/>
        <item h="1" m="1" x="6310"/>
        <item h="1" m="1" x="6311"/>
        <item h="1" m="1" x="6309"/>
        <item h="1" m="1" x="6471"/>
        <item h="1" m="1" x="6312"/>
        <item h="1" m="1" x="5290"/>
        <item h="1" m="1" x="6472"/>
        <item h="1" m="1" x="6473"/>
        <item h="1" m="1" x="6474"/>
        <item h="1" m="1" x="6475"/>
        <item h="1" m="1" x="6316"/>
        <item h="1" m="1" x="6300"/>
        <item h="1" m="1" x="6476"/>
        <item h="1" m="1" x="6477"/>
        <item h="1" m="1" x="3999"/>
        <item h="1" m="1" x="6478"/>
        <item h="1" m="1" x="6479"/>
        <item h="1" m="1" x="6480"/>
        <item h="1" m="1" x="6481"/>
        <item h="1" m="1" x="6484"/>
        <item h="1" m="1" x="6143"/>
        <item h="1" m="1" x="6485"/>
        <item h="1" m="1" x="6486"/>
        <item h="1" m="1" x="6487"/>
        <item h="1" m="1" x="6488"/>
        <item h="1" m="1" x="6489"/>
        <item h="1" m="1" x="6490"/>
        <item h="1" m="1" x="6491"/>
        <item h="1" m="1" x="6492"/>
        <item h="1" m="1" x="6494"/>
        <item h="1" m="1" x="6495"/>
        <item h="1" m="1" x="5541"/>
        <item h="1" m="1" x="6158"/>
        <item h="1" m="1" x="6496"/>
        <item h="1" m="1" x="6497"/>
        <item h="1" m="1" x="6498"/>
        <item h="1" m="1" x="6499"/>
        <item h="1" m="1" x="786"/>
        <item h="1" m="1" x="6500"/>
        <item h="1" m="1" x="5302"/>
        <item h="1" m="1" x="6501"/>
        <item h="1" m="1" x="6502"/>
        <item h="1" m="1" x="6504"/>
        <item h="1" m="1" x="6505"/>
        <item h="1" m="1" x="6506"/>
        <item h="1" m="1" x="6507"/>
        <item h="1" x="10"/>
        <item h="1" m="1" x="6508"/>
        <item h="1" m="1" x="6509"/>
        <item h="1" m="1" x="2205"/>
        <item h="1" m="1" x="6510"/>
        <item h="1" m="1" x="6511"/>
        <item h="1" m="1" x="6512"/>
        <item h="1" m="1" x="6515"/>
        <item h="1" m="1" x="6516"/>
        <item h="1" m="1" x="6517"/>
        <item h="1" m="1" x="6518"/>
        <item h="1" m="1" x="6519"/>
        <item h="1" m="1" x="6520"/>
        <item h="1" m="1" x="6521"/>
        <item h="1" m="1" x="6522"/>
        <item h="1" m="1" x="6523"/>
        <item h="1" m="1" x="6524"/>
        <item h="1" m="1" x="6525"/>
        <item h="1" m="1" x="6346"/>
        <item h="1" m="1" x="5135"/>
        <item h="1" m="1" x="6345"/>
        <item h="1" m="1" x="6348"/>
        <item h="1" m="1" x="6357"/>
        <item h="1" m="1" x="6356"/>
        <item h="1" m="1" x="6355"/>
        <item h="1" m="1" x="6350"/>
        <item h="1" m="1" x="6529"/>
        <item h="1" m="1" x="6530"/>
        <item h="1" m="1" x="6531"/>
        <item h="1" m="1" x="5795"/>
        <item h="1" m="1" x="5147"/>
        <item h="1" m="1" x="3441"/>
        <item h="1" m="1" x="6532"/>
        <item h="1" m="1" x="6534"/>
        <item h="1" m="1" x="6536"/>
        <item h="1" m="1" x="6538"/>
        <item h="1" m="1" x="1215"/>
        <item h="1" m="1" x="6540"/>
        <item h="1" m="1" x="6543"/>
        <item h="1" m="1" x="6544"/>
        <item h="1" m="1" x="5153"/>
        <item h="1" m="1" x="2548"/>
        <item h="1" m="1" x="5328"/>
        <item h="1" m="1" x="6548"/>
        <item h="1" m="1" x="6549"/>
        <item h="1" m="1" x="6550"/>
        <item h="1" m="1" x="5796"/>
        <item h="1" m="1" x="6552"/>
        <item h="1" m="1" x="6553"/>
        <item h="1" m="1" x="6554"/>
        <item h="1" m="1" x="6556"/>
        <item h="1" m="1" x="5159"/>
        <item h="1" m="1" x="6557"/>
        <item h="1" m="1" x="6558"/>
        <item h="1" m="1" x="6559"/>
        <item h="1" x="137"/>
        <item h="1" m="1" x="5562"/>
        <item h="1" m="1" x="4821"/>
        <item h="1" m="1" x="5560"/>
        <item h="1" m="1" x="6210"/>
        <item h="1" m="1" x="4637"/>
        <item h="1" m="1" x="4848"/>
        <item h="1" m="1" x="5363"/>
        <item h="1" m="1" x="6215"/>
        <item h="1" m="1" x="6217"/>
        <item h="1" m="1" x="4858"/>
        <item h="1" m="1" x="4565"/>
        <item h="1" m="1" x="5580"/>
        <item h="1" m="1" x="5390"/>
        <item h="1" m="1" x="4871"/>
        <item h="1" m="1" x="5389"/>
        <item h="1" m="1" x="6231"/>
        <item h="1" m="1" x="6232"/>
        <item h="1" m="1" x="6233"/>
        <item h="1" m="1" x="5438"/>
        <item h="1" m="1" x="5594"/>
        <item h="1" m="1" x="5595"/>
        <item h="1" m="1" x="4688"/>
        <item h="1" m="1" x="4690"/>
        <item h="1" m="1" x="5418"/>
        <item h="1" m="1" x="5600"/>
        <item h="1" m="1" x="5428"/>
        <item h="1" m="1" x="5617"/>
        <item h="1" m="1" x="5654"/>
        <item h="1" m="1" x="4455"/>
        <item h="1" m="1" x="5614"/>
        <item h="1" m="1" x="2531"/>
        <item h="1" m="1" x="5626"/>
        <item h="1" m="1" x="5618"/>
        <item h="1" m="1" x="2378"/>
        <item h="1" m="1" x="6176"/>
        <item h="1" m="1" x="5658"/>
        <item h="1" m="1" x="4701"/>
        <item h="1" m="1" x="4954"/>
        <item h="1" m="1" x="6238"/>
        <item h="1" m="1" x="5458"/>
        <item h="1" m="1" x="6239"/>
        <item h="1" m="1" x="5938"/>
        <item h="1" m="1" x="5692"/>
        <item h="1" m="1" x="5953"/>
        <item h="1" m="1" x="5954"/>
        <item h="1" m="1" x="4937"/>
        <item h="1" m="1" x="5955"/>
        <item h="1" m="1" x="5956"/>
        <item h="1" m="1" x="4980"/>
        <item h="1" m="1" x="6101"/>
        <item h="1" m="1" x="6240"/>
        <item h="1" m="1" x="6241"/>
        <item h="1" m="1" x="6242"/>
        <item h="1" m="1" x="6247"/>
        <item h="1" x="7"/>
        <item h="1" m="1" x="5259"/>
        <item h="1" m="1" x="5260"/>
        <item h="1" m="1" x="5249"/>
        <item h="1" m="1" x="6249"/>
        <item h="1" m="1" x="6250"/>
        <item h="1" m="1" x="6251"/>
        <item h="1" m="1" x="6253"/>
        <item h="1" m="1" x="1854"/>
        <item h="1" m="1" x="6254"/>
        <item h="1" m="1" x="5486"/>
        <item h="1" m="1" x="5040"/>
        <item h="1" m="1" x="6177"/>
        <item h="1" m="1" x="6178"/>
        <item h="1" m="1" x="6179"/>
        <item h="1" m="1" x="2553"/>
        <item h="1" m="1" x="5033"/>
        <item h="1" m="1" x="6259"/>
        <item h="1" m="1" x="6260"/>
        <item h="1" m="1" x="6261"/>
        <item h="1" m="1" x="6262"/>
        <item h="1" m="1" x="6263"/>
        <item h="1" m="1" x="6264"/>
        <item h="1" m="1" x="6265"/>
        <item h="1" m="1" x="6266"/>
        <item h="1" m="1" x="5068"/>
        <item h="1" m="1" x="5994"/>
        <item h="1" m="1" x="6268"/>
        <item h="1" m="1" x="6272"/>
        <item h="1" m="1" x="6273"/>
        <item h="1" m="1" x="6276"/>
        <item h="1" m="1" x="6277"/>
        <item h="1" m="1" x="6287"/>
        <item h="1" m="1" x="6298"/>
        <item h="1" m="1" x="6299"/>
        <item h="1" m="1" x="6301"/>
        <item h="1" m="1" x="6302"/>
        <item h="1" m="1" x="6303"/>
        <item h="1" m="1" x="6305"/>
        <item h="1" m="1" x="6306"/>
        <item h="1" m="1" x="6307"/>
        <item h="1" m="1" x="6308"/>
        <item h="1" m="1" x="5089"/>
        <item h="1" m="1" x="6314"/>
        <item h="1" m="1" x="6315"/>
        <item h="1" m="1" x="6141"/>
        <item h="1" m="1" x="6317"/>
        <item h="1" m="1" x="6321"/>
        <item h="1" m="1" x="6319"/>
        <item h="1" m="1" x="6318"/>
        <item h="1" m="1" x="6320"/>
        <item h="1" m="1" x="6322"/>
        <item h="1" m="1" x="6323"/>
        <item h="1" m="1" x="6324"/>
        <item h="1" m="1" x="6325"/>
        <item h="1" m="1" x="6326"/>
        <item h="1" m="1" x="6013"/>
        <item h="1" m="1" x="5748"/>
        <item h="1" m="1" x="6328"/>
        <item h="1" m="1" x="6329"/>
        <item h="1" m="1" x="6330"/>
        <item h="1" m="1" x="6331"/>
        <item h="1" m="1" x="6332"/>
        <item h="1" m="1" x="6333"/>
        <item h="1" m="1" x="6199"/>
        <item h="1" m="1" x="6334"/>
        <item h="1" m="1" x="6335"/>
        <item h="1" m="1" x="6336"/>
        <item h="1" m="1" x="6337"/>
        <item h="1" m="1" x="6338"/>
        <item h="1" m="1" x="6339"/>
        <item h="1" m="1" x="6340"/>
        <item h="1" m="1" x="5542"/>
        <item h="1" m="1" x="6341"/>
        <item h="1" m="1" x="6205"/>
        <item h="1" m="1" x="6206"/>
        <item h="1" m="1" x="6342"/>
        <item h="1" m="1" x="6347"/>
        <item h="1" m="1" x="6349"/>
        <item h="1" m="1" x="1850"/>
        <item h="1" m="1" x="6351"/>
        <item h="1" m="1" x="6352"/>
        <item h="1" m="1" x="6353"/>
        <item h="1" m="1" x="6354"/>
        <item h="1" m="1" x="6358"/>
        <item h="1" x="12"/>
        <item h="1" m="1" x="4689"/>
        <item h="1" m="1" x="6362"/>
        <item h="1" m="1" x="6363"/>
        <item h="1" m="1" x="6364"/>
        <item h="1" m="1" x="6365"/>
        <item h="1" m="1" x="484"/>
        <item h="1" m="1" x="6048"/>
        <item h="1" m="1" x="5352"/>
        <item h="1" m="1" x="5357"/>
        <item h="1" m="1" x="2113"/>
        <item h="1" m="1" x="6052"/>
        <item h="1" m="1" x="6056"/>
        <item h="1" m="1" x="6055"/>
        <item h="1" m="1" x="4862"/>
        <item h="1" m="1" x="6057"/>
        <item h="1" m="1" x="6058"/>
        <item h="1" m="1" x="6059"/>
        <item h="1" m="1" x="5806"/>
        <item h="1" m="1" x="6051"/>
        <item h="1" m="1" x="6170"/>
        <item h="1" m="1" x="5925"/>
        <item h="1" m="1" x="5387"/>
        <item h="1" m="1" x="4545"/>
        <item h="1" m="1" x="5581"/>
        <item h="1" m="1" x="5582"/>
        <item h="1" m="1" x="3411"/>
        <item h="1" m="1" x="5405"/>
        <item h="1" m="1" x="5820"/>
        <item h="1" m="1" x="4900"/>
        <item h="1" m="1" x="6171"/>
        <item h="1" m="1" x="6172"/>
        <item h="1" m="1" x="6066"/>
        <item h="1" m="1" x="6173"/>
        <item h="1" m="1" x="6174"/>
        <item h="1" m="1" x="6175"/>
        <item h="1" m="1" x="6070"/>
        <item h="1" m="1" x="5611"/>
        <item h="1" m="1" x="4925"/>
        <item h="1" m="1" x="4929"/>
        <item h="1" m="1" x="5666"/>
        <item h="1" m="1" x="722"/>
        <item h="1" m="1" x="5439"/>
        <item h="1" m="1" x="5634"/>
        <item h="1" m="1" x="5636"/>
        <item h="1" m="1" x="5637"/>
        <item h="1" m="1" x="4939"/>
        <item h="1" m="1" x="5630"/>
        <item h="1" m="1" x="5631"/>
        <item h="1" m="1" x="5632"/>
        <item h="1" m="1" x="6079"/>
        <item h="1" m="1" x="6080"/>
        <item h="1" m="1" x="6078"/>
        <item h="1" x="383"/>
        <item h="1" m="1" x="5939"/>
        <item h="1" m="1" x="5952"/>
        <item h="1" m="1" x="5305"/>
        <item h="1" m="1" x="5699"/>
        <item h="1" m="1" x="5001"/>
        <item h="1" m="1" x="6102"/>
        <item h="1" m="1" x="6103"/>
        <item h="1" m="1" x="5702"/>
        <item h="1" m="1" x="6109"/>
        <item h="1" m="1" x="6108"/>
        <item h="1" m="1" x="6118"/>
        <item h="1" m="1" x="6119"/>
        <item h="1" m="1" x="5497"/>
        <item h="1" m="1" x="5267"/>
        <item h="1" m="1" x="6111"/>
        <item h="1" m="1" x="875"/>
        <item h="1" m="1" x="6180"/>
        <item h="1" m="1" x="6181"/>
        <item h="1" m="1" x="6182"/>
        <item h="1" m="1" x="6183"/>
        <item h="1" m="1" x="6184"/>
        <item h="1" m="1" x="6185"/>
        <item h="1" m="1" x="6186"/>
        <item h="1" m="1" x="6187"/>
        <item h="1" m="1" x="6188"/>
        <item h="1" m="1" x="6189"/>
        <item h="1" m="1" x="6190"/>
        <item h="1" m="1" x="6191"/>
        <item h="1" m="1" x="6192"/>
        <item h="1" m="1" x="6193"/>
        <item h="1" m="1" x="6131"/>
        <item h="1" m="1" x="6194"/>
        <item h="1" m="1" x="5539"/>
        <item h="1" m="1" x="6195"/>
        <item h="1" m="1" x="6196"/>
        <item h="1" m="1" x="6000"/>
        <item h="1" m="1" x="6002"/>
        <item h="1" m="1" x="6197"/>
        <item h="1" m="1" x="6198"/>
        <item h="1" m="1" x="6132"/>
        <item h="1" m="1" x="3501"/>
        <item h="1" m="1" x="745"/>
        <item h="1" m="1" x="6146"/>
        <item h="1" m="1" x="6147"/>
        <item h="1" m="1" x="6148"/>
        <item h="1" m="1" x="6149"/>
        <item h="1" m="1" x="6015"/>
        <item h="1" m="1" x="6154"/>
        <item h="1" x="337"/>
        <item h="1" m="1" x="6026"/>
        <item h="1" m="1" x="6157"/>
        <item h="1" m="1" x="6156"/>
        <item h="1" m="1" x="6200"/>
        <item h="1" m="1" x="6201"/>
        <item h="1" m="1" x="6202"/>
        <item h="1" m="1" x="6203"/>
        <item h="1" m="1" x="6033"/>
        <item h="1" m="1" x="5137"/>
        <item h="1" m="1" x="6032"/>
        <item h="1" m="1" x="6204"/>
        <item h="1" m="1" x="6163"/>
        <item h="1" m="1" x="6044"/>
        <item h="1" m="1" x="5323"/>
        <item h="1" m="1" x="3412"/>
        <item h="1" m="1" x="5564"/>
        <item h="1" m="1" x="5347"/>
        <item h="1" m="1" x="6047"/>
        <item h="1" m="1" x="5167"/>
        <item h="1" m="1" x="3655"/>
        <item h="1" m="1" x="5168"/>
        <item h="1" m="1" x="5361"/>
        <item h="1" m="1" x="5362"/>
        <item h="1" m="1" x="5801"/>
        <item h="1" m="1" x="6053"/>
        <item h="1" m="1" x="1843"/>
        <item h="1" m="1" x="5382"/>
        <item h="1" m="1" x="5587"/>
        <item h="1" m="1" x="6061"/>
        <item h="1" m="1" x="4103"/>
        <item h="1" m="1" x="3129"/>
        <item h="1" m="1" x="5811"/>
        <item h="1" m="1" x="6062"/>
        <item h="1" m="1" x="6063"/>
        <item h="1" m="1" x="6064"/>
        <item h="1" m="1" x="6065"/>
        <item h="1" m="1" x="5410"/>
        <item h="1" m="1" x="6067"/>
        <item h="1" m="1" x="6068"/>
        <item h="1" m="1" x="6069"/>
        <item h="1" m="1" x="5603"/>
        <item h="1" m="1" x="5602"/>
        <item h="1" m="1" x="5608"/>
        <item h="1" m="1" x="6071"/>
        <item h="1" m="1" x="4928"/>
        <item h="1" m="1" x="4926"/>
        <item h="1" m="1" x="4927"/>
        <item h="1" m="1" x="5434"/>
        <item h="1" m="1" x="6072"/>
        <item h="1" m="1" x="5435"/>
        <item h="1" m="1" x="5620"/>
        <item h="1" m="1" x="5619"/>
        <item h="1" m="1" x="5179"/>
        <item h="1" m="1" x="5178"/>
        <item h="1" m="1" x="5180"/>
        <item h="1" m="1" x="4950"/>
        <item h="1" m="1" x="4949"/>
        <item h="1" m="1" x="6076"/>
        <item h="1" m="1" x="5185"/>
        <item h="1" m="1" x="5668"/>
        <item h="1" m="1" x="3322"/>
        <item h="1" x="415"/>
        <item h="1" m="1" x="2160"/>
        <item h="1" m="1" x="6077"/>
        <item h="1" m="1" x="692"/>
        <item h="1" m="1" x="6081"/>
        <item h="1" m="1" x="4983"/>
        <item h="1" m="1" x="5957"/>
        <item h="1" m="1" x="2062"/>
        <item h="1" m="1" x="5962"/>
        <item h="1" m="1" x="6096"/>
        <item h="1" m="1" x="5731"/>
        <item h="1" m="1" x="5963"/>
        <item h="1" m="1" x="4200"/>
        <item h="1" m="1" x="6104"/>
        <item h="1" m="1" x="6105"/>
        <item h="1" m="1" x="5020"/>
        <item h="1" m="1" x="6106"/>
        <item h="1" m="1" x="6107"/>
        <item h="1" m="1" x="4719"/>
        <item h="1" m="1" x="921"/>
        <item h="1" m="1" x="6110"/>
        <item h="1" m="1" x="2311"/>
        <item h="1" m="1" x="6112"/>
        <item h="1" x="412"/>
        <item h="1" m="1" x="1287"/>
        <item h="1" m="1" x="6113"/>
        <item h="1" m="1" x="6114"/>
        <item h="1" m="1" x="5041"/>
        <item h="1" m="1" x="6115"/>
        <item h="1" m="1" x="6116"/>
        <item h="1" m="1" x="5872"/>
        <item h="1" m="1" x="5988"/>
        <item h="1" m="1" x="6117"/>
        <item h="1" m="1" x="6120"/>
        <item h="1" m="1" x="6121"/>
        <item h="1" m="1" x="3783"/>
        <item h="1" m="1" x="6122"/>
        <item h="1" m="1" x="6123"/>
        <item h="1" m="1" x="5991"/>
        <item h="1" m="1" x="6124"/>
        <item h="1" m="1" x="6125"/>
        <item h="1" m="1" x="6126"/>
        <item h="1" m="1" x="5072"/>
        <item h="1" m="1" x="5717"/>
        <item h="1" m="1" x="6127"/>
        <item h="1" m="1" x="6128"/>
        <item h="1" m="1" x="6129"/>
        <item h="1" m="1" x="6130"/>
        <item h="1" m="1" x="5997"/>
        <item h="1" m="1" x="5999"/>
        <item h="1" m="1" x="6133"/>
        <item h="1" m="1" x="6134"/>
        <item h="1" m="1" x="6135"/>
        <item h="1" m="1" x="6001"/>
        <item h="1" m="1" x="6136"/>
        <item h="1" m="1" x="6137"/>
        <item h="1" m="1" x="6138"/>
        <item h="1" m="1" x="5088"/>
        <item h="1" m="1" x="6139"/>
        <item h="1" m="1" x="6140"/>
        <item h="1" m="1" x="1941"/>
        <item h="1" m="1" x="6142"/>
        <item h="1" m="1" x="6145"/>
        <item h="1" m="1" x="6010"/>
        <item h="1" m="1" x="6150"/>
        <item h="1" m="1" x="6151"/>
        <item h="1" m="1" x="6020"/>
        <item h="1" m="1" x="6152"/>
        <item h="1" m="1" x="6153"/>
        <item h="1" m="1" x="6011"/>
        <item h="1" m="1" x="6155"/>
        <item h="1" m="1" x="6025"/>
        <item h="1" m="1" x="6027"/>
        <item h="1" m="1" x="2941"/>
        <item h="1" m="1" x="4525"/>
        <item h="1" m="1" x="6159"/>
        <item h="1" m="1" x="2884"/>
        <item h="1" m="1" x="1899"/>
        <item h="1" m="1" x="6160"/>
        <item h="1" m="1" x="6161"/>
        <item h="1" m="1" x="6031"/>
        <item h="1" m="1" x="6035"/>
        <item h="1" m="1" x="6036"/>
        <item h="1" m="1" x="6162"/>
        <item h="1" m="1" x="6164"/>
        <item h="1" m="1" x="6166"/>
        <item h="1" m="1" x="6168"/>
        <item h="1" m="1" x="3438"/>
        <item h="1" m="1" x="6045"/>
        <item h="1" m="1" x="5319"/>
        <item h="1" m="1" x="5320"/>
        <item h="1" m="1" x="5557"/>
        <item h="1" m="1" x="3733"/>
        <item h="1" m="1" x="5341"/>
        <item h="1" m="1" x="5899"/>
        <item h="1" m="1" x="5900"/>
        <item h="1" m="1" x="5901"/>
        <item h="1" m="1" x="5904"/>
        <item h="1" m="1" x="5908"/>
        <item h="1" m="1" x="5909"/>
        <item h="1" m="1" x="4117"/>
        <item h="1" m="1" x="5910"/>
        <item h="1" m="1" x="5911"/>
        <item h="1" m="1" x="5916"/>
        <item h="1" m="1" x="5917"/>
        <item h="1" m="1" x="5918"/>
        <item h="1" m="1" x="5919"/>
        <item h="1" m="1" x="5920"/>
        <item h="1" m="1" x="5921"/>
        <item h="1" m="1" x="5922"/>
        <item h="1" m="1" x="5923"/>
        <item h="1" m="1" x="1893"/>
        <item h="1" m="1" x="4872"/>
        <item h="1" m="1" x="5810"/>
        <item h="1" m="1" x="5588"/>
        <item h="1" m="1" x="5926"/>
        <item h="1" m="1" x="5589"/>
        <item h="1" m="1" x="5599"/>
        <item h="1" m="1" x="5928"/>
        <item h="1" m="1" x="5411"/>
        <item h="1" m="1" x="5413"/>
        <item h="1" m="1" x="5817"/>
        <item h="1" m="1" x="5929"/>
        <item h="1" m="1" x="5930"/>
        <item h="1" x="389"/>
        <item h="1" m="1" x="4456"/>
        <item h="1" m="1" x="5622"/>
        <item h="1" m="1" x="5623"/>
        <item h="1" m="1" x="5181"/>
        <item h="1" m="1" x="5638"/>
        <item h="1" m="1" x="5935"/>
        <item h="1" m="1" x="1276"/>
        <item h="1" m="1" x="5936"/>
        <item h="1" m="1" x="5940"/>
        <item h="1" m="1" x="5941"/>
        <item h="1" m="1" x="5330"/>
        <item h="1" m="1" x="5346"/>
        <item h="1" m="1" x="5942"/>
        <item h="1" m="1" x="4009"/>
        <item h="1" m="1" x="5690"/>
        <item h="1" m="1" x="5691"/>
        <item h="1" m="1" x="4016"/>
        <item h="1" m="1" x="4733"/>
        <item h="1" m="1" x="5964"/>
        <item h="1" m="1" x="5966"/>
        <item h="1" m="1" x="1522"/>
        <item h="1" m="1" x="5967"/>
        <item h="1" m="1" x="5968"/>
        <item h="1" x="74"/>
        <item h="1" m="1" x="5969"/>
        <item h="1" m="1" x="5970"/>
        <item h="1" m="1" x="5971"/>
        <item h="1" m="1" x="5495"/>
        <item h="1" m="1" x="5972"/>
        <item h="1" m="1" x="5973"/>
        <item h="1" m="1" x="2481"/>
        <item h="1" m="1" x="1627"/>
        <item h="1" m="1" x="5974"/>
        <item h="1" m="1" x="5975"/>
        <item h="1" m="1" x="5865"/>
        <item h="1" m="1" x="5264"/>
        <item h="1" m="1" x="1566"/>
        <item h="1" m="1" x="5976"/>
        <item h="1" m="1" x="5490"/>
        <item h="1" m="1" x="5977"/>
        <item h="1" m="1" x="5980"/>
        <item h="1" m="1" x="5981"/>
        <item h="1" m="1" x="5982"/>
        <item h="1" m="1" x="5983"/>
        <item h="1" m="1" x="5984"/>
        <item h="1" m="1" x="5985"/>
        <item h="1" m="1" x="5986"/>
        <item h="1" m="1" x="5061"/>
        <item h="1" m="1" x="5987"/>
        <item h="1" m="1" x="5063"/>
        <item h="1" m="1" x="3828"/>
        <item h="1" m="1" x="4046"/>
        <item h="1" m="1" x="5992"/>
        <item h="1" m="1" x="5993"/>
        <item h="1" m="1" x="5071"/>
        <item h="1" m="1" x="5070"/>
        <item h="1" m="1" x="5724"/>
        <item h="1" m="1" x="5723"/>
        <item h="1" m="1" x="5995"/>
        <item h="1" m="1" x="5996"/>
        <item h="1" m="1" x="5728"/>
        <item h="1" m="1" x="5737"/>
        <item h="1" m="1" x="5738"/>
        <item h="1" m="1" x="5998"/>
        <item h="1" m="1" x="5743"/>
        <item h="1" m="1" x="5744"/>
        <item h="1" m="1" x="5532"/>
        <item h="1" m="1" x="6003"/>
        <item h="1" m="1" x="6004"/>
        <item h="1" m="1" x="6005"/>
        <item h="1" m="1" x="6006"/>
        <item h="1" m="1" x="6008"/>
        <item h="1" m="1" x="6009"/>
        <item h="1" m="1" x="6012"/>
        <item h="1" m="1" x="6014"/>
        <item h="1" m="1" x="6016"/>
        <item h="1" m="1" x="6017"/>
        <item h="1" m="1" x="6018"/>
        <item h="1" m="1" x="6019"/>
        <item h="1" m="1" x="6021"/>
        <item h="1" m="1" x="6022"/>
        <item h="1" m="1" x="6023"/>
        <item h="1" m="1" x="6024"/>
        <item h="1" m="1" x="6028"/>
        <item h="1" m="1" x="6030"/>
        <item h="1" m="1" x="5775"/>
        <item h="1" m="1" x="5770"/>
        <item h="1" m="1" x="5771"/>
        <item h="1" m="1" x="5774"/>
        <item h="1" m="1" x="6037"/>
        <item h="1" m="1" x="6038"/>
        <item h="1" m="1" x="6039"/>
        <item h="1" m="1" x="6040"/>
        <item h="1" m="1" x="6041"/>
        <item h="1" m="1" x="6042"/>
        <item h="1" m="1" x="6043"/>
        <item h="1" m="1" x="1903"/>
        <item h="1" m="1" x="6046"/>
        <item h="1" m="1" x="5322"/>
        <item h="1" m="1" x="5559"/>
        <item h="1" m="1" x="5334"/>
        <item h="1" m="1" x="5335"/>
        <item h="1" m="1" x="5799"/>
        <item h="1" m="1" x="5565"/>
        <item h="1" m="1" x="5566"/>
        <item h="1" m="1" x="5561"/>
        <item h="1" m="1" x="1369"/>
        <item h="1" m="1" x="5800"/>
        <item h="1" m="1" x="4849"/>
        <item h="1" m="1" x="4472"/>
        <item h="1" x="193"/>
        <item h="1" m="1" x="5802"/>
        <item h="1" m="1" x="4833"/>
        <item h="1" m="1" x="5803"/>
        <item h="1" m="1" x="5804"/>
        <item h="1" m="1" x="5805"/>
        <item h="1" m="1" x="4566"/>
        <item h="1" m="1" x="5807"/>
        <item h="1" m="1" x="5809"/>
        <item h="1" m="1" x="5813"/>
        <item h="1" m="1" x="5583"/>
        <item h="1" m="1" x="5584"/>
        <item h="1" m="1" x="3611"/>
        <item h="1" m="1" x="5586"/>
        <item h="1" m="1" x="5815"/>
        <item h="1" m="1" x="5816"/>
        <item h="1" m="1" x="5593"/>
        <item h="1" m="1" x="4687"/>
        <item h="1" m="1" x="3873"/>
        <item h="1" m="1" x="5601"/>
        <item h="1" m="1" x="5818"/>
        <item h="1" m="1" x="5412"/>
        <item h="1" m="1" x="5408"/>
        <item h="1" m="1" x="5819"/>
        <item h="1" m="1" x="5427"/>
        <item h="1" m="1" x="5426"/>
        <item h="1" m="1" x="5821"/>
        <item h="1" m="1" x="4930"/>
        <item h="1" m="1" x="5436"/>
        <item h="1" m="1" x="5822"/>
        <item h="1" m="1" x="5823"/>
        <item h="1" m="1" x="5824"/>
        <item h="1" m="1" x="5826"/>
        <item h="1" m="1" x="5653"/>
        <item h="1" m="1" x="4941"/>
        <item h="1" m="1" x="5827"/>
        <item h="1" m="1" x="5828"/>
        <item h="1" m="1" x="5829"/>
        <item h="1" m="1" x="5830"/>
        <item h="1" m="1" x="5831"/>
        <item h="1" m="1" x="5833"/>
        <item h="1" m="1" x="5834"/>
        <item h="1" m="1" x="5451"/>
        <item h="1" m="1" x="5836"/>
        <item h="1" m="1" x="5837"/>
        <item h="1" m="1" x="4006"/>
        <item h="1" m="1" x="4953"/>
        <item h="1" m="1" x="5838"/>
        <item h="1" m="1" x="5839"/>
        <item h="1" m="1" x="5840"/>
        <item h="1" m="1" x="3724"/>
        <item h="1" m="1" x="4967"/>
        <item h="1" m="1" x="5841"/>
        <item h="1" m="1" x="4019"/>
        <item h="1" m="1" x="5682"/>
        <item h="1" m="1" x="5683"/>
        <item h="1" m="1" x="5694"/>
        <item h="1" m="1" x="5695"/>
        <item h="1" m="1" x="5693"/>
        <item h="1" m="1" x="5844"/>
        <item h="1" m="1" x="5845"/>
        <item h="1" m="1" x="5846"/>
        <item h="1" m="1" x="5847"/>
        <item h="1" x="368"/>
        <item h="1" m="1" x="5848"/>
        <item h="1" m="1" x="5849"/>
        <item h="1" x="196"/>
        <item h="1" m="1" x="5850"/>
        <item h="1" m="1" x="5851"/>
        <item h="1" m="1" x="5852"/>
        <item h="1" m="1" x="5853"/>
        <item h="1" m="1" x="5855"/>
        <item h="1" m="1" x="3562"/>
        <item h="1" m="1" x="5856"/>
        <item h="1" m="1" x="5857"/>
        <item h="1" m="1" x="5858"/>
        <item h="1" m="1" x="5859"/>
        <item h="1" m="1" x="5496"/>
        <item h="1" m="1" x="5860"/>
        <item h="1" m="1" x="5861"/>
        <item h="1" m="1" x="5862"/>
        <item h="1" m="1" x="5863"/>
        <item h="1" m="1" x="5711"/>
        <item h="1" m="1" x="5864"/>
        <item h="1" m="1" x="5867"/>
        <item h="1" m="1" x="2358"/>
        <item h="1" m="1" x="5868"/>
        <item h="1" m="1" x="5869"/>
        <item h="1" m="1" x="5870"/>
        <item h="1" m="1" x="5871"/>
        <item h="1" m="1" x="699"/>
        <item h="1" m="1" x="5715"/>
        <item h="1" m="1" x="5050"/>
        <item h="1" m="1" x="5716"/>
        <item h="1" m="1" x="5069"/>
        <item h="1" m="1" x="5721"/>
        <item h="1" m="1" x="5876"/>
        <item h="1" m="1" x="5719"/>
        <item h="1" m="1" x="5720"/>
        <item h="1" m="1" x="5877"/>
        <item h="1" m="1" x="5878"/>
        <item h="1" m="1" x="5879"/>
        <item h="1" m="1" x="5880"/>
        <item h="1" m="1" x="5881"/>
        <item h="1" m="1" x="5882"/>
        <item h="1" m="1" x="5729"/>
        <item h="1" m="1" x="5884"/>
        <item h="1" m="1" x="5491"/>
        <item h="1" m="1" x="5886"/>
        <item h="1" m="1" x="5887"/>
        <item h="1" m="1" x="5888"/>
        <item h="1" m="1" x="5749"/>
        <item h="1" m="1" x="5889"/>
        <item h="1" m="1" x="5745"/>
        <item h="1" m="1" x="5890"/>
        <item h="1" m="1" x="5756"/>
        <item h="1" m="1" x="5750"/>
        <item h="1" m="1" x="5757"/>
        <item h="1" m="1" x="5753"/>
        <item h="1" m="1" x="5528"/>
        <item h="1" m="1" x="5759"/>
        <item h="1" m="1" x="5766"/>
        <item h="1" m="1" x="5767"/>
        <item h="1" m="1" x="5758"/>
        <item h="1" m="1" x="2017"/>
        <item h="1" m="1" x="5762"/>
        <item h="1" m="1" x="5763"/>
        <item h="1" m="1" x="5544"/>
        <item h="1" x="11"/>
        <item h="1" m="1" x="5891"/>
        <item h="1" m="1" x="5892"/>
        <item h="1" m="1" x="5893"/>
        <item h="1" m="1" x="5790"/>
        <item h="1" m="1" x="5787"/>
        <item h="1" m="1" x="5788"/>
        <item h="1" m="1" x="5789"/>
        <item h="1" m="1" x="5782"/>
        <item h="1" m="1" x="5783"/>
        <item h="1" m="1" x="5784"/>
        <item h="1" m="1" x="5785"/>
        <item h="1" m="1" x="1185"/>
        <item h="1" m="1" x="5794"/>
        <item h="1" m="1" x="5791"/>
        <item h="1" m="1" x="5792"/>
        <item h="1" m="1" x="5793"/>
        <item h="1" m="1" x="5895"/>
        <item h="1" m="1" x="1905"/>
        <item h="1" m="1" x="3967"/>
        <item h="1" m="1" x="3968"/>
        <item h="1" m="1" x="3969"/>
        <item h="1" m="1" x="3989"/>
        <item h="1" m="1" x="4827"/>
        <item h="1" m="1" x="3988"/>
        <item h="1" m="1" x="5569"/>
        <item h="1" m="1" x="5570"/>
        <item h="1" m="1" x="4839"/>
        <item h="1" m="1" x="5369"/>
        <item h="1" m="1" x="5572"/>
        <item h="1" m="1" x="5573"/>
        <item h="1" m="1" x="4471"/>
        <item h="1" m="1" x="765"/>
        <item h="1" m="1" x="5576"/>
        <item h="1" m="1" x="4843"/>
        <item h="1" m="1" x="761"/>
        <item h="1" m="1" x="3942"/>
        <item h="1" m="1" x="763"/>
        <item h="1" m="1" x="764"/>
        <item h="1" m="1" x="4884"/>
        <item h="1" m="1" x="5585"/>
        <item h="1" m="1" x="5396"/>
        <item h="1" m="1" x="5590"/>
        <item h="1" m="1" x="5591"/>
        <item h="1" m="1" x="5592"/>
        <item h="1" m="1" x="4030"/>
        <item h="1" m="1" x="4031"/>
        <item h="1" m="1" x="4032"/>
        <item h="1" x="416"/>
        <item h="1" m="1" x="5596"/>
        <item h="1" m="1" x="5597"/>
        <item h="1" m="1" x="5182"/>
        <item h="1" m="1" x="5652"/>
        <item h="1" m="1" x="5663"/>
        <item h="1" m="1" x="5667"/>
        <item h="1" m="1" x="5669"/>
        <item h="1" m="1" x="5670"/>
        <item h="1" m="1" x="5671"/>
        <item h="1" m="1" x="4976"/>
        <item h="1" m="1" x="2029"/>
        <item h="1" m="1" x="4975"/>
        <item h="1" m="1" x="5676"/>
        <item h="1" m="1" x="3827"/>
        <item h="1" m="1" x="5678"/>
        <item h="1" x="201"/>
        <item h="1" m="1" x="5679"/>
        <item h="1" m="1" x="5680"/>
        <item h="1" m="1" x="5681"/>
        <item h="1" m="1" x="5696"/>
        <item h="1" m="1" x="5698"/>
        <item h="1" m="1" x="3810"/>
        <item h="1" m="1" x="2643"/>
        <item h="1" m="1" x="5700"/>
        <item h="1" m="1" x="3771"/>
        <item h="1" m="1" x="5701"/>
        <item h="1" m="1" x="5704"/>
        <item h="1" m="1" x="5705"/>
        <item h="1" m="1" x="5706"/>
        <item h="1" m="1" x="5707"/>
        <item h="1" m="1" x="5710"/>
        <item h="1" m="1" x="1289"/>
        <item h="1" m="1" x="5713"/>
        <item h="1" m="1" x="5714"/>
        <item h="1" m="1" x="4045"/>
        <item h="1" m="1" x="5718"/>
        <item h="1" m="1" x="5722"/>
        <item h="1" m="1" x="5725"/>
        <item h="1" m="1" x="5726"/>
        <item h="1" m="1" x="5727"/>
        <item h="1" m="1" x="5730"/>
        <item h="1" m="1" x="3192"/>
        <item h="1" m="1" x="2681"/>
        <item h="1" m="1" x="5732"/>
        <item h="1" m="1" x="5733"/>
        <item h="1" m="1" x="5734"/>
        <item h="1" m="1" x="5735"/>
        <item h="1" m="1" x="5736"/>
        <item h="1" m="1" x="5739"/>
        <item h="1" m="1" x="2010"/>
        <item h="1" m="1" x="5740"/>
        <item h="1" m="1" x="5741"/>
        <item h="1" m="1" x="5742"/>
        <item h="1" m="1" x="5286"/>
        <item h="1" m="1" x="5751"/>
        <item h="1" m="1" x="5752"/>
        <item h="1" m="1" x="5754"/>
        <item h="1" m="1" x="5755"/>
        <item h="1" x="290"/>
        <item h="1" m="1" x="5760"/>
        <item h="1" m="1" x="5761"/>
        <item h="1" m="1" x="5765"/>
        <item h="1" m="1" x="5768"/>
        <item h="1" m="1" x="5129"/>
        <item h="1" m="1" x="5769"/>
        <item h="1" m="1" x="5772"/>
        <item h="1" m="1" x="5773"/>
        <item h="1" m="1" x="5776"/>
        <item h="1" m="1" x="5777"/>
        <item h="1" m="1" x="5778"/>
        <item h="1" m="1" x="5779"/>
        <item h="1" m="1" x="5780"/>
        <item h="1" m="1" x="5781"/>
        <item h="1" m="1" x="5786"/>
        <item h="1" m="1" x="5317"/>
        <item h="1" m="1" x="5318"/>
        <item h="1" m="1" x="5325"/>
        <item h="1" m="1" x="5340"/>
        <item h="1" m="1" x="5342"/>
        <item h="1" m="1" x="4817"/>
        <item h="1" m="1" x="5165"/>
        <item h="1" m="1" x="3971"/>
        <item h="1" m="1" x="3970"/>
        <item h="1" m="1" x="3966"/>
        <item h="1" m="1" x="3965"/>
        <item h="1" m="1" x="3972"/>
        <item h="1" m="1" x="5348"/>
        <item h="1" m="1" x="5349"/>
        <item h="1" m="1" x="3993"/>
        <item h="1" m="1" x="5350"/>
        <item h="1" m="1" x="5351"/>
        <item h="1" m="1" x="4834"/>
        <item h="1" m="1" x="5354"/>
        <item h="1" m="1" x="5355"/>
        <item h="1" m="1" x="5356"/>
        <item h="1" m="1" x="3549"/>
        <item h="1" m="1" x="4282"/>
        <item h="1" m="1" x="5359"/>
        <item h="1" m="1" x="5360"/>
        <item h="1" x="202"/>
        <item h="1" m="1" x="4850"/>
        <item h="1" m="1" x="5370"/>
        <item h="1" m="1" x="684"/>
        <item h="1" m="1" x="5371"/>
        <item h="1" m="1" x="5372"/>
        <item h="1" m="1" x="5373"/>
        <item h="1" m="1" x="2932"/>
        <item h="1" m="1" x="5374"/>
        <item h="1" m="1" x="4841"/>
        <item h="1" m="1" x="4840"/>
        <item h="1" m="1" x="5383"/>
        <item h="1" m="1" x="5384"/>
        <item h="1" m="1" x="451"/>
        <item h="1" m="1" x="762"/>
        <item h="1" m="1" x="3943"/>
        <item h="1" m="1" x="3944"/>
        <item h="1" m="1" x="5395"/>
        <item h="1" m="1" x="4875"/>
        <item h="1" m="1" x="4874"/>
        <item h="1" m="1" x="4867"/>
        <item h="1" m="1" x="3960"/>
        <item h="1" m="1" x="4881"/>
        <item h="1" m="1" x="5398"/>
        <item h="1" m="1" x="5400"/>
        <item h="1" m="1" x="4888"/>
        <item h="1" m="1" x="4887"/>
        <item h="1" x="25"/>
        <item h="1" m="1" x="5406"/>
        <item h="1" m="1" x="4896"/>
        <item h="1" m="1" x="4894"/>
        <item h="1" m="1" x="4895"/>
        <item h="1" m="1" x="5407"/>
        <item h="1" m="1" x="4899"/>
        <item h="1" m="1" x="4892"/>
        <item h="1" m="1" x="5414"/>
        <item h="1" m="1" x="5415"/>
        <item h="1" m="1" x="5416"/>
        <item h="1" m="1" x="4902"/>
        <item h="1" m="1" x="5417"/>
        <item h="1" m="1" x="5419"/>
        <item h="1" m="1" x="5420"/>
        <item h="1" m="1" x="5421"/>
        <item h="1" m="1" x="5174"/>
        <item h="1" m="1" x="5431"/>
        <item h="1" m="1" x="4917"/>
        <item h="1" m="1" x="5432"/>
        <item h="1" m="1" x="5433"/>
        <item h="1" m="1" x="4920"/>
        <item h="1" m="1" x="4922"/>
        <item h="1" m="1" x="1629"/>
        <item h="1" m="1" x="5440"/>
        <item h="1" m="1" x="5441"/>
        <item h="1" m="1" x="4923"/>
        <item h="1" m="1" x="4938"/>
        <item h="1" m="1" x="4940"/>
        <item h="1" m="1" x="5442"/>
        <item h="1" m="1" x="5184"/>
        <item h="1" m="1" x="5443"/>
        <item h="1" m="1" x="5444"/>
        <item h="1" m="1" x="5445"/>
        <item h="1" m="1" x="5186"/>
        <item h="1" m="1" x="4948"/>
        <item h="1" m="1" x="4305"/>
        <item h="1" m="1" x="4956"/>
        <item h="1" m="1" x="5454"/>
        <item h="1" m="1" x="1682"/>
        <item h="1" m="1" x="1679"/>
        <item h="1" m="1" x="4962"/>
        <item h="1" m="1" x="4963"/>
        <item h="1" m="1" x="5456"/>
        <item h="1" m="1" x="5457"/>
        <item h="1" m="1" x="5459"/>
        <item h="1" m="1" x="4965"/>
        <item h="1" m="1" x="5461"/>
        <item h="1" m="1" x="5462"/>
        <item h="1" m="1" x="5463"/>
        <item h="1" m="1" x="4017"/>
        <item h="1" m="1" x="4992"/>
        <item h="1" m="1" x="4995"/>
        <item h="1" m="1" x="5466"/>
        <item h="1" m="1" x="5467"/>
        <item h="1" m="1" x="3499"/>
        <item h="1" m="1" x="5468"/>
        <item h="1" m="1" x="3722"/>
        <item h="1" m="1" x="5469"/>
        <item h="1" m="1" x="4783"/>
        <item h="1" m="1" x="5054"/>
        <item h="1" m="1" x="5471"/>
        <item h="1" m="1" x="5472"/>
        <item h="1" m="1" x="5473"/>
        <item h="1" m="1" x="5474"/>
        <item h="1" m="1" x="5475"/>
        <item h="1" m="1" x="5022"/>
        <item h="1" m="1" x="5476"/>
        <item h="1" m="1" x="5477"/>
        <item h="1" m="1" x="5478"/>
        <item h="1" m="1" x="5479"/>
        <item h="1" m="1" x="5485"/>
        <item h="1" m="1" x="2359"/>
        <item h="1" m="1" x="5038"/>
        <item h="1" m="1" x="5049"/>
        <item h="1" m="1" x="5492"/>
        <item h="1" m="1" x="5493"/>
        <item h="1" m="1" x="5494"/>
        <item h="1" m="1" x="5498"/>
        <item h="1" m="1" x="5189"/>
        <item h="1" m="1" x="5499"/>
        <item h="1" m="1" x="5064"/>
        <item h="1" m="1" x="5191"/>
        <item h="1" m="1" x="5076"/>
        <item h="1" m="1" x="5077"/>
        <item h="1" m="1" x="5075"/>
        <item h="1" m="1" x="5073"/>
        <item h="1" m="1" x="5074"/>
        <item h="1" m="1" x="5079"/>
        <item h="1" m="1" x="5503"/>
        <item h="1" m="1" x="3480"/>
        <item h="1" m="1" x="5505"/>
        <item h="1" m="1" x="5277"/>
        <item h="1" m="1" x="5506"/>
        <item h="1" m="1" x="5507"/>
        <item h="1" m="1" x="5508"/>
        <item h="1" m="1" x="5509"/>
        <item h="1" m="1" x="5510"/>
        <item h="1" m="1" x="5511"/>
        <item h="1" m="1" x="5512"/>
        <item h="1" m="1" x="5513"/>
        <item h="1" m="1" x="4206"/>
        <item h="1" m="1" x="5514"/>
        <item h="1" m="1" x="5515"/>
        <item h="1" m="1" x="5516"/>
        <item h="1" m="1" x="5517"/>
        <item h="1" m="1" x="5518"/>
        <item h="1" m="1" x="5193"/>
        <item h="1" m="1" x="5278"/>
        <item h="1" m="1" x="5519"/>
        <item h="1" m="1" x="5520"/>
        <item h="1" m="1" x="5521"/>
        <item h="1" m="1" x="5522"/>
        <item h="1" m="1" x="5523"/>
        <item h="1" m="1" x="5524"/>
        <item h="1" m="1" x="5525"/>
        <item h="1" m="1" x="5084"/>
        <item h="1" m="1" x="2366"/>
        <item h="1" m="1" x="5085"/>
        <item h="1" m="1" x="5526"/>
        <item h="1" m="1" x="5527"/>
        <item h="1" m="1" x="5282"/>
        <item h="1" m="1" x="5529"/>
        <item h="1" m="1" x="5530"/>
        <item h="1" m="1" x="5292"/>
        <item h="1" m="1" x="5291"/>
        <item h="1" m="1" x="5533"/>
        <item h="1" m="1" x="5534"/>
        <item h="1" m="1" x="5535"/>
        <item h="1" m="1" x="5536"/>
        <item h="1" m="1" x="5287"/>
        <item h="1" m="1" x="5537"/>
        <item h="1" m="1" x="5538"/>
        <item h="1" m="1" x="5289"/>
        <item h="1" m="1" x="5295"/>
        <item h="1" m="1" x="5296"/>
        <item h="1" m="1" x="5543"/>
        <item h="1" m="1" x="5545"/>
        <item h="1" m="1" x="5301"/>
        <item h="1" m="1" x="5546"/>
        <item h="1" m="1" x="5304"/>
        <item h="1" m="1" x="2903"/>
        <item h="1" m="1" x="5312"/>
        <item h="1" m="1" x="5547"/>
        <item h="1" m="1" x="5548"/>
        <item h="1" m="1" x="5549"/>
        <item h="1" m="1" x="5310"/>
        <item h="1" m="1" x="5311"/>
        <item h="1" m="1" x="5309"/>
        <item h="1" m="1" x="5139"/>
        <item h="1" m="1" x="5550"/>
        <item h="1" m="1" x="5551"/>
        <item h="1" m="1" x="5552"/>
        <item h="1" m="1" x="5143"/>
        <item h="1" m="1" x="5145"/>
        <item h="1" m="1" x="5133"/>
        <item h="1" m="1" x="5313"/>
        <item h="1" m="1" x="5134"/>
        <item h="1" m="1" x="5315"/>
        <item h="1" m="1" x="3788"/>
        <item h="1" m="1" x="4244"/>
        <item h="1" m="1" x="1915"/>
        <item h="1" m="1" x="5149"/>
        <item h="1" m="1" x="5554"/>
        <item h="1" m="1" x="5556"/>
        <item h="1" m="1" x="1917"/>
        <item h="1" m="1" x="5326"/>
        <item h="1" m="1" x="5327"/>
        <item h="1" m="1" x="5331"/>
        <item h="1" m="1" x="3641"/>
        <item h="1" m="1" x="5333"/>
        <item h="1" m="1" x="5157"/>
        <item h="1" m="1" x="5338"/>
        <item h="1" m="1" x="5344"/>
        <item h="1" m="1" x="5162"/>
        <item h="1" m="1" x="5164"/>
        <item h="1" m="1" x="5216"/>
        <item h="1" m="1" x="4828"/>
        <item h="1" m="1" x="5217"/>
        <item h="1" m="1" x="1204"/>
        <item h="1" m="1" x="5218"/>
        <item h="1" m="1" x="5219"/>
        <item h="1" m="1" x="1120"/>
        <item h="1" m="1" x="5225"/>
        <item h="1" m="1" x="4859"/>
        <item h="1" m="1" x="3941"/>
        <item h="1" m="1" x="4865"/>
        <item h="1" m="1" x="4873"/>
        <item h="1" m="1" x="5169"/>
        <item h="1" m="1" x="5170"/>
        <item h="1" m="1" x="4883"/>
        <item h="1" m="1" x="1190"/>
        <item h="1" m="1" x="4897"/>
        <item h="1" m="1" x="5226"/>
        <item h="1" m="1" x="3093"/>
        <item h="1" m="1" x="5227"/>
        <item h="1" m="1" x="5228"/>
        <item h="1" m="1" x="4916"/>
        <item h="1" m="1" x="5229"/>
        <item h="1" m="1" x="2960"/>
        <item h="1" m="1" x="4662"/>
        <item h="1" m="1" x="5230"/>
        <item h="1" m="1" x="5231"/>
        <item h="1" m="1" x="5232"/>
        <item h="1" m="1" x="5183"/>
        <item h="1" m="1" x="4946"/>
        <item h="1" m="1" x="4947"/>
        <item h="1" m="1" x="2218"/>
        <item h="1" m="1" x="4955"/>
        <item h="1" m="1" x="5233"/>
        <item h="1" m="1" x="5234"/>
        <item h="1" m="1" x="4964"/>
        <item h="1" m="1" x="4960"/>
        <item h="1" m="1" x="4020"/>
        <item h="1" m="1" x="4466"/>
        <item h="1" m="1" x="4993"/>
        <item h="1" m="1" x="4994"/>
        <item h="1" m="1" x="4696"/>
        <item h="1" m="1" x="4989"/>
        <item h="1" m="1" x="4990"/>
        <item h="1" m="1" x="4991"/>
        <item h="1" m="1" x="5235"/>
        <item h="1" m="1" x="4762"/>
        <item h="1" m="1" x="5236"/>
        <item h="1" m="1" x="4745"/>
        <item h="1" m="1" x="5237"/>
        <item h="1" m="1" x="5238"/>
        <item h="1" m="1" x="5239"/>
        <item h="1" m="1" x="5055"/>
        <item h="1" m="1" x="5240"/>
        <item h="1" m="1" x="5241"/>
        <item h="1" m="1" x="5242"/>
        <item h="1" m="1" x="5243"/>
        <item h="1" m="1" x="5244"/>
        <item h="1" m="1" x="5245"/>
        <item h="1" m="1" x="5246"/>
        <item h="1" m="1" x="5247"/>
        <item h="1" m="1" x="5248"/>
        <item h="1" m="1" x="2641"/>
        <item h="1" m="1" x="5021"/>
        <item h="1" m="1" x="5250"/>
        <item h="1" m="1" x="5251"/>
        <item h="1" m="1" x="5252"/>
        <item h="1" m="1" x="5253"/>
        <item h="1" m="1" x="5254"/>
        <item h="1" m="1" x="5255"/>
        <item h="1" m="1" x="5256"/>
        <item h="1" m="1" x="5257"/>
        <item h="1" m="1" x="4984"/>
        <item h="1" m="1" x="4985"/>
        <item h="1" m="1" x="4986"/>
        <item h="1" m="1" x="5258"/>
        <item h="1" m="1" x="5004"/>
        <item h="1" m="1" x="5261"/>
        <item h="1" m="1" x="5056"/>
        <item h="1" m="1" x="5262"/>
        <item h="1" m="1" x="5263"/>
        <item h="1" m="1" x="5265"/>
        <item h="1" m="1" x="5266"/>
        <item h="1" m="1" x="2214"/>
        <item h="1" m="1" x="5268"/>
        <item h="1" m="1" x="3862"/>
        <item h="1" m="1" x="5269"/>
        <item h="1" m="1" x="1157"/>
        <item h="1" m="1" x="5190"/>
        <item h="1" m="1" x="5053"/>
        <item h="1" m="1" x="5270"/>
        <item h="1" m="1" x="5271"/>
        <item h="1" m="1" x="5272"/>
        <item h="1" m="1" x="5273"/>
        <item h="1" m="1" x="1464"/>
        <item h="1" m="1" x="5066"/>
        <item h="1" m="1" x="5274"/>
        <item h="1" m="1" x="5275"/>
        <item h="1" m="1" x="5276"/>
        <item h="1" m="1" x="5279"/>
        <item h="1" m="1" x="5280"/>
        <item h="1" m="1" x="5281"/>
        <item h="1" m="1" x="5086"/>
        <item h="1" m="1" x="5283"/>
        <item h="1" m="1" x="5284"/>
        <item h="1" m="1" x="5285"/>
        <item h="1" m="1" x="5288"/>
        <item h="1" m="1" x="5113"/>
        <item h="1" m="1" x="5293"/>
        <item h="1" m="1" x="5294"/>
        <item h="1" m="1" x="5297"/>
        <item h="1" m="1" x="5298"/>
        <item h="1" m="1" x="5299"/>
        <item h="1" m="1" x="5300"/>
        <item h="1" m="1" x="5141"/>
        <item h="1" m="1" x="5306"/>
        <item h="1" m="1" x="5307"/>
        <item h="1" m="1" x="5308"/>
        <item h="1" m="1" x="5314"/>
        <item h="1" m="1" x="5321"/>
        <item h="1" m="1" x="1526"/>
        <item h="1" m="1" x="5336"/>
        <item h="1" m="1" x="5337"/>
        <item h="1" m="1" x="4818"/>
        <item h="1" m="1" x="5161"/>
        <item h="1" m="1" x="5163"/>
        <item h="1" m="1" x="3964"/>
        <item h="1" m="1" x="4470"/>
        <item h="1" m="1" x="4830"/>
        <item h="1" m="1" x="1238"/>
        <item h="1" m="1" x="5166"/>
        <item h="1" m="1" x="4835"/>
        <item h="1" x="168"/>
        <item h="1" m="1" x="4844"/>
        <item h="1" m="1" x="4860"/>
        <item h="1" m="1" x="2935"/>
        <item h="1" m="1" x="4880"/>
        <item h="1" m="1" x="5171"/>
        <item h="1" m="1" x="3404"/>
        <item h="1" m="1" x="4913"/>
        <item h="1" m="1" x="4903"/>
        <item h="1" m="1" x="5172"/>
        <item h="1" m="1" x="5173"/>
        <item h="1" m="1" x="4910"/>
        <item h="1" m="1" x="4908"/>
        <item h="1" m="1" x="4909"/>
        <item h="1" m="1" x="4660"/>
        <item h="1" m="1" x="3306"/>
        <item h="1" m="1" x="4918"/>
        <item h="1" m="1" x="5175"/>
        <item h="1" m="1" x="4931"/>
        <item h="1" m="1" x="4921"/>
        <item h="1" m="1" x="4942"/>
        <item h="1" m="1" x="5176"/>
        <item h="1" m="1" x="5177"/>
        <item h="1" m="1" x="4943"/>
        <item h="1" m="1" x="4957"/>
        <item h="1" m="1" x="4958"/>
        <item h="1" m="1" x="4971"/>
        <item h="1" m="1" x="4972"/>
        <item h="1" m="1" x="769"/>
        <item h="1" m="1" x="4988"/>
        <item h="1" m="1" x="4978"/>
        <item h="1" m="1" x="4996"/>
        <item h="1" m="1" x="4997"/>
        <item h="1" m="1" x="4998"/>
        <item h="1" m="1" x="5187"/>
        <item h="1" m="1" x="5188"/>
        <item h="1" m="1" x="5002"/>
        <item h="1" m="1" x="5014"/>
        <item h="1" m="1" x="5015"/>
        <item h="1" m="1" x="5016"/>
        <item h="1" m="1" x="5057"/>
        <item h="1" m="1" x="5025"/>
        <item h="1" m="1" x="5024"/>
        <item h="1" m="1" x="2913"/>
        <item h="1" m="1" x="5030"/>
        <item h="1" m="1" x="5023"/>
        <item h="1" m="1" x="3457"/>
        <item h="1" m="1" x="5037"/>
        <item h="1" m="1" x="5045"/>
        <item h="1" m="1" x="5046"/>
        <item h="1" m="1" x="5047"/>
        <item h="1" m="1" x="5078"/>
        <item h="1" m="1" x="5192"/>
        <item h="1" m="1" x="5195"/>
        <item h="1" m="1" x="2605"/>
        <item h="1" m="1" x="5196"/>
        <item h="1" m="1" x="5087"/>
        <item h="1" m="1" x="5197"/>
        <item h="1" m="1" x="5199"/>
        <item h="1" m="1" x="4240"/>
        <item h="1" m="1" x="5104"/>
        <item h="1" m="1" x="5095"/>
        <item h="1" m="1" x="5094"/>
        <item h="1" m="1" x="5096"/>
        <item h="1" m="1" x="5103"/>
        <item h="1" m="1" x="5105"/>
        <item h="1" m="1" x="5108"/>
        <item h="1" m="1" x="5200"/>
        <item h="1" m="1" x="5106"/>
        <item h="1" m="1" x="5107"/>
        <item h="1" m="1" x="5102"/>
        <item h="1" m="1" x="5101"/>
        <item h="1" m="1" x="5112"/>
        <item h="1" m="1" x="5110"/>
        <item h="1" m="1" x="5201"/>
        <item h="1" m="1" x="5202"/>
        <item h="1" m="1" x="5114"/>
        <item h="1" m="1" x="5122"/>
        <item h="1" m="1" x="5118"/>
        <item h="1" m="1" x="5119"/>
        <item h="1" m="1" x="5121"/>
        <item h="1" m="1" x="5120"/>
        <item h="1" m="1" x="5123"/>
        <item h="1" m="1" x="5124"/>
        <item h="1" m="1" x="5125"/>
        <item h="1" m="1" x="5203"/>
        <item h="1" m="1" x="5204"/>
        <item h="1" m="1" x="5132"/>
        <item h="1" m="1" x="5140"/>
        <item h="1" m="1" x="5138"/>
        <item h="1" m="1" x="5205"/>
        <item h="1" m="1" x="5206"/>
        <item h="1" m="1" x="5207"/>
        <item h="1" m="1" x="5208"/>
        <item h="1" m="1" x="5209"/>
        <item h="1" m="1" x="5210"/>
        <item h="1" m="1" x="5211"/>
        <item h="1" m="1" x="5212"/>
        <item h="1" m="1" x="5213"/>
        <item h="1" m="1" x="5214"/>
        <item h="1" m="1" x="5136"/>
        <item h="1" m="1" x="5151"/>
        <item h="1" m="1" x="5150"/>
        <item h="1" m="1" x="3405"/>
        <item h="1" m="1" x="3406"/>
        <item h="1" m="1" x="4454"/>
        <item h="1" m="1" x="3924"/>
        <item h="1" m="1" x="4822"/>
        <item h="1" m="1" x="4823"/>
        <item h="1" m="1" x="4824"/>
        <item h="1" m="1" x="4825"/>
        <item h="1" m="1" x="3963"/>
        <item h="1" m="1" x="4836"/>
        <item h="1" m="1" x="3063"/>
        <item h="1" m="1" x="3064"/>
        <item h="1" m="1" x="4845"/>
        <item h="1" m="1" x="4846"/>
        <item h="1" m="1" x="4847"/>
        <item h="1" m="1" x="4851"/>
        <item h="1" m="1" x="3219"/>
        <item h="1" m="1" x="2930"/>
        <item h="1" m="1" x="4852"/>
        <item h="1" m="1" x="4855"/>
        <item h="1" m="1" x="4468"/>
        <item h="1" m="1" x="4861"/>
        <item h="1" m="1" x="4863"/>
        <item h="1" m="1" x="4864"/>
        <item h="1" m="1" x="4866"/>
        <item h="1" m="1" x="4876"/>
        <item h="1" m="1" x="4877"/>
        <item h="1" m="1" x="4885"/>
        <item h="1" m="1" x="4886"/>
        <item h="1" m="1" x="4889"/>
        <item h="1" m="1" x="4890"/>
        <item h="1" m="1" x="4904"/>
        <item h="1" m="1" x="4905"/>
        <item h="1" m="1" x="4906"/>
        <item h="1" m="1" x="4907"/>
        <item h="1" m="1" x="4911"/>
        <item h="1" m="1" x="4912"/>
        <item h="1" m="1" x="4932"/>
        <item h="1" m="1" x="4933"/>
        <item h="1" m="1" x="4934"/>
        <item h="1" m="1" x="4935"/>
        <item h="1" m="1" x="2959"/>
        <item h="1" m="1" x="4944"/>
        <item h="1" m="1" x="3140"/>
        <item h="1" m="1" x="4959"/>
        <item h="1" m="1" x="4968"/>
        <item h="1" m="1" x="2640"/>
        <item h="1" m="1" x="4969"/>
        <item h="1" m="1" x="4970"/>
        <item h="1" m="1" x="4974"/>
        <item h="1" m="1" x="4010"/>
        <item h="1" m="1" x="4979"/>
        <item h="1" m="1" x="4999"/>
        <item h="1" m="1" x="5000"/>
        <item h="1" m="1" x="5003"/>
        <item h="1" m="1" x="5007"/>
        <item h="1" m="1" x="5010"/>
        <item h="1" m="1" x="5011"/>
        <item h="1" m="1" x="5012"/>
        <item h="1" m="1" x="5013"/>
        <item h="1" m="1" x="5017"/>
        <item h="1" m="1" x="5018"/>
        <item h="1" m="1" x="5019"/>
        <item h="1" m="1" x="5026"/>
        <item h="1" m="1" x="5027"/>
        <item h="1" m="1" x="5028"/>
        <item h="1" m="1" x="5029"/>
        <item h="1" m="1" x="5031"/>
        <item h="1" m="1" x="5032"/>
        <item h="1" m="1" x="5035"/>
        <item h="1" m="1" x="5036"/>
        <item h="1" m="1" x="5039"/>
        <item h="1" m="1" x="963"/>
        <item h="1" m="1" x="5042"/>
        <item h="1" m="1" x="5043"/>
        <item h="1" m="1" x="5044"/>
        <item h="1" m="1" x="5052"/>
        <item h="1" m="1" x="5058"/>
        <item h="1" m="1" x="5059"/>
        <item h="1" m="1" x="5062"/>
        <item h="1" m="1" x="5080"/>
        <item h="1" m="1" x="5081"/>
        <item h="1" m="1" x="5082"/>
        <item h="1" m="1" x="1523"/>
        <item h="1" m="1" x="5090"/>
        <item h="1" m="1" x="5091"/>
        <item h="1" m="1" x="5092"/>
        <item h="1" m="1" x="5093"/>
        <item h="1" m="1" x="5098"/>
        <item h="1" m="1" x="5099"/>
        <item h="1" m="1" x="5100"/>
        <item h="1" m="1" x="5109"/>
        <item h="1" x="424"/>
        <item h="1" m="1" x="4288"/>
        <item h="1" m="1" x="5115"/>
        <item h="1" m="1" x="5116"/>
        <item h="1" m="1" x="5117"/>
        <item h="1" m="1" x="5126"/>
        <item h="1" m="1" x="5127"/>
        <item h="1" m="1" x="5128"/>
        <item h="1" m="1" x="5130"/>
        <item h="1" m="1" x="5131"/>
        <item h="1" m="1" x="3258"/>
        <item h="1" m="1" x="5142"/>
        <item h="1" m="1" x="5144"/>
        <item h="1" m="1" x="5152"/>
        <item h="1" m="1" x="5154"/>
        <item h="1" m="1" x="5155"/>
        <item h="1" m="1" x="5156"/>
        <item h="1" m="1" x="4473"/>
        <item h="1" m="1" x="3819"/>
        <item h="1" m="1" x="4474"/>
        <item h="1" m="1" x="3821"/>
        <item h="1" m="1" x="3164"/>
        <item h="1" m="1" x="3820"/>
        <item h="1" m="1" x="4475"/>
        <item h="1" m="1" x="4476"/>
        <item h="1" m="1" x="4477"/>
        <item h="1" m="1" x="3818"/>
        <item h="1" m="1" x="4478"/>
        <item h="1" m="1" x="4479"/>
        <item h="1" m="1" x="3822"/>
        <item h="1" m="1" x="4480"/>
        <item h="1" m="1" x="4481"/>
        <item h="1" m="1" x="4482"/>
        <item h="1" m="1" x="4483"/>
        <item h="1" m="1" x="4484"/>
        <item h="1" m="1" x="4485"/>
        <item h="1" m="1" x="4486"/>
        <item h="1" m="1" x="4487"/>
        <item h="1" m="1" x="4488"/>
        <item h="1" m="1" x="3151"/>
        <item h="1" m="1" x="4489"/>
        <item h="1" m="1" x="4490"/>
        <item h="1" m="1" x="4492"/>
        <item h="1" m="1" x="4494"/>
        <item h="1" m="1" x="4495"/>
        <item h="1" m="1" x="4496"/>
        <item h="1" m="1" x="4497"/>
        <item h="1" m="1" x="4498"/>
        <item h="1" m="1" x="4499"/>
        <item h="1" m="1" x="4500"/>
        <item h="1" m="1" x="4501"/>
        <item h="1" m="1" x="4503"/>
        <item h="1" m="1" x="4504"/>
        <item h="1" m="1" x="4505"/>
        <item h="1" m="1" x="4506"/>
        <item h="1" m="1" x="4507"/>
        <item h="1" m="1" x="4508"/>
        <item h="1" m="1" x="4509"/>
        <item h="1" m="1" x="2009"/>
        <item h="1" m="1" x="4510"/>
        <item h="1" m="1" x="4512"/>
        <item h="1" m="1" x="4514"/>
        <item h="1" m="1" x="4517"/>
        <item h="1" m="1" x="4518"/>
        <item h="1" m="1" x="4519"/>
        <item h="1" m="1" x="4520"/>
        <item h="1" m="1" x="4521"/>
        <item h="1" m="1" x="3473"/>
        <item h="1" m="1" x="4238"/>
        <item h="1" m="1" x="4337"/>
        <item h="1" m="1" x="4338"/>
        <item h="1" m="1" x="4241"/>
        <item h="1" m="1" x="4243"/>
        <item h="1" m="1" x="4237"/>
        <item h="1" m="1" x="4522"/>
        <item h="1" m="1" x="4523"/>
        <item h="1" m="1" x="3789"/>
        <item h="1" m="1" x="3790"/>
        <item h="1" m="1" x="4341"/>
        <item h="1" m="1" x="4524"/>
        <item h="1" m="1" x="4526"/>
        <item h="1" m="1" x="4527"/>
        <item h="1" m="1" x="4528"/>
        <item h="1" m="1" x="4529"/>
        <item h="1" m="1" x="4530"/>
        <item h="1" m="1" x="2673"/>
        <item h="1" m="1" x="4531"/>
        <item h="1" m="1" x="4532"/>
        <item h="1" m="1" x="4533"/>
        <item h="1" m="1" x="4534"/>
        <item h="1" m="1" x="4535"/>
        <item h="1" m="1" x="4536"/>
        <item h="1" m="1" x="4537"/>
        <item h="1" m="1" x="4538"/>
        <item h="1" m="1" x="4539"/>
        <item h="1" m="1" x="4540"/>
        <item h="1" m="1" x="4541"/>
        <item h="1" m="1" x="4542"/>
        <item h="1" m="1" x="4543"/>
        <item h="1" m="1" x="4544"/>
        <item h="1" m="1" x="1907"/>
        <item h="1" m="1" x="785"/>
        <item h="1" m="1" x="1914"/>
        <item h="1" m="1" x="1908"/>
        <item h="1" m="1" x="2890"/>
        <item h="1" m="1" x="2861"/>
        <item h="1" m="1" x="2862"/>
        <item h="1" m="1" x="4547"/>
        <item h="1" m="1" x="4548"/>
        <item h="1" m="1" x="4549"/>
        <item h="1" m="1" x="2897"/>
        <item h="1" m="1" x="4551"/>
        <item h="1" m="1" x="4552"/>
        <item h="1" m="1" x="4553"/>
        <item h="1" m="1" x="4554"/>
        <item h="1" m="1" x="4555"/>
        <item h="1" m="1" x="4556"/>
        <item h="1" m="1" x="4557"/>
        <item h="1" m="1" x="2523"/>
        <item h="1" m="1" x="4558"/>
        <item h="1" m="1" x="4559"/>
        <item h="1" m="1" x="2881"/>
        <item h="1" m="1" x="4461"/>
        <item h="1" m="1" x="3051"/>
        <item h="1" x="18"/>
        <item h="1" x="15"/>
        <item h="1" x="19"/>
        <item h="1" x="39"/>
        <item h="1" x="22"/>
        <item h="1" m="1" x="3841"/>
        <item h="1" m="1" x="4560"/>
        <item h="1" m="1" x="4256"/>
        <item h="1" m="1" x="4561"/>
        <item h="1" m="1" x="1885"/>
        <item h="1" m="1" x="1956"/>
        <item h="1" m="1" x="2403"/>
        <item h="1" m="1" x="4562"/>
        <item h="1" m="1" x="2775"/>
        <item h="1" m="1" x="4563"/>
        <item h="1" m="1" x="1906"/>
        <item h="1" m="1" x="2866"/>
        <item h="1" x="21"/>
        <item h="1" x="13"/>
        <item h="1" m="1" x="3089"/>
        <item h="1" m="1" x="4373"/>
        <item h="1" m="1" x="1911"/>
        <item h="1" m="1" x="4568"/>
        <item h="1" m="1" x="4569"/>
        <item h="1" m="1" x="4570"/>
        <item h="1" m="1" x="514"/>
        <item h="1" m="1" x="4571"/>
        <item h="1" m="1" x="4093"/>
        <item h="1" m="1" x="4574"/>
        <item h="1" m="1" x="4576"/>
        <item h="1" m="1" x="4577"/>
        <item h="1" m="1" x="4578"/>
        <item h="1" m="1" x="4579"/>
        <item h="1" m="1" x="4580"/>
        <item h="1" m="1" x="4581"/>
        <item h="1" m="1" x="4582"/>
        <item h="1" m="1" x="4584"/>
        <item h="1" m="1" x="4586"/>
        <item h="1" m="1" x="1948"/>
        <item h="1" m="1" x="4587"/>
        <item h="1" m="1" x="4588"/>
        <item h="1" m="1" x="1923"/>
        <item h="1" m="1" x="3053"/>
        <item h="1" m="1" x="4589"/>
        <item h="1" m="1" x="3607"/>
        <item h="1" m="1" x="4591"/>
        <item h="1" m="1" x="4592"/>
        <item h="1" m="1" x="4593"/>
        <item h="1" m="1" x="4594"/>
        <item h="1" m="1" x="4596"/>
        <item h="1" m="1" x="4597"/>
        <item h="1" m="1" x="4598"/>
        <item h="1" m="1" x="4599"/>
        <item h="1" m="1" x="4600"/>
        <item h="1" m="1" x="4601"/>
        <item h="1" m="1" x="4602"/>
        <item h="1" m="1" x="4603"/>
        <item h="1" m="1" x="4604"/>
        <item h="1" m="1" x="4605"/>
        <item h="1" m="1" x="4606"/>
        <item h="1" m="1" x="4607"/>
        <item h="1" m="1" x="4608"/>
        <item h="1" m="1" x="4609"/>
        <item h="1" m="1" x="3844"/>
        <item h="1" m="1" x="3807"/>
        <item h="1" x="36"/>
        <item h="1" m="1" x="4271"/>
        <item h="1" m="1" x="3067"/>
        <item h="1" m="1" x="3066"/>
        <item h="1" m="1" x="4610"/>
        <item h="1" m="1" x="4611"/>
        <item h="1" m="1" x="4612"/>
        <item h="1" m="1" x="2769"/>
        <item h="1" m="1" x="2114"/>
        <item h="1" m="1" x="4614"/>
        <item h="1" m="1" x="2786"/>
        <item h="1" m="1" x="4615"/>
        <item h="1" m="1" x="4616"/>
        <item h="1" m="1" x="4617"/>
        <item h="1" m="1" x="4618"/>
        <item h="1" m="1" x="4619"/>
        <item h="1" m="1" x="3133"/>
        <item h="1" m="1" x="4620"/>
        <item h="1" m="1" x="4621"/>
        <item h="1" m="1" x="4622"/>
        <item h="1" m="1" x="4623"/>
        <item h="1" m="1" x="4624"/>
        <item h="1" m="1" x="2443"/>
        <item h="1" m="1" x="2455"/>
        <item h="1" m="1" x="1713"/>
        <item h="1" m="1" x="1716"/>
        <item h="1" m="1" x="2108"/>
        <item h="1" m="1" x="4626"/>
        <item h="1" m="1" x="1302"/>
        <item h="1" m="1" x="4628"/>
        <item h="1" m="1" x="4629"/>
        <item h="1" m="1" x="4630"/>
        <item h="1" m="1" x="4631"/>
        <item h="1" m="1" x="2927"/>
        <item h="1" m="1" x="1681"/>
        <item h="1" m="1" x="1680"/>
        <item h="1" m="1" x="3934"/>
        <item h="1" x="38"/>
        <item h="1" m="1" x="2792"/>
        <item h="1" m="1" x="2978"/>
        <item h="1" m="1" x="4632"/>
        <item h="1" m="1" x="2895"/>
        <item h="1" m="1" x="1901"/>
        <item h="1" m="1" x="3937"/>
        <item h="1" m="1" x="3647"/>
        <item h="1" m="1" x="2237"/>
        <item h="1" m="1" x="3947"/>
        <item h="1" m="1" x="3948"/>
        <item h="1" m="1" x="3946"/>
        <item h="1" m="1" x="3940"/>
        <item h="1" m="1" x="3950"/>
        <item h="1" m="1" x="3938"/>
        <item h="1" m="1" x="3939"/>
        <item h="1" m="1" x="767"/>
        <item h="1" m="1" x="4280"/>
        <item h="1" m="1" x="4281"/>
        <item h="1" m="1" x="450"/>
        <item h="1" m="1" x="768"/>
        <item h="1" m="1" x="2760"/>
        <item h="1" m="1" x="4633"/>
        <item h="1" m="1" x="4634"/>
        <item h="1" m="1" x="2761"/>
        <item h="1" m="1" x="4635"/>
        <item h="1" m="1" x="4636"/>
        <item h="1" m="1" x="1732"/>
        <item h="1" m="1" x="2919"/>
        <item h="1" m="1" x="2918"/>
        <item h="1" m="1" x="3062"/>
        <item h="1" m="1" x="4451"/>
        <item h="1" m="1" x="4638"/>
        <item h="1" m="1" x="4465"/>
        <item h="1" m="1" x="4450"/>
        <item h="1" m="1" x="4440"/>
        <item h="1" m="1" x="4459"/>
        <item h="1" m="1" x="3956"/>
        <item h="1" m="1" x="3957"/>
        <item h="1" m="1" x="3958"/>
        <item h="1" m="1" x="1831"/>
        <item h="1" m="1" x="1798"/>
        <item h="1" x="17"/>
        <item h="1" m="1" x="3959"/>
        <item h="1" m="1" x="4640"/>
        <item h="1" x="354"/>
        <item h="1" m="1" x="4641"/>
        <item h="1" m="1" x="4642"/>
        <item h="1" m="1" x="4127"/>
        <item h="1" m="1" x="1183"/>
        <item h="1" m="1" x="4644"/>
        <item h="1" m="1" x="4645"/>
        <item h="1" m="1" x="4284"/>
        <item h="1" m="1" x="3962"/>
        <item h="1" m="1" x="3975"/>
        <item h="1" m="1" x="3974"/>
        <item h="1" m="1" x="3978"/>
        <item h="1" m="1" x="3977"/>
        <item h="1" m="1" x="3973"/>
        <item h="1" m="1" x="3976"/>
        <item h="1" m="1" x="3985"/>
        <item h="1" m="1" x="3983"/>
        <item h="1" m="1" x="3982"/>
        <item h="1" m="1" x="3979"/>
        <item h="1" m="1" x="3984"/>
        <item h="1" m="1" x="3992"/>
        <item h="1" m="1" x="4444"/>
        <item h="1" m="1" x="2875"/>
        <item h="1" m="1" x="1909"/>
        <item h="1" m="1" x="4457"/>
        <item h="1" m="1" x="4646"/>
        <item h="1" m="1" x="4647"/>
        <item h="1" m="1" x="4648"/>
        <item h="1" m="1" x="4649"/>
        <item h="1" m="1" x="4650"/>
        <item h="1" m="1" x="4445"/>
        <item h="1" m="1" x="4651"/>
        <item h="1" m="1" x="612"/>
        <item h="1" m="1" x="2910"/>
        <item h="1" m="1" x="4653"/>
        <item h="1" m="1" x="4137"/>
        <item h="1" m="1" x="4654"/>
        <item h="1" m="1" x="3097"/>
        <item h="1" m="1" x="4655"/>
        <item h="1" m="1" x="4656"/>
        <item h="1" m="1" x="4458"/>
        <item h="1" m="1" x="3096"/>
        <item h="1" m="1" x="4657"/>
        <item h="1" m="1" x="2940"/>
        <item h="1" m="1" x="4658"/>
        <item h="1" m="1" x="2939"/>
        <item h="1" m="1" x="4659"/>
        <item h="1" m="1" x="3095"/>
        <item h="1" m="1" x="4664"/>
        <item h="1" m="1" x="4666"/>
        <item h="1" m="1" x="1568"/>
        <item h="1" m="1" x="4667"/>
        <item h="1" x="183"/>
        <item h="1" m="1" x="4669"/>
        <item h="1" m="1" x="4670"/>
        <item h="1" m="1" x="4671"/>
        <item h="1" m="1" x="4672"/>
        <item h="1" m="1" x="4673"/>
        <item h="1" m="1" x="3110"/>
        <item h="1" m="1" x="4674"/>
        <item h="1" m="1" x="3111"/>
        <item h="1" m="1" x="3113"/>
        <item h="1" m="1" x="4676"/>
        <item h="1" m="1" x="4677"/>
        <item h="1" m="1" x="4678"/>
        <item h="1" m="1" x="4679"/>
        <item h="1" m="1" x="3112"/>
        <item h="1" m="1" x="3115"/>
        <item h="1" m="1" x="4680"/>
        <item h="1" m="1" x="4453"/>
        <item h="1" m="1" x="4296"/>
        <item h="1" m="1" x="4000"/>
        <item h="1" m="1" x="4443"/>
        <item h="1" m="1" x="1525"/>
        <item h="1" m="1" x="4448"/>
        <item h="1" m="1" x="4447"/>
        <item h="1" m="1" x="4446"/>
        <item h="1" m="1" x="4462"/>
        <item h="1" m="1" x="2367"/>
        <item h="1" m="1" x="2354"/>
        <item h="1" m="1" x="2355"/>
        <item h="1" m="1" x="2356"/>
        <item h="1" m="1" x="2379"/>
        <item h="1" m="1" x="2375"/>
        <item h="1" m="1" x="2369"/>
        <item h="1" m="1" x="2370"/>
        <item h="1" m="1" x="2384"/>
        <item h="1" m="1" x="2388"/>
        <item h="1" m="1" x="2399"/>
        <item h="1" m="1" x="2400"/>
        <item h="1" m="1" x="2401"/>
        <item h="1" m="1" x="2402"/>
        <item h="1" m="1" x="2391"/>
        <item h="1" m="1" x="2392"/>
        <item h="1" m="1" x="2233"/>
        <item h="1" m="1" x="3397"/>
        <item h="1" m="1" x="3661"/>
        <item h="1" m="1" x="4682"/>
        <item h="1" m="1" x="4460"/>
        <item h="1" m="1" x="2397"/>
        <item h="1" m="1" x="4684"/>
        <item h="1" m="1" x="4685"/>
        <item h="1" m="1" x="4686"/>
        <item h="1" m="1" x="3401"/>
        <item h="1" m="1" x="3402"/>
        <item h="1" m="1" x="1833"/>
        <item h="1" m="1" x="3426"/>
        <item h="1" m="1" x="3516"/>
        <item h="1" m="1" x="3425"/>
        <item h="1" m="1" x="3515"/>
        <item h="1" m="1" x="4143"/>
        <item h="1" m="1" x="4144"/>
        <item h="1" m="1" x="4145"/>
        <item h="1" m="1" x="3536"/>
        <item h="1" m="1" x="3537"/>
        <item h="1" m="1" x="3684"/>
        <item h="1" m="1" x="4002"/>
        <item h="1" m="1" x="3403"/>
        <item h="1" m="1" x="3408"/>
        <item h="1" m="1" x="3409"/>
        <item h="1" m="1" x="4692"/>
        <item h="1" m="1" x="3165"/>
        <item h="1" m="1" x="3407"/>
        <item h="1" m="1" x="4693"/>
        <item h="1" m="1" x="3855"/>
        <item h="1" m="1" x="3857"/>
        <item h="1" m="1" x="4694"/>
        <item h="1" m="1" x="3559"/>
        <item h="1" m="1" x="4695"/>
        <item h="1" m="1" x="1952"/>
        <item h="1" m="1" x="1953"/>
        <item h="1" m="1" x="1951"/>
        <item h="1" x="340"/>
        <item h="1" m="1" x="4697"/>
        <item h="1" m="1" x="4698"/>
        <item h="1" m="1" x="4699"/>
        <item h="1" m="1" x="4700"/>
        <item h="1" m="1" x="3824"/>
        <item h="1" m="1" x="1961"/>
        <item h="1" m="1" x="2595"/>
        <item h="1" x="24"/>
        <item h="1" m="1" x="1962"/>
        <item h="1" m="1" x="4702"/>
        <item h="1" m="1" x="4703"/>
        <item h="1" m="1" x="2381"/>
        <item h="1" m="1" x="2610"/>
        <item h="1" m="1" x="4704"/>
        <item h="1" m="1" x="4705"/>
        <item h="1" m="1" x="4706"/>
        <item h="1" m="1" x="3430"/>
        <item h="1" m="1" x="4707"/>
        <item h="1" m="1" x="4708"/>
        <item h="1" m="1" x="4709"/>
        <item h="1" m="1" x="4710"/>
        <item h="1" m="1" x="4711"/>
        <item h="1" m="1" x="4712"/>
        <item h="1" m="1" x="4713"/>
        <item h="1" m="1" x="4714"/>
        <item h="1" m="1" x="4715"/>
        <item h="1" m="1" x="4716"/>
        <item h="1" m="1" x="4717"/>
        <item h="1" m="1" x="686"/>
        <item h="1" m="1" x="4720"/>
        <item h="1" m="1" x="4721"/>
        <item h="1" m="1" x="4722"/>
        <item h="1" m="1" x="3660"/>
        <item h="1" m="1" x="4723"/>
        <item h="1" m="1" x="4724"/>
        <item h="1" m="1" x="4725"/>
        <item h="1" m="1" x="4467"/>
        <item h="1" m="1" x="4727"/>
        <item h="1" m="1" x="4729"/>
        <item h="1" m="1" x="4730"/>
        <item h="1" m="1" x="4731"/>
        <item h="1" m="1" x="4732"/>
        <item h="1" m="1" x="454"/>
        <item h="1" m="1" x="453"/>
        <item h="1" m="1" x="4013"/>
        <item h="1" m="1" x="4011"/>
        <item h="1" m="1" x="4012"/>
        <item h="1" m="1" x="4014"/>
        <item h="1" m="1" x="452"/>
        <item h="1" m="1" x="4442"/>
        <item h="1" m="1" x="4437"/>
        <item h="1" m="1" x="4438"/>
        <item h="1" m="1" x="4439"/>
        <item h="1" m="1" x="621"/>
        <item h="1" m="1" x="2902"/>
        <item h="1" m="1" x="4018"/>
        <item h="1" m="1" x="4174"/>
        <item h="1" m="1" x="2893"/>
        <item h="1" m="1" x="4175"/>
        <item h="1" m="1" x="4129"/>
        <item h="1" m="1" x="3437"/>
        <item h="1" m="1" x="2373"/>
        <item h="1" m="1" x="2371"/>
        <item h="1" m="1" x="2360"/>
        <item h="1" m="1" x="2365"/>
        <item h="1" m="1" x="2372"/>
        <item h="1" m="1" x="2362"/>
        <item h="1" m="1" x="2363"/>
        <item h="1" m="1" x="2364"/>
        <item h="1" m="1" x="1895"/>
        <item h="1" m="1" x="1894"/>
        <item h="1" m="1" x="2353"/>
        <item h="1" m="1" x="1896"/>
        <item h="1" m="1" x="2231"/>
        <item h="1" m="1" x="2232"/>
        <item h="1" m="1" x="4449"/>
        <item h="1" m="1" x="4734"/>
        <item h="1" m="1" x="4423"/>
        <item h="1" m="1" x="3159"/>
        <item h="1" m="1" x="1913"/>
        <item h="1" m="1" x="4193"/>
        <item h="1" m="1" x="4737"/>
        <item h="1" m="1" x="4738"/>
        <item h="1" m="1" x="4739"/>
        <item h="1" m="1" x="4740"/>
        <item h="1" m="1" x="4741"/>
        <item h="1" m="1" x="4742"/>
        <item h="1" m="1" x="4743"/>
        <item h="1" m="1" x="4744"/>
        <item h="1" m="1" x="4746"/>
        <item h="1" m="1" x="4747"/>
        <item h="1" m="1" x="2235"/>
        <item h="1" m="1" x="4027"/>
        <item h="1" m="1" x="4028"/>
        <item h="1" m="1" x="4748"/>
        <item h="1" m="1" x="4749"/>
        <item h="1" m="1" x="4750"/>
        <item h="1" m="1" x="4751"/>
        <item h="1" m="1" x="4752"/>
        <item h="1" m="1" x="4322"/>
        <item h="1" m="1" x="3555"/>
        <item h="1" m="1" x="4753"/>
        <item h="1" m="1" x="4754"/>
        <item h="1" m="1" x="3135"/>
        <item h="1" m="1" x="1280"/>
        <item h="1" m="1" x="4755"/>
        <item h="1" m="1" x="4756"/>
        <item h="1" m="1" x="2236"/>
        <item h="1" m="1" x="4757"/>
        <item h="1" m="1" x="2637"/>
        <item h="1" m="1" x="4758"/>
        <item h="1" m="1" x="4759"/>
        <item h="1" m="1" x="4760"/>
        <item h="1" m="1" x="4761"/>
        <item h="1" m="1" x="4763"/>
        <item h="1" m="1" x="4764"/>
        <item h="1" m="1" x="4765"/>
        <item h="1" m="1" x="1270"/>
        <item h="1" m="1" x="4766"/>
        <item h="1" m="1" x="4215"/>
        <item h="1" m="1" x="4767"/>
        <item h="1" m="1" x="4768"/>
        <item h="1" m="1" x="4769"/>
        <item h="1" m="1" x="4770"/>
        <item h="1" m="1" x="4771"/>
        <item h="1" m="1" x="4772"/>
        <item h="1" m="1" x="4773"/>
        <item h="1" m="1" x="4774"/>
        <item h="1" m="1" x="4775"/>
        <item h="1" m="1" x="1797"/>
        <item h="1" m="1" x="4463"/>
        <item h="1" m="1" x="1916"/>
        <item h="1" m="1" x="4776"/>
        <item h="1" m="1" x="4777"/>
        <item h="1" m="1" x="4778"/>
        <item h="1" m="1" x="4779"/>
        <item h="1" m="1" x="4780"/>
        <item h="1" m="1" x="4781"/>
        <item h="1" m="1" x="3777"/>
        <item h="1" m="1" x="4782"/>
        <item h="1" m="1" x="3139"/>
        <item h="1" m="1" x="4784"/>
        <item h="1" m="1" x="3137"/>
        <item h="1" m="1" x="4785"/>
        <item h="1" m="1" x="4786"/>
        <item h="1" m="1" x="4787"/>
        <item h="1" m="1" x="4788"/>
        <item h="1" m="1" x="4789"/>
        <item h="1" m="1" x="4790"/>
        <item h="1" m="1" x="4791"/>
        <item h="1" m="1" x="3730"/>
        <item h="1" m="1" x="4792"/>
        <item h="1" m="1" x="3141"/>
        <item h="1" m="1" x="3462"/>
        <item h="1" m="1" x="3460"/>
        <item h="1" m="1" x="3461"/>
        <item h="1" m="1" x="4793"/>
        <item h="1" m="1" x="4794"/>
        <item h="1" m="1" x="1830"/>
        <item h="1" m="1" x="3458"/>
        <item h="1" m="1" x="4795"/>
        <item h="1" m="1" x="3459"/>
        <item h="1" m="1" x="4796"/>
        <item h="1" m="1" x="4797"/>
        <item h="1" m="1" x="4798"/>
        <item h="1" m="1" x="4799"/>
        <item h="1" m="1" x="4800"/>
        <item h="1" m="1" x="4801"/>
        <item h="1" m="1" x="4802"/>
        <item h="1" m="1" x="4803"/>
        <item h="1" m="1" x="4804"/>
        <item h="1" m="1" x="4806"/>
        <item h="1" m="1" x="4807"/>
        <item h="1" m="1" x="4033"/>
        <item h="1" m="1" x="3865"/>
        <item h="1" m="1" x="3866"/>
        <item h="1" m="1" x="3867"/>
        <item h="1" m="1" x="4808"/>
        <item h="1" m="1" x="4809"/>
        <item h="1" m="1" x="4810"/>
        <item h="1" m="1" x="4811"/>
        <item h="1" m="1" x="3872"/>
        <item h="1" m="1" x="4812"/>
        <item h="1" m="1" x="3871"/>
        <item h="1" m="1" x="4813"/>
        <item h="1" m="1" x="4814"/>
        <item h="1" m="1" x="4815"/>
        <item h="1" m="1" x="4816"/>
        <item h="1" m="1" x="4333"/>
        <item h="1" m="1" x="4044"/>
        <item h="1" m="1" x="4331"/>
        <item h="1" m="1" x="4334"/>
        <item h="1" m="1" x="4336"/>
        <item h="1" m="1" x="4039"/>
        <item h="1" m="1" x="4040"/>
        <item h="1" m="1" x="4042"/>
        <item h="1" m="1" x="4043"/>
        <item h="1" m="1" x="4335"/>
        <item h="1" x="49"/>
        <item h="1" m="1" x="4245"/>
        <item h="1" m="1" x="4422"/>
        <item h="1" m="1" x="4419"/>
        <item h="1" m="1" x="3797"/>
        <item h="1" m="1" x="3900"/>
        <item h="1" m="1" x="3903"/>
        <item h="1" m="1" x="1920"/>
        <item h="1" m="1" x="4076"/>
        <item h="1" m="1" x="4078"/>
        <item h="1" m="1" x="1960"/>
        <item h="1" m="1" x="4418"/>
        <item h="1" m="1" x="4420"/>
        <item h="1" m="1" x="4254"/>
        <item h="1" m="1" x="4255"/>
        <item h="1" m="1" x="4247"/>
        <item h="1" m="1" x="4414"/>
        <item h="1" m="1" x="4257"/>
        <item h="1" m="1" x="4258"/>
        <item h="1" m="1" x="4085"/>
        <item h="1" m="1" x="1924"/>
        <item h="1" m="1" x="4083"/>
        <item h="1" m="1" x="781"/>
        <item h="1" m="1" x="774"/>
        <item h="1" m="1" x="775"/>
        <item h="1" m="1" x="4084"/>
        <item h="1" m="1" x="4421"/>
        <item h="1" m="1" x="1777"/>
        <item h="1" m="1" x="3925"/>
        <item h="1" m="1" x="3933"/>
        <item h="1" m="1" x="4261"/>
        <item h="1" m="1" x="4260"/>
        <item h="1" m="1" x="3928"/>
        <item h="1" m="1" x="3930"/>
        <item h="1" m="1" x="4259"/>
        <item h="1" m="1" x="3929"/>
        <item h="1" m="1" x="3927"/>
        <item h="1" m="1" x="4096"/>
        <item h="1" m="1" x="4375"/>
        <item h="1" m="1" x="1709"/>
        <item h="1" m="1" x="4097"/>
        <item h="1" m="1" x="1184"/>
        <item h="1" m="1" x="4104"/>
        <item h="1" m="1" x="4377"/>
        <item h="1" m="1" x="4381"/>
        <item h="1" m="1" x="1949"/>
        <item h="1" m="1" x="4384"/>
        <item h="1" m="1" x="4413"/>
        <item h="1" m="1" x="2898"/>
        <item h="1" m="1" x="3945"/>
        <item h="1" m="1" x="4435"/>
        <item h="1" m="1" x="2386"/>
        <item h="1" m="1" x="2385"/>
        <item h="1" m="1" x="4428"/>
        <item h="1" m="1" x="4285"/>
        <item h="1" m="1" x="4286"/>
        <item h="1" m="1" x="4289"/>
        <item h="1" m="1" x="3990"/>
        <item h="1" m="1" x="3980"/>
        <item h="1" m="1" x="3981"/>
        <item h="1" m="1" x="4412"/>
        <item h="1" m="1" x="3100"/>
        <item h="1" m="1" x="4388"/>
        <item h="1" m="1" x="4427"/>
        <item h="1" m="1" x="3850"/>
        <item h="1" m="1" x="3851"/>
        <item h="1" m="1" x="3534"/>
        <item h="1" m="1" x="3533"/>
        <item h="1" m="1" x="3526"/>
        <item h="1" m="1" x="3524"/>
        <item h="1" m="1" x="3525"/>
        <item h="1" m="1" x="2836"/>
        <item h="1" m="1" x="1818"/>
        <item h="1" m="1" x="3041"/>
        <item h="1" m="1" x="2594"/>
        <item h="1" m="1" x="1805"/>
        <item h="1" m="1" x="4417"/>
        <item h="1" m="1" x="4434"/>
        <item h="1" m="1" x="4433"/>
        <item h="1" m="1" x="3385"/>
        <item h="1" m="1" x="4426"/>
        <item h="1" m="1" x="4425"/>
        <item h="1" m="1" x="4432"/>
        <item h="1" m="1" x="4431"/>
        <item h="1" m="1" x="4429"/>
        <item h="1" m="1" x="4430"/>
        <item h="1" m="1" x="4424"/>
        <item h="1" m="1" x="4416"/>
        <item h="1" m="1" x="2888"/>
        <item h="1" m="1" x="2858"/>
        <item h="1" m="1" x="2891"/>
        <item h="1" m="1" x="4205"/>
        <item h="1" m="1" x="4324"/>
        <item h="1" m="1" x="4402"/>
        <item h="1" m="1" x="3463"/>
        <item h="1" m="1" x="4406"/>
        <item h="1" m="1" x="3340"/>
        <item h="1" m="1" x="4226"/>
        <item h="1" m="1" x="1808"/>
        <item h="1" m="1" x="3142"/>
        <item h="1" m="1" x="4408"/>
        <item h="1" m="1" x="4231"/>
        <item h="1" m="1" x="4409"/>
        <item h="1" m="1" x="3863"/>
        <item h="1" m="1" x="3864"/>
        <item h="1" m="1" x="4411"/>
        <item h="1" m="1" x="3869"/>
        <item h="1" m="1" x="3870"/>
        <item h="1" m="1" x="3868"/>
        <item h="1" m="1" x="4339"/>
        <item h="1" m="1" x="4340"/>
        <item h="1" m="1" x="4074"/>
        <item h="1" m="1" x="4342"/>
        <item h="1" m="1" x="4344"/>
        <item h="1" m="1" x="4345"/>
        <item h="1" m="1" x="4346"/>
        <item h="1" m="1" x="4347"/>
        <item h="1" m="1" x="4348"/>
        <item h="1" m="1" x="4349"/>
        <item h="1" m="1" x="4350"/>
        <item h="1" m="1" x="4351"/>
        <item h="1" m="1" x="4352"/>
        <item h="1" m="1" x="4353"/>
        <item h="1" m="1" x="4354"/>
        <item h="1" m="1" x="2014"/>
        <item h="1" m="1" x="4355"/>
        <item h="1" m="1" x="4356"/>
        <item h="1" m="1" x="4357"/>
        <item h="1" m="1" x="4358"/>
        <item h="1" m="1" x="4359"/>
        <item h="1" m="1" x="4360"/>
        <item h="1" m="1" x="4361"/>
        <item h="1" m="1" x="4362"/>
        <item h="1" m="1" x="3906"/>
        <item h="1" m="1" x="4363"/>
        <item h="1" m="1" x="4364"/>
        <item h="1" m="1" x="4365"/>
        <item h="1" m="1" x="4366"/>
        <item h="1" m="1" x="4081"/>
        <item h="1" m="1" x="4367"/>
        <item h="1" m="1" x="4368"/>
        <item h="1" m="1" x="4369"/>
        <item h="1" m="1" x="2777"/>
        <item h="1" m="1" x="4371"/>
        <item h="1" m="1" x="3362"/>
        <item h="1" m="1" x="4372"/>
        <item h="1" m="1" x="3932"/>
        <item h="1" m="1" x="4262"/>
        <item h="1" m="1" x="4263"/>
        <item h="1" m="1" x="4264"/>
        <item h="1" m="1" x="4265"/>
        <item h="1" m="1" x="4374"/>
        <item h="1" m="1" x="1922"/>
        <item h="1" m="1" x="4095"/>
        <item h="1" m="1" x="586"/>
        <item h="1" m="1" x="4094"/>
        <item h="1" m="1" x="4378"/>
        <item h="1" m="1" x="4379"/>
        <item h="1" m="1" x="4380"/>
        <item h="1" m="1" x="4114"/>
        <item h="1" m="1" x="4383"/>
        <item h="1" m="1" x="4385"/>
        <item h="1" m="1" x="4386"/>
        <item h="1" m="1" x="4126"/>
        <item h="1" m="1" x="3986"/>
        <item h="1" m="1" x="4387"/>
        <item h="1" m="1" x="492"/>
        <item h="1" m="1" x="1802"/>
        <item h="1" m="1" x="3114"/>
        <item h="1" m="1" x="4389"/>
        <item h="1" m="1" x="4390"/>
        <item h="1" x="436"/>
        <item h="1" m="1" x="3520"/>
        <item h="1" m="1" x="4391"/>
        <item h="1" m="1" x="4148"/>
        <item h="1" m="1" x="4005"/>
        <item h="1" m="1" x="4392"/>
        <item h="1" m="1" x="1945"/>
        <item h="1" m="1" x="1946"/>
        <item h="1" m="1" x="1954"/>
        <item h="1" m="1" x="1955"/>
        <item h="1" m="1" x="3823"/>
        <item h="1" m="1" x="4393"/>
        <item h="1" m="1" x="4396"/>
        <item h="1" m="1" x="4397"/>
        <item h="1" m="1" x="481"/>
        <item h="1" m="1" x="4398"/>
        <item h="1" m="1" x="2968"/>
        <item h="1" m="1" x="4314"/>
        <item h="1" m="1" x="1491"/>
        <item h="1" m="1" x="4190"/>
        <item h="1" m="1" x="529"/>
        <item h="1" m="1" x="4183"/>
        <item h="1" m="1" x="4184"/>
        <item h="1" m="1" x="4185"/>
        <item h="1" m="1" x="2877"/>
        <item h="1" m="1" x="4399"/>
        <item h="1" m="1" x="4400"/>
        <item h="1" m="1" x="4401"/>
        <item h="1" m="1" x="4403"/>
        <item h="1" m="1" x="4405"/>
        <item h="1" m="1" x="4407"/>
        <item h="1" x="411"/>
        <item h="1" m="1" x="4410"/>
        <item h="1" m="1" x="4332"/>
        <item h="1" m="1" x="4235"/>
        <item h="1" m="1" x="4236"/>
        <item h="1" m="1" x="4049"/>
        <item h="1" m="1" x="4050"/>
        <item h="1" m="1" x="3874"/>
        <item h="1" m="1" x="4063"/>
        <item h="1" m="1" x="4061"/>
        <item h="1" m="1" x="4059"/>
        <item h="1" m="1" x="4060"/>
        <item h="1" m="1" x="4062"/>
        <item h="1" m="1" x="3880"/>
        <item h="1" m="1" x="3881"/>
        <item h="1" m="1" x="3882"/>
        <item h="1" m="1" x="3883"/>
        <item h="1" m="1" x="3884"/>
        <item h="1" m="1" x="3885"/>
        <item h="1" m="1" x="3886"/>
        <item h="1" m="1" x="3891"/>
        <item h="1" m="1" x="3892"/>
        <item h="1" m="1" x="4073"/>
        <item h="1" m="1" x="3879"/>
        <item h="1" m="1" x="3888"/>
        <item h="1" m="1" x="4064"/>
        <item h="1" m="1" x="3893"/>
        <item h="1" m="1" x="4065"/>
        <item h="1" m="1" x="4066"/>
        <item h="1" m="1" x="4067"/>
        <item h="1" m="1" x="4068"/>
        <item h="1" m="1" x="3187"/>
        <item h="1" m="1" x="3894"/>
        <item h="1" m="1" x="4070"/>
        <item h="1" m="1" x="4071"/>
        <item h="1" m="1" x="4072"/>
        <item h="1" m="1" x="3889"/>
        <item h="1" m="1" x="3890"/>
        <item h="1" m="1" x="3583"/>
        <item h="1" m="1" x="4246"/>
        <item h="1" m="1" x="3907"/>
        <item h="1" m="1" x="3908"/>
        <item h="1" m="1" x="1422"/>
        <item h="1" m="1" x="4248"/>
        <item h="1" m="1" x="4249"/>
        <item h="1" m="1" x="4250"/>
        <item h="1" m="1" x="4080"/>
        <item h="1" m="1" x="4079"/>
        <item h="1" m="1" x="4251"/>
        <item h="1" m="1" x="4252"/>
        <item h="1" m="1" x="4253"/>
        <item h="1" m="1" x="4082"/>
        <item h="1" m="1" x="1929"/>
        <item h="1" m="1" x="1931"/>
        <item h="1" m="1" x="1930"/>
        <item h="1" m="1" x="1927"/>
        <item h="1" m="1" x="1928"/>
        <item h="1" m="1" x="4087"/>
        <item h="1" m="1" x="4266"/>
        <item h="1" m="1" x="1799"/>
        <item h="1" m="1" x="4267"/>
        <item h="1" m="1" x="4098"/>
        <item h="1" m="1" x="1959"/>
        <item h="1" m="1" x="4100"/>
        <item h="1" m="1" x="4269"/>
        <item h="1" m="1" x="1950"/>
        <item h="1" m="1" x="4270"/>
        <item h="1" m="1" x="4115"/>
        <item h="1" m="1" x="2441"/>
        <item h="1" m="1" x="3298"/>
        <item h="1" m="1" x="4274"/>
        <item h="1" m="1" x="4275"/>
        <item h="1" m="1" x="4276"/>
        <item h="1" m="1" x="3377"/>
        <item h="1" m="1" x="4277"/>
        <item h="1" m="1" x="2883"/>
        <item h="1" m="1" x="4278"/>
        <item h="1" m="1" x="4279"/>
        <item h="1" m="1" x="1919"/>
        <item h="1" m="1" x="1937"/>
        <item h="1" m="1" x="1957"/>
        <item h="1" m="1" x="1939"/>
        <item h="1" m="1" x="1936"/>
        <item h="1" m="1" x="4283"/>
        <item h="1" m="1" x="4124"/>
        <item h="1" m="1" x="4291"/>
        <item h="1" m="1" x="4292"/>
        <item h="1" m="1" x="4293"/>
        <item h="1" m="1" x="1801"/>
        <item h="1" m="1" x="4294"/>
        <item h="1" m="1" x="515"/>
        <item h="1" m="1" x="4136"/>
        <item h="1" m="1" x="3813"/>
        <item h="1" m="1" x="4295"/>
        <item h="1" m="1" x="3166"/>
        <item h="1" m="1" x="4297"/>
        <item h="1" m="1" x="4298"/>
        <item h="1" m="1" x="4299"/>
        <item h="1" m="1" x="4300"/>
        <item h="1" m="1" x="4142"/>
        <item h="1" m="1" x="3519"/>
        <item h="1" m="1" x="3522"/>
        <item h="1" m="1" x="3422"/>
        <item h="1" m="1" x="3521"/>
        <item h="1" m="1" x="2616"/>
        <item h="1" m="1" x="4301"/>
        <item h="1" m="1" x="4149"/>
        <item h="1" m="1" x="4302"/>
        <item h="1" m="1" x="2911"/>
        <item h="1" m="1" x="4306"/>
        <item h="1" m="1" x="2549"/>
        <item h="1" m="1" x="4307"/>
        <item h="1" m="1" x="4154"/>
        <item h="1" m="1" x="4308"/>
        <item h="1" m="1" x="4309"/>
        <item h="1" m="1" x="4310"/>
        <item h="1" m="1" x="4311"/>
        <item h="1" m="1" x="3136"/>
        <item h="1" m="1" x="4312"/>
        <item h="1" m="1" x="4313"/>
        <item h="1" m="1" x="2589"/>
        <item h="1" m="1" x="1806"/>
        <item h="1" m="1" x="4315"/>
        <item h="1" m="1" x="4316"/>
        <item h="1" m="1" x="4317"/>
        <item h="1" m="1" x="4318"/>
        <item h="1" m="1" x="4021"/>
        <item h="1" m="1" x="4321"/>
        <item h="1" m="1" x="2064"/>
        <item h="1" m="1" x="4189"/>
        <item h="1" m="1" x="4187"/>
        <item h="1" m="1" x="4188"/>
        <item h="1" m="1" x="4186"/>
        <item h="1" m="1" x="1807"/>
        <item h="1" m="1" x="1224"/>
        <item h="1" m="1" x="4207"/>
        <item h="1" m="1" x="4208"/>
        <item h="1" m="1" x="4325"/>
        <item h="1" m="1" x="4326"/>
        <item h="1" m="1" x="4327"/>
        <item h="1" m="1" x="4328"/>
        <item h="1" m="1" x="4329"/>
        <item h="1" m="1" x="4330"/>
        <item h="1" m="1" x="4036"/>
        <item h="1" m="1" x="4234"/>
        <item h="1" m="1" x="4048"/>
        <item h="1" m="1" x="1964"/>
        <item h="1" m="1" x="4051"/>
        <item h="1" m="1" x="4052"/>
        <item h="1" m="1" x="4053"/>
        <item h="1" m="1" x="4054"/>
        <item h="1" m="1" x="4055"/>
        <item h="1" m="1" x="4056"/>
        <item h="1" m="1" x="4057"/>
        <item h="1" m="1" x="4058"/>
        <item h="1" m="1" x="1441"/>
        <item h="1" m="1" x="3590"/>
        <item h="1" m="1" x="4077"/>
        <item h="1" m="1" x="3910"/>
        <item h="1" m="1" x="3913"/>
        <item h="1" m="1" x="3838"/>
        <item h="1" m="1" x="2773"/>
        <item h="1" m="1" x="4086"/>
        <item h="1" m="1" x="4089"/>
        <item h="1" m="1" x="4090"/>
        <item h="1" m="1" x="1800"/>
        <item h="1" m="1" x="1529"/>
        <item h="1" m="1" x="4091"/>
        <item h="1" m="1" x="4092"/>
        <item h="1" m="1" x="588"/>
        <item h="1" m="1" x="4101"/>
        <item h="1" m="1" x="4105"/>
        <item h="1" m="1" x="4106"/>
        <item h="1" m="1" x="4107"/>
        <item h="1" m="1" x="4109"/>
        <item h="1" m="1" x="4110"/>
        <item h="1" m="1" x="4111"/>
        <item h="1" m="1" x="4112"/>
        <item h="1" m="1" x="4113"/>
        <item h="1" m="1" x="3083"/>
        <item h="1" m="1" x="2925"/>
        <item h="1" m="1" x="3935"/>
        <item h="1" m="1" x="3936"/>
        <item h="1" m="1" x="4119"/>
        <item h="1" m="1" x="4120"/>
        <item h="1" m="1" x="3951"/>
        <item h="1" m="1" x="4121"/>
        <item h="1" m="1" x="3812"/>
        <item h="1" m="1" x="4122"/>
        <item h="1" m="1" x="3952"/>
        <item h="1" x="200"/>
        <item h="1" m="1" x="1958"/>
        <item h="1" m="1" x="1487"/>
        <item h="1" m="1" x="3103"/>
        <item h="1" m="1" x="4128"/>
        <item h="1" m="1" x="4130"/>
        <item h="1" m="1" x="4131"/>
        <item h="1" m="1" x="4133"/>
        <item h="1" m="1" x="1804"/>
        <item h="1" m="1" x="3109"/>
        <item h="1" m="1" x="1803"/>
        <item h="1" m="1" x="3852"/>
        <item h="1" m="1" x="4138"/>
        <item h="1" m="1" x="4139"/>
        <item h="1" m="1" x="860"/>
        <item h="1" m="1" x="4140"/>
        <item h="1" m="1" x="4141"/>
        <item h="1" m="1" x="3532"/>
        <item h="1" m="1" x="4001"/>
        <item h="1" m="1" x="4146"/>
        <item h="1" m="1" x="4147"/>
        <item h="1" m="1" x="4150"/>
        <item h="1" m="1" x="2606"/>
        <item h="1" m="1" x="4152"/>
        <item h="1" m="1" x="2825"/>
        <item h="1" m="1" x="4156"/>
        <item h="1" m="1" x="4157"/>
        <item h="1" m="1" x="4158"/>
        <item h="1" m="1" x="4159"/>
        <item h="1" m="1" x="4160"/>
        <item h="1" m="1" x="4161"/>
        <item h="1" m="1" x="4162"/>
        <item h="1" m="1" x="4163"/>
        <item h="1" m="1" x="4164"/>
        <item h="1" m="1" x="4165"/>
        <item h="1" m="1" x="4166"/>
        <item h="1" m="1" x="4167"/>
        <item h="1" m="1" x="4169"/>
        <item h="1" m="1" x="4170"/>
        <item h="1" m="1" x="4171"/>
        <item h="1" m="1" x="4172"/>
        <item h="1" m="1" x="4015"/>
        <item h="1" m="1" x="4177"/>
        <item h="1" m="1" x="4178"/>
        <item h="1" m="1" x="4179"/>
        <item h="1" m="1" x="4181"/>
        <item h="1" m="1" x="4182"/>
        <item h="1" m="1" x="4191"/>
        <item h="1" m="1" x="4192"/>
        <item h="1" m="1" x="4194"/>
        <item h="1" m="1" x="4195"/>
        <item h="1" m="1" x="4196"/>
        <item h="1" m="1" x="4197"/>
        <item h="1" m="1" x="4198"/>
        <item h="1" m="1" x="4199"/>
        <item h="1" m="1" x="4201"/>
        <item h="1" m="1" x="4202"/>
        <item h="1" m="1" x="4203"/>
        <item h="1" m="1" x="4204"/>
        <item h="1" m="1" x="1973"/>
        <item h="1" m="1" x="4209"/>
        <item h="1" m="1" x="4210"/>
        <item h="1" m="1" x="4211"/>
        <item h="1" m="1" x="3325"/>
        <item h="1" m="1" x="4212"/>
        <item h="1" m="1" x="4214"/>
        <item h="1" m="1" x="4216"/>
        <item h="1" m="1" x="4217"/>
        <item h="1" m="1" x="4218"/>
        <item h="1" m="1" x="4219"/>
        <item h="1" m="1" x="4220"/>
        <item h="1" m="1" x="1018"/>
        <item h="1" m="1" x="4221"/>
        <item h="1" m="1" x="4222"/>
        <item h="1" m="1" x="4223"/>
        <item h="1" m="1" x="4224"/>
        <item h="1" m="1" x="4225"/>
        <item h="1" m="1" x="4227"/>
        <item h="1" m="1" x="4228"/>
        <item h="1" m="1" x="4229"/>
        <item h="1" m="1" x="4230"/>
        <item h="1" m="1" x="961"/>
        <item h="1" m="1" x="2072"/>
        <item h="1" x="59"/>
        <item h="1" m="1" x="3465"/>
        <item h="1" m="1" x="4233"/>
        <item h="1" m="1" x="4035"/>
        <item h="1" m="1" x="4037"/>
        <item h="1" m="1" x="4038"/>
        <item h="1" m="1" x="3875"/>
        <item h="1" m="1" x="3876"/>
        <item h="1" m="1" x="3877"/>
        <item h="1" m="1" x="3878"/>
        <item h="1" m="1" x="3895"/>
        <item h="1" m="1" x="3896"/>
        <item h="1" m="1" x="3897"/>
        <item h="1" m="1" x="3898"/>
        <item h="1" m="1" x="3899"/>
        <item h="1" m="1" x="449"/>
        <item h="1" m="1" x="2878"/>
        <item h="1" m="1" x="2879"/>
        <item h="1" m="1" x="2880"/>
        <item h="1" m="1" x="3158"/>
        <item h="1" m="1" x="3835"/>
        <item h="1" m="1" x="3902"/>
        <item h="1" m="1" x="3904"/>
        <item h="1" m="1" x="3905"/>
        <item h="1" m="1" x="3589"/>
        <item h="1" m="1" x="3909"/>
        <item h="1" m="1" x="3912"/>
        <item h="1" m="1" x="3914"/>
        <item h="1" m="1" x="3915"/>
        <item h="1" m="1" x="3916"/>
        <item h="1" m="1" x="3917"/>
        <item h="1" m="1" x="3918"/>
        <item h="1" m="1" x="3919"/>
        <item h="1" m="1" x="3920"/>
        <item h="1" m="1" x="3839"/>
        <item h="1" m="1" x="3921"/>
        <item h="1" m="1" x="3840"/>
        <item h="1" m="1" x="3923"/>
        <item h="1" m="1" x="3926"/>
        <item h="1" m="1" x="3843"/>
        <item h="1" m="1" x="3949"/>
        <item h="1" m="1" x="771"/>
        <item h="1" m="1" x="3953"/>
        <item h="1" m="1" x="1934"/>
        <item h="1" m="1" x="3954"/>
        <item h="1" m="1" x="1534"/>
        <item h="1" m="1" x="3649"/>
        <item h="1" m="1" x="3996"/>
        <item h="1" m="1" x="3997"/>
        <item h="1" m="1" x="3998"/>
        <item h="1" m="1" x="3848"/>
        <item h="1" m="1" x="3098"/>
        <item h="1" m="1" x="3853"/>
        <item h="1" m="1" x="3854"/>
        <item h="1" m="1" x="3528"/>
        <item h="1" m="1" x="3517"/>
        <item h="1" m="1" x="3413"/>
        <item h="1" m="1" x="3415"/>
        <item h="1" m="1" x="4003"/>
        <item h="1" m="1" x="448"/>
        <item h="1" m="1" x="4004"/>
        <item h="1" m="1" x="3692"/>
        <item h="1" m="1" x="4007"/>
        <item h="1" m="1" x="3825"/>
        <item h="1" m="1" x="3826"/>
        <item h="1" m="1" x="4022"/>
        <item h="1" m="1" x="4023"/>
        <item h="1" m="1" x="4024"/>
        <item h="1" m="1" x="4025"/>
        <item h="1" m="1" x="4026"/>
        <item h="1" m="1" x="4034"/>
        <item h="1" m="1" x="3831"/>
        <item h="1" m="1" x="3832"/>
        <item h="1" m="1" x="3833"/>
        <item h="1" m="1" x="3834"/>
        <item h="1" m="1" x="1932"/>
        <item h="1" m="1" x="1832"/>
        <item h="1" m="1" x="3836"/>
        <item h="1" m="1" x="1926"/>
        <item h="1" m="1" x="757"/>
        <item h="1" m="1" x="2687"/>
        <item h="1" m="1" x="3842"/>
        <item h="1" x="47"/>
        <item h="1" m="1" x="3804"/>
        <item h="1" m="1" x="2776"/>
        <item h="1" m="1" x="3845"/>
        <item h="1" m="1" x="3846"/>
        <item h="1" m="1" x="2885"/>
        <item h="1" m="1" x="3847"/>
        <item h="1" m="1" x="770"/>
        <item h="1" m="1" x="1940"/>
        <item h="1" m="1" x="1933"/>
        <item h="1" m="1" x="1938"/>
        <item h="1" m="1" x="1935"/>
        <item h="1" m="1" x="3849"/>
        <item h="1" m="1" x="2631"/>
        <item h="1" m="1" x="3523"/>
        <item h="1" m="1" x="3518"/>
        <item h="1" m="1" x="3856"/>
        <item h="1" m="1" x="3858"/>
        <item h="1" m="1" x="2952"/>
        <item h="1" m="1" x="3861"/>
        <item h="1" m="1" x="3791"/>
        <item h="1" m="1" x="3792"/>
        <item h="1" m="1" x="2688"/>
        <item h="1" m="1" x="3793"/>
        <item h="1" m="1" x="3794"/>
        <item h="1" m="1" x="3795"/>
        <item h="1" m="1" x="3796"/>
        <item h="1" m="1" x="3798"/>
        <item h="1" m="1" x="3799"/>
        <item h="1" m="1" x="3800"/>
        <item h="1" m="1" x="2864"/>
        <item h="1" m="1" x="1690"/>
        <item h="1" m="1" x="1691"/>
        <item h="1" m="1" x="3593"/>
        <item h="1" m="1" x="3488"/>
        <item h="1" m="1" x="1921"/>
        <item h="1" x="51"/>
        <item h="1" m="1" x="3801"/>
        <item h="1" m="1" x="3802"/>
        <item h="1" m="1" x="3803"/>
        <item h="1" m="1" x="3805"/>
        <item h="1" m="1" x="3806"/>
        <item h="1" x="214"/>
        <item h="1" m="1" x="3174"/>
        <item h="1" m="1" x="3808"/>
        <item h="1" m="1" x="3809"/>
        <item h="1" m="1" x="3811"/>
        <item h="1" m="1" x="1944"/>
        <item h="1" m="1" x="1889"/>
        <item h="1" m="1" x="3383"/>
        <item h="1" m="1" x="2908"/>
        <item h="1" m="1" x="3671"/>
        <item h="1" m="1" x="3106"/>
        <item h="1" m="1" x="986"/>
        <item h="1" m="1" x="3531"/>
        <item h="1" m="1" x="3815"/>
        <item h="1" m="1" x="3816"/>
        <item h="1" m="1" x="3817"/>
        <item h="1" m="1" x="3829"/>
        <item h="1" m="1" x="3830"/>
        <item h="1" m="1" x="3467"/>
        <item h="1" m="1" x="3469"/>
        <item h="1" m="1" x="3470"/>
        <item h="1" m="1" x="3471"/>
        <item h="1" m="1" x="3333"/>
        <item h="1" m="1" x="3574"/>
        <item h="1" m="1" x="3575"/>
        <item h="1" m="1" x="3576"/>
        <item h="1" m="1" x="3578"/>
        <item h="1" m="1" x="3579"/>
        <item h="1" m="1" x="3580"/>
        <item h="1" m="1" x="3581"/>
        <item h="1" m="1" x="3582"/>
        <item h="1" m="1" x="3584"/>
        <item h="1" m="1" x="3477"/>
        <item h="1" m="1" x="3585"/>
        <item h="1" m="1" x="3586"/>
        <item h="1" m="1" x="3587"/>
        <item h="1" m="1" x="3588"/>
        <item h="1" m="1" x="1684"/>
        <item h="1" m="1" x="3357"/>
        <item h="1" m="1" x="3358"/>
        <item h="1" m="1" x="3359"/>
        <item h="1" m="1" x="3351"/>
        <item h="1" m="1" x="3592"/>
        <item h="1" m="1" x="3594"/>
        <item h="1" m="1" x="3595"/>
        <item h="1" m="1" x="3356"/>
        <item h="1" m="1" x="3487"/>
        <item h="1" x="50"/>
        <item h="1" x="32"/>
        <item h="1" m="1" x="1813"/>
        <item h="1" m="1" x="3596"/>
        <item h="1" m="1" x="3597"/>
        <item h="1" m="1" x="3598"/>
        <item h="1" m="1" x="3366"/>
        <item h="1" m="1" x="3600"/>
        <item h="1" m="1" x="3601"/>
        <item h="1" m="1" x="1527"/>
        <item h="1" m="1" x="3602"/>
        <item h="1" m="1" x="3603"/>
        <item h="1" m="1" x="3604"/>
        <item h="1" m="1" x="3605"/>
        <item h="1" m="1" x="3606"/>
        <item h="1" m="1" x="673"/>
        <item h="1" m="1" x="3608"/>
        <item h="1" m="1" x="3609"/>
        <item h="1" m="1" x="3610"/>
        <item h="1" m="1" x="3612"/>
        <item h="1" m="1" x="1530"/>
        <item h="1" m="1" x="1531"/>
        <item h="1" m="1" x="3614"/>
        <item h="1" m="1" x="3615"/>
        <item h="1" m="1" x="3616"/>
        <item h="1" m="1" x="3617"/>
        <item h="1" m="1" x="3618"/>
        <item h="1" m="1" x="3619"/>
        <item h="1" m="1" x="3620"/>
        <item h="1" m="1" x="2188"/>
        <item h="1" m="1" x="3621"/>
        <item h="1" m="1" x="3069"/>
        <item h="1" m="1" x="3070"/>
        <item h="1" m="1" x="3623"/>
        <item h="1" m="1" x="3624"/>
        <item h="1" m="1" x="1715"/>
        <item h="1" m="1" x="3625"/>
        <item h="1" m="1" x="3627"/>
        <item h="1" m="1" x="3629"/>
        <item h="1" m="1" x="1099"/>
        <item h="1" m="1" x="3630"/>
        <item h="1" m="1" x="3631"/>
        <item h="1" m="1" x="3632"/>
        <item h="1" m="1" x="3634"/>
        <item h="1" m="1" x="2239"/>
        <item h="1" m="1" x="3635"/>
        <item h="1" m="1" x="3636"/>
        <item h="1" m="1" x="3637"/>
        <item h="1" m="1" x="3638"/>
        <item h="1" m="1" x="3639"/>
        <item h="1" m="1" x="3640"/>
        <item h="1" m="1" x="3643"/>
        <item h="1" m="1" x="3644"/>
        <item h="1" m="1" x="3645"/>
        <item h="1" m="1" x="3646"/>
        <item h="1" m="1" x="3211"/>
        <item h="1" m="1" x="3081"/>
        <item h="1" m="1" x="527"/>
        <item h="1" m="1" x="3502"/>
        <item h="1" m="1" x="773"/>
        <item h="1" m="1" x="3648"/>
        <item h="1" m="1" x="2407"/>
        <item h="1" m="1" x="2408"/>
        <item h="1" m="1" x="2409"/>
        <item h="1" m="1" x="2410"/>
        <item h="1" m="1" x="2411"/>
        <item h="1" m="1" x="2413"/>
        <item h="1" m="1" x="2419"/>
        <item h="1" m="1" x="2404"/>
        <item h="1" m="1" x="2427"/>
        <item h="1" m="1" x="2414"/>
        <item h="1" m="1" x="2420"/>
        <item h="1" m="1" x="2421"/>
        <item h="1" m="1" x="2422"/>
        <item h="1" m="1" x="2412"/>
        <item h="1" m="1" x="2406"/>
        <item h="1" m="1" x="1205"/>
        <item h="1" m="1" x="3652"/>
        <item h="1" m="1" x="3653"/>
        <item h="1" m="1" x="3654"/>
        <item h="1" m="1" x="2602"/>
        <item h="1" m="1" x="3382"/>
        <item h="1" m="1" x="3658"/>
        <item h="1" m="1" x="3659"/>
        <item h="1" m="1" x="3662"/>
        <item h="1" m="1" x="3663"/>
        <item h="1" m="1" x="3664"/>
        <item h="1" m="1" x="3665"/>
        <item h="1" m="1" x="3666"/>
        <item h="1" m="1" x="3667"/>
        <item h="1" m="1" x="3668"/>
        <item h="1" m="1" x="3669"/>
        <item h="1" m="1" x="3670"/>
        <item h="1" m="1" x="3099"/>
        <item h="1" m="1" x="3108"/>
        <item h="1" m="1" x="3107"/>
        <item h="1" m="1" x="3672"/>
        <item h="1" m="1" x="3674"/>
        <item h="1" x="127"/>
        <item h="1" m="1" x="3676"/>
        <item h="1" m="1" x="3677"/>
        <item h="1" m="1" x="3678"/>
        <item h="1" m="1" x="3679"/>
        <item h="1" m="1" x="3680"/>
        <item h="1" m="1" x="2558"/>
        <item h="1" m="1" x="3681"/>
        <item h="1" m="1" x="3682"/>
        <item h="1" m="1" x="3423"/>
        <item h="1" m="1" x="3527"/>
        <item h="1" m="1" x="3685"/>
        <item h="1" m="1" x="1739"/>
        <item h="1" m="1" x="3686"/>
        <item h="1" m="1" x="3687"/>
        <item h="1" m="1" x="3688"/>
        <item h="1" m="1" x="3689"/>
        <item h="1" m="1" x="3690"/>
        <item h="1" m="1" x="3691"/>
        <item h="1" m="1" x="3428"/>
        <item h="1" m="1" x="2593"/>
        <item h="1" m="1" x="2604"/>
        <item h="1" m="1" x="2609"/>
        <item h="1" m="1" x="2607"/>
        <item h="1" m="1" x="2608"/>
        <item h="1" m="1" x="2032"/>
        <item h="1" m="1" x="3693"/>
        <item h="1" m="1" x="3694"/>
        <item h="1" m="1" x="3695"/>
        <item h="1" m="1" x="1688"/>
        <item h="1" m="1" x="3696"/>
        <item h="1" m="1" x="3697"/>
        <item h="1" m="1" x="3698"/>
        <item h="1" m="1" x="3699"/>
        <item h="1" m="1" x="3700"/>
        <item h="1" m="1" x="3701"/>
        <item h="1" m="1" x="3702"/>
        <item h="1" m="1" x="3703"/>
        <item h="1" m="1" x="3704"/>
        <item h="1" m="1" x="3705"/>
        <item h="1" m="1" x="3706"/>
        <item h="1" m="1" x="3707"/>
        <item h="1" m="1" x="3708"/>
        <item h="1" m="1" x="3709"/>
        <item h="1" m="1" x="3710"/>
        <item h="1" m="1" x="3711"/>
        <item h="1" m="1" x="3712"/>
        <item h="1" m="1" x="3713"/>
        <item h="1" m="1" x="3714"/>
        <item h="1" m="1" x="3715"/>
        <item h="1" m="1" x="3716"/>
        <item h="1" m="1" x="2822"/>
        <item h="1" m="1" x="3717"/>
        <item h="1" m="1" x="3718"/>
        <item h="1" m="1" x="3719"/>
        <item h="1" m="1" x="3720"/>
        <item h="1" m="1" x="3721"/>
        <item h="1" m="1" x="3723"/>
        <item h="1" m="1" x="3127"/>
        <item h="1" m="1" x="3725"/>
        <item h="1" m="1" x="2793"/>
        <item h="1" m="1" x="3726"/>
        <item h="1" m="1" x="3727"/>
        <item h="1" m="1" x="3728"/>
        <item h="1" m="1" x="3729"/>
        <item h="1" m="1" x="1226"/>
        <item h="1" m="1" x="3731"/>
        <item h="1" m="1" x="3732"/>
        <item h="1" m="1" x="3432"/>
        <item h="1" m="1" x="3431"/>
        <item h="1" m="1" x="3552"/>
        <item h="1" m="1" x="3734"/>
        <item h="1" m="1" x="2007"/>
        <item h="1" m="1" x="3735"/>
        <item h="1" m="1" x="3737"/>
        <item h="1" m="1" x="3738"/>
        <item h="1" m="1" x="3101"/>
        <item h="1" m="1" x="3739"/>
        <item h="1" m="1" x="3740"/>
        <item h="1" m="1" x="3446"/>
        <item h="1" m="1" x="3741"/>
        <item h="1" m="1" x="3742"/>
        <item h="1" m="1" x="3743"/>
        <item h="1" m="1" x="3744"/>
        <item h="1" m="1" x="3745"/>
        <item h="1" m="1" x="3746"/>
        <item h="1" m="1" x="3747"/>
        <item h="1" m="1" x="3748"/>
        <item h="1" m="1" x="3749"/>
        <item h="1" m="1" x="3751"/>
        <item h="1" m="1" x="3752"/>
        <item h="1" m="1" x="3753"/>
        <item h="1" m="1" x="3754"/>
        <item h="1" m="1" x="3755"/>
        <item h="1" m="1" x="3756"/>
        <item h="1" m="1" x="3757"/>
        <item h="1" m="1" x="3758"/>
        <item h="1" m="1" x="3132"/>
        <item h="1" m="1" x="3759"/>
        <item h="1" m="1" x="1161"/>
        <item h="1" m="1" x="2645"/>
        <item h="1" m="1" x="2646"/>
        <item h="1" m="1" x="3762"/>
        <item h="1" m="1" x="3763"/>
        <item h="1" m="1" x="3448"/>
        <item h="1" m="1" x="3764"/>
        <item h="1" m="1" x="3765"/>
        <item h="1" m="1" x="3767"/>
        <item h="1" m="1" x="3768"/>
        <item h="1" m="1" x="3769"/>
        <item h="1" m="1" x="3770"/>
        <item h="1" m="1" x="3772"/>
        <item h="1" m="1" x="3773"/>
        <item h="1" m="1" x="3774"/>
        <item h="1" m="1" x="3775"/>
        <item h="1" m="1" x="3776"/>
        <item h="1" m="1" x="3778"/>
        <item h="1" m="1" x="3779"/>
        <item h="1" m="1" x="3780"/>
        <item h="1" m="1" x="1689"/>
        <item h="1" m="1" x="3781"/>
        <item h="1" m="1" x="3782"/>
        <item h="1" m="1" x="3784"/>
        <item h="1" m="1" x="3785"/>
        <item h="1" m="1" x="3786"/>
        <item h="1" m="1" x="3787"/>
        <item h="1" m="1" x="3468"/>
        <item h="1" m="1" x="3474"/>
        <item h="1" m="1" x="3475"/>
        <item h="1" m="1" x="3476"/>
        <item h="1" m="1" x="3478"/>
        <item h="1" m="1" x="2853"/>
        <item h="1" m="1" x="3479"/>
        <item h="1" m="1" x="3481"/>
        <item h="1" m="1" x="2039"/>
        <item h="1" m="1" x="3482"/>
        <item h="1" m="1" x="3483"/>
        <item h="1" m="1" x="3484"/>
        <item h="1" m="1" x="3485"/>
        <item h="1" m="1" x="3486"/>
        <item h="1" m="1" x="3360"/>
        <item h="1" m="1" x="3489"/>
        <item h="1" m="1" x="3490"/>
        <item h="1" m="1" x="3354"/>
        <item h="1" m="1" x="3491"/>
        <item h="1" m="1" x="601"/>
        <item h="1" m="1" x="3493"/>
        <item h="1" m="1" x="3361"/>
        <item h="1" m="1" x="3494"/>
        <item h="1" m="1" x="3495"/>
        <item h="1" m="1" x="935"/>
        <item h="1" m="1" x="1685"/>
        <item h="1" m="1" x="2144"/>
        <item h="1" m="1" x="3496"/>
        <item h="1" m="1" x="3497"/>
        <item h="1" m="1" x="3498"/>
        <item h="1" m="1" x="3124"/>
        <item h="1" m="1" x="3500"/>
        <item h="1" x="54"/>
        <item h="1" m="1" x="3503"/>
        <item h="1" m="1" x="3505"/>
        <item h="1" m="1" x="1898"/>
        <item h="1" m="1" x="1101"/>
        <item h="1" m="1" x="2246"/>
        <item h="1" m="1" x="3506"/>
        <item h="1" m="1" x="2418"/>
        <item h="1" m="1" x="2428"/>
        <item h="1" m="1" x="2245"/>
        <item h="1" m="1" x="2415"/>
        <item h="1" m="1" x="2426"/>
        <item h="1" m="1" x="2423"/>
        <item h="1" m="1" x="2425"/>
        <item h="1" m="1" x="2416"/>
        <item h="1" m="1" x="2417"/>
        <item h="1" m="1" x="2405"/>
        <item h="1" m="1" x="3507"/>
        <item h="1" m="1" x="2036"/>
        <item h="1" m="1" x="2037"/>
        <item h="1" m="1" x="2038"/>
        <item h="1" m="1" x="3508"/>
        <item h="1" m="1" x="3509"/>
        <item h="1" m="1" x="3510"/>
        <item h="1" m="1" x="3511"/>
        <item h="1" m="1" x="3116"/>
        <item h="1" m="1" x="3396"/>
        <item h="1" m="1" x="3512"/>
        <item h="1" m="1" x="2357"/>
        <item h="1" m="1" x="3513"/>
        <item h="1" m="1" x="3514"/>
        <item h="1" m="1" x="2387"/>
        <item h="1" m="1" x="2374"/>
        <item h="1" m="1" x="3417"/>
        <item h="1" m="1" x="3421"/>
        <item h="1" m="1" x="3529"/>
        <item h="1" m="1" x="3530"/>
        <item h="1" m="1" x="3538"/>
        <item h="1" m="1" x="3539"/>
        <item h="1" x="44"/>
        <item h="1" x="43"/>
        <item h="1" m="1" x="3540"/>
        <item h="1" m="1" x="3541"/>
        <item h="1" m="1" x="2905"/>
        <item h="1" m="1" x="2596"/>
        <item h="1" m="1" x="3542"/>
        <item h="1" m="1" x="3543"/>
        <item h="1" m="1" x="3544"/>
        <item h="1" m="1" x="3545"/>
        <item h="1" m="1" x="3546"/>
        <item h="1" m="1" x="3547"/>
        <item h="1" m="1" x="3548"/>
        <item h="1" m="1" x="3550"/>
        <item h="1" m="1" x="2795"/>
        <item h="1" m="1" x="3433"/>
        <item h="1" m="1" x="3435"/>
        <item h="1" m="1" x="3436"/>
        <item h="1" m="1" x="2005"/>
        <item h="1" m="1" x="3305"/>
        <item h="1" m="1" x="3304"/>
        <item h="1" m="1" x="2006"/>
        <item h="1" m="1" x="2859"/>
        <item h="1" m="1" x="2368"/>
        <item h="1" m="1" x="3157"/>
        <item h="1" m="1" x="3553"/>
        <item h="1" m="1" x="3554"/>
        <item h="1" m="1" x="3556"/>
        <item h="1" m="1" x="3557"/>
        <item h="1" m="1" x="3558"/>
        <item h="1" m="1" x="3560"/>
        <item h="1" m="1" x="3561"/>
        <item h="1" m="1" x="1160"/>
        <item h="1" m="1" x="3563"/>
        <item h="1" m="1" x="3564"/>
        <item h="1" m="1" x="3565"/>
        <item h="1" m="1" x="3566"/>
        <item h="1" m="1" x="3567"/>
        <item h="1" m="1" x="3447"/>
        <item h="1" m="1" x="2229"/>
        <item h="1" m="1" x="2393"/>
        <item h="1" m="1" x="2396"/>
        <item h="1" m="1" x="1887"/>
        <item h="1" m="1" x="2230"/>
        <item h="1" m="1" x="3568"/>
        <item h="1" m="1" x="3569"/>
        <item h="1" m="1" x="3570"/>
        <item h="1" m="1" x="3138"/>
        <item h="1" m="1" x="3454"/>
        <item h="1" m="1" x="3571"/>
        <item h="1" m="1" x="2782"/>
        <item h="1" m="1" x="3572"/>
        <item h="1" m="1" x="3573"/>
        <item h="1" m="1" x="3331"/>
        <item h="1" m="1" x="3148"/>
        <item h="1" m="1" x="3466"/>
        <item h="1" m="1" x="3334"/>
        <item h="1" m="1" x="3335"/>
        <item h="1" m="1" x="1979"/>
        <item h="1" m="1" x="3336"/>
        <item h="1" m="1" x="3337"/>
        <item h="1" m="1" x="3339"/>
        <item h="1" m="1" x="3341"/>
        <item h="1" m="1" x="3342"/>
        <item h="1" m="1" x="2772"/>
        <item h="1" m="1" x="3344"/>
        <item h="1" m="1" x="3345"/>
        <item h="1" m="1" x="3346"/>
        <item h="1" m="1" x="3347"/>
        <item h="1" m="1" x="3348"/>
        <item h="1" m="1" x="3349"/>
        <item h="1" m="1" x="3350"/>
        <item h="1" m="1" x="3355"/>
        <item h="1" x="48"/>
        <item h="1" m="1" x="3363"/>
        <item h="1" m="1" x="3054"/>
        <item h="1" m="1" x="3364"/>
        <item h="1" m="1" x="3365"/>
        <item h="1" m="1" x="1811"/>
        <item h="1" m="1" x="3367"/>
        <item h="1" m="1" x="3369"/>
        <item h="1" m="1" x="1706"/>
        <item h="1" m="1" x="2008"/>
        <item h="1" m="1" x="3203"/>
        <item h="1" m="1" x="3370"/>
        <item h="1" m="1" x="2933"/>
        <item h="1" m="1" x="3230"/>
        <item h="1" m="1" x="1624"/>
        <item h="1" m="1" x="3371"/>
        <item h="1" m="1" x="3372"/>
        <item h="1" m="1" x="3373"/>
        <item h="1" m="1" x="3374"/>
        <item h="1" m="1" x="3375"/>
        <item h="1" m="1" x="3376"/>
        <item h="1" m="1" x="3378"/>
        <item h="1" m="1" x="1810"/>
        <item h="1" m="1" x="3379"/>
        <item h="1" x="102"/>
        <item h="1" m="1" x="2247"/>
        <item h="1" m="1" x="2243"/>
        <item h="1" m="1" x="2244"/>
        <item h="1" m="1" x="2255"/>
        <item h="1" m="1" x="2249"/>
        <item h="1" m="1" x="2250"/>
        <item h="1" m="1" x="3381"/>
        <item h="1" m="1" x="3384"/>
        <item h="1" m="1" x="3386"/>
        <item h="1" m="1" x="3387"/>
        <item h="1" m="1" x="2570"/>
        <item h="1" m="1" x="3267"/>
        <item h="1" m="1" x="3388"/>
        <item h="1" m="1" x="3390"/>
        <item h="1" m="1" x="3391"/>
        <item h="1" m="1" x="3393"/>
        <item h="1" m="1" x="3394"/>
        <item h="1" m="1" x="3395"/>
        <item h="1" m="1" x="3120"/>
        <item h="1" m="1" x="3271"/>
        <item h="1" m="1" x="3398"/>
        <item h="1" m="1" x="3399"/>
        <item h="1" m="1" x="3400"/>
        <item h="1" m="1" x="3418"/>
        <item h="1" m="1" x="3420"/>
        <item h="1" m="1" x="716"/>
        <item h="1" m="1" x="3424"/>
        <item h="1" m="1" x="3281"/>
        <item h="1" m="1" x="3427"/>
        <item h="1" m="1" x="3282"/>
        <item h="1" m="1" x="3283"/>
        <item h="1" m="1" x="3429"/>
        <item h="1" m="1" x="3285"/>
        <item h="1" m="1" x="3297"/>
        <item h="1" m="1" x="3295"/>
        <item h="1" m="1" x="3296"/>
        <item h="1" m="1" x="3293"/>
        <item h="1" m="1" x="3294"/>
        <item h="1" m="1" x="3302"/>
        <item h="1" m="1" x="3303"/>
        <item h="1" m="1" x="3300"/>
        <item h="1" m="1" x="2794"/>
        <item h="1" m="1" x="3301"/>
        <item h="1" m="1" x="3442"/>
        <item h="1" m="1" x="3443"/>
        <item h="1" m="1" x="3444"/>
        <item h="1" m="1" x="3313"/>
        <item h="1" m="1" x="3314"/>
        <item h="1" m="1" x="3445"/>
        <item h="1" m="1" x="3315"/>
        <item h="1" m="1" x="3449"/>
        <item h="1" m="1" x="3450"/>
        <item h="1" m="1" x="3451"/>
        <item h="1" m="1" x="3324"/>
        <item h="1" m="1" x="3452"/>
        <item h="1" m="1" x="3453"/>
        <item h="1" m="1" x="3326"/>
        <item h="1" m="1" x="3455"/>
        <item h="1" m="1" x="3464"/>
        <item h="1" m="1" x="3329"/>
        <item h="1" m="1" x="3330"/>
        <item h="1" m="1" x="3175"/>
        <item h="1" m="1" x="3176"/>
        <item h="1" m="1" x="3177"/>
        <item h="1" m="1" x="3178"/>
        <item h="1" m="1" x="3179"/>
        <item h="1" m="1" x="3180"/>
        <item h="1" m="1" x="3181"/>
        <item h="1" m="1" x="3182"/>
        <item h="1" m="1" x="3043"/>
        <item h="1" m="1" x="3183"/>
        <item h="1" m="1" x="3184"/>
        <item h="1" m="1" x="3185"/>
        <item h="1" m="1" x="3186"/>
        <item h="1" m="1" x="3188"/>
        <item h="1" m="1" x="3189"/>
        <item h="1" m="1" x="3190"/>
        <item h="1" m="1" x="3191"/>
        <item h="1" m="1" x="779"/>
        <item h="1" m="1" x="3193"/>
        <item h="1" m="1" x="3194"/>
        <item h="1" m="1" x="3195"/>
        <item h="1" m="1" x="1815"/>
        <item h="1" m="1" x="3196"/>
        <item h="1" m="1" x="3167"/>
        <item h="1" m="1" x="3154"/>
        <item h="1" m="1" x="3197"/>
        <item h="1" m="1" x="3198"/>
        <item h="1" m="1" x="3199"/>
        <item h="1" m="1" x="3200"/>
        <item h="1" m="1" x="3201"/>
        <item h="1" m="1" x="1837"/>
        <item h="1" x="334"/>
        <item h="1" m="1" x="3204"/>
        <item h="1" m="1" x="1475"/>
        <item h="1" m="1" x="3205"/>
        <item h="1" m="1" x="1213"/>
        <item h="1" m="1" x="3207"/>
        <item h="1" m="1" x="3208"/>
        <item h="1" m="1" x="3075"/>
        <item h="1" m="1" x="3209"/>
        <item h="1" m="1" x="3210"/>
        <item h="1" m="1" x="3074"/>
        <item h="1" m="1" x="3212"/>
        <item h="1" m="1" x="3213"/>
        <item h="1" m="1" x="3214"/>
        <item h="1" m="1" x="3215"/>
        <item h="1" m="1" x="3216"/>
        <item h="1" m="1" x="3217"/>
        <item h="1" m="1" x="3220"/>
        <item h="1" m="1" x="3221"/>
        <item h="1" m="1" x="3086"/>
        <item h="1" m="1" x="3222"/>
        <item h="1" m="1" x="3223"/>
        <item h="1" m="1" x="3224"/>
        <item h="1" m="1" x="3225"/>
        <item h="1" m="1" x="3226"/>
        <item h="1" m="1" x="3227"/>
        <item h="1" m="1" x="3228"/>
        <item h="1" m="1" x="3229"/>
        <item h="1" m="1" x="3231"/>
        <item h="1" m="1" x="3080"/>
        <item h="1" m="1" x="3232"/>
        <item h="1" m="1" x="3233"/>
        <item h="1" m="1" x="3234"/>
        <item h="1" m="1" x="3235"/>
        <item h="1" m="1" x="3236"/>
        <item h="1" m="1" x="3237"/>
        <item h="1" m="1" x="3238"/>
        <item h="1" m="1" x="3239"/>
        <item h="1" m="1" x="3240"/>
        <item h="1" m="1" x="3241"/>
        <item h="1" m="1" x="3242"/>
        <item h="1" m="1" x="3243"/>
        <item h="1" m="1" x="3244"/>
        <item h="1" m="1" x="3245"/>
        <item h="1" m="1" x="3246"/>
        <item h="1" m="1" x="3247"/>
        <item h="1" m="1" x="3248"/>
        <item h="1" m="1" x="3249"/>
        <item h="1" m="1" x="3250"/>
        <item h="1" m="1" x="3251"/>
        <item h="1" m="1" x="3252"/>
        <item h="1" m="1" x="3253"/>
        <item h="1" m="1" x="3254"/>
        <item h="1" m="1" x="3039"/>
        <item h="1" x="37"/>
        <item h="1" m="1" x="3255"/>
        <item h="1" m="1" x="3257"/>
        <item h="1" x="34"/>
        <item h="1" m="1" x="833"/>
        <item h="1" m="1" x="2254"/>
        <item h="1" m="1" x="2251"/>
        <item h="1" m="1" x="2252"/>
        <item h="1" m="1" x="2035"/>
        <item h="1" m="1" x="3259"/>
        <item h="1" m="1" x="3261"/>
        <item h="1" m="1" x="3262"/>
        <item h="1" m="1" x="3263"/>
        <item h="1" m="1" x="3264"/>
        <item h="1" m="1" x="3265"/>
        <item h="1" m="1" x="3117"/>
        <item h="1" m="1" x="3118"/>
        <item h="1" m="1" x="3119"/>
        <item h="1" m="1" x="3269"/>
        <item h="1" m="1" x="2394"/>
        <item h="1" m="1" x="2389"/>
        <item h="1" m="1" x="2390"/>
        <item h="1" m="1" x="2395"/>
        <item h="1" m="1" x="2376"/>
        <item h="1" m="1" x="2377"/>
        <item h="1" m="1" x="3270"/>
        <item h="1" m="1" x="1969"/>
        <item h="1" m="1" x="3272"/>
        <item h="1" m="1" x="3273"/>
        <item h="1" m="1" x="3274"/>
        <item h="1" m="1" x="3275"/>
        <item h="1" m="1" x="3276"/>
        <item h="1" m="1" x="3277"/>
        <item h="1" m="1" x="3091"/>
        <item h="1" m="1" x="3278"/>
        <item h="1" m="1" x="3279"/>
        <item h="1" m="1" x="3280"/>
        <item h="1" m="1" x="2045"/>
        <item h="1" m="1" x="3286"/>
        <item h="1" m="1" x="3287"/>
        <item h="1" m="1" x="3288"/>
        <item h="1" m="1" x="3289"/>
        <item h="1" m="1" x="3290"/>
        <item h="1" m="1" x="3291"/>
        <item h="1" m="1" x="3292"/>
        <item h="1" m="1" x="3125"/>
        <item h="1" m="1" x="3126"/>
        <item h="1" m="1" x="3299"/>
        <item h="1" m="1" x="714"/>
        <item h="1" m="1" x="715"/>
        <item h="1" m="1" x="3308"/>
        <item h="1" x="142"/>
        <item h="1" m="1" x="923"/>
        <item h="1" m="1" x="3309"/>
        <item h="1" m="1" x="3310"/>
        <item h="1" m="1" x="3311"/>
        <item h="1" m="1" x="3312"/>
        <item h="1" m="1" x="3316"/>
        <item h="1" m="1" x="3317"/>
        <item h="1" m="1" x="3318"/>
        <item h="1" m="1" x="972"/>
        <item h="1" m="1" x="3319"/>
        <item h="1" m="1" x="3320"/>
        <item h="1" m="1" x="3321"/>
        <item h="1" m="1" x="3323"/>
        <item h="1" m="1" x="1536"/>
        <item h="1" m="1" x="3327"/>
        <item h="1" m="1" x="3002"/>
        <item h="1" m="1" x="2835"/>
        <item h="1" m="1" x="2914"/>
        <item h="1" m="1" x="2756"/>
        <item h="1" m="1" x="3057"/>
        <item h="1" m="1" x="2916"/>
        <item h="1" m="1" x="2758"/>
        <item h="1" m="1" x="1694"/>
        <item h="1" m="1" x="3058"/>
        <item h="1" m="1" x="3059"/>
        <item h="1" m="1" x="3060"/>
        <item h="1" m="1" x="3061"/>
        <item h="1" m="1" x="3065"/>
        <item h="1" m="1" x="3068"/>
        <item h="1" m="1" x="1699"/>
        <item h="1" x="26"/>
        <item h="1" x="27"/>
        <item h="1" m="1" x="3072"/>
        <item h="1" m="1" x="3076"/>
        <item h="1" m="1" x="3077"/>
        <item h="1" m="1" x="3079"/>
        <item h="1" m="1" x="3082"/>
        <item h="1" x="28"/>
        <item h="1" m="1" x="3084"/>
        <item h="1" m="1" x="3085"/>
        <item h="1" m="1" x="3087"/>
        <item h="1" m="1" x="3088"/>
        <item h="1" m="1" x="1528"/>
        <item h="1" m="1" x="2934"/>
        <item h="1" x="41"/>
        <item h="1" m="1" x="2936"/>
        <item h="1" m="1" x="3090"/>
        <item h="1" m="1" x="1571"/>
        <item h="1" m="1" x="3092"/>
        <item h="1" m="1" x="2938"/>
        <item h="1" m="1" x="3094"/>
        <item h="1" m="1" x="1543"/>
        <item h="1" m="1" x="1702"/>
        <item h="1" m="1" x="3102"/>
        <item h="1" m="1" x="1701"/>
        <item h="1" m="1" x="3104"/>
        <item h="1" m="1" x="3105"/>
        <item h="1" m="1" x="3121"/>
        <item h="1" m="1" x="1703"/>
        <item h="1" m="1" x="3122"/>
        <item h="1" m="1" x="3128"/>
        <item h="1" m="1" x="2800"/>
        <item h="1" m="1" x="2801"/>
        <item h="1" m="1" x="2980"/>
        <item h="1" m="1" x="2805"/>
        <item h="1" m="1" x="2984"/>
        <item h="1" m="1" x="3130"/>
        <item h="1" m="1" x="3131"/>
        <item h="1" m="1" x="3134"/>
        <item h="1" m="1" x="2991"/>
        <item h="1" m="1" x="2995"/>
        <item h="1" m="1" x="3143"/>
        <item h="1" m="1" x="3144"/>
        <item h="1" m="1" x="3145"/>
        <item h="1" m="1" x="3146"/>
        <item h="1" m="1" x="3147"/>
        <item h="1" m="1" x="2240"/>
        <item h="1" m="1" x="3153"/>
        <item h="1" x="33"/>
        <item h="1" m="1" x="2241"/>
        <item h="1" m="1" x="2242"/>
        <item h="1" m="1" x="2663"/>
        <item h="1" m="1" x="3155"/>
        <item h="1" m="1" x="2850"/>
        <item h="1" m="1" x="2677"/>
        <item h="1" m="1" x="1987"/>
        <item h="1" m="1" x="2848"/>
        <item h="1" m="1" x="1996"/>
        <item h="1" m="1" x="2676"/>
        <item h="1" m="1" x="1977"/>
        <item h="1" m="1" x="1978"/>
        <item h="1" m="1" x="2674"/>
        <item h="1" m="1" x="1986"/>
        <item h="1" m="1" x="3011"/>
        <item h="1" m="1" x="1980"/>
        <item h="1" m="1" x="1981"/>
        <item h="1" m="1" x="1976"/>
        <item h="1" m="1" x="1993"/>
        <item h="1" m="1" x="2849"/>
        <item h="1" m="1" x="1985"/>
        <item h="1" m="1" x="2680"/>
        <item h="1" m="1" x="1995"/>
        <item h="1" m="1" x="2851"/>
        <item h="1" m="1" x="1983"/>
        <item h="1" m="1" x="1984"/>
        <item h="1" m="1" x="3012"/>
        <item h="1" m="1" x="1975"/>
        <item h="1" m="1" x="1970"/>
        <item h="1" m="1" x="2682"/>
        <item h="1" m="1" x="3014"/>
        <item h="1" m="1" x="2852"/>
        <item h="1" m="1" x="2854"/>
        <item h="1" m="1" x="3013"/>
        <item h="1" m="1" x="3016"/>
        <item h="1" m="1" x="3015"/>
        <item h="1" m="1" x="1997"/>
        <item h="1" m="1" x="2684"/>
        <item h="1" m="1" x="3017"/>
        <item h="1" m="1" x="2685"/>
        <item h="1" m="1" x="1998"/>
        <item h="1" m="1" x="3018"/>
        <item h="1" m="1" x="1972"/>
        <item h="1" m="1" x="1974"/>
        <item h="1" m="1" x="2001"/>
        <item h="1" m="1" x="3156"/>
        <item h="1" m="1" x="2002"/>
        <item h="1" m="1" x="1999"/>
        <item h="1" m="1" x="2000"/>
        <item h="1" m="1" x="2665"/>
        <item h="1" m="1" x="2666"/>
        <item h="1" m="1" x="2842"/>
        <item h="1" m="1" x="2843"/>
        <item h="1" m="1" x="2667"/>
        <item h="1" m="1" x="2668"/>
        <item h="1" m="1" x="2669"/>
        <item h="1" m="1" x="2670"/>
        <item h="1" m="1" x="2838"/>
        <item h="1" m="1" x="2845"/>
        <item h="1" m="1" x="2846"/>
        <item h="1" m="1" x="2847"/>
        <item h="1" m="1" x="2839"/>
        <item h="1" m="1" x="2840"/>
        <item h="1" m="1" x="2841"/>
        <item h="1" m="1" x="1971"/>
        <item h="1" m="1" x="2073"/>
        <item h="1" m="1" x="2178"/>
        <item h="1" m="1" x="3019"/>
        <item h="1" m="1" x="1994"/>
        <item h="1" m="1" x="2683"/>
        <item h="1" m="1" x="2660"/>
        <item h="1" m="1" x="1988"/>
        <item h="1" m="1" x="3020"/>
        <item h="1" m="1" x="1990"/>
        <item h="1" m="1" x="3021"/>
        <item h="1" m="1" x="2659"/>
        <item h="1" m="1" x="2664"/>
        <item h="1" m="1" x="1992"/>
        <item h="1" m="1" x="2662"/>
        <item h="1" m="1" x="2706"/>
        <item h="1" m="1" x="2248"/>
        <item h="1" m="1" x="2012"/>
        <item h="1" m="1" x="3029"/>
        <item h="1" m="1" x="2720"/>
        <item h="1" m="1" x="3030"/>
        <item h="1" m="1" x="2011"/>
        <item h="1" m="1" x="3031"/>
        <item h="1" m="1" x="2025"/>
        <item h="1" m="1" x="2700"/>
        <item h="1" m="1" x="3032"/>
        <item h="1" m="1" x="3033"/>
        <item h="1" m="1" x="2715"/>
        <item h="1" m="1" x="2074"/>
        <item h="1" m="1" x="2713"/>
        <item h="1" m="1" x="2714"/>
        <item h="1" m="1" x="2712"/>
        <item h="1" m="1" x="2716"/>
        <item h="1" m="1" x="712"/>
        <item h="1" m="1" x="2717"/>
        <item h="1" m="1" x="2718"/>
        <item h="1" m="1" x="2024"/>
        <item h="1" m="1" x="2697"/>
        <item h="1" m="1" x="1789"/>
        <item h="1" m="1" x="2698"/>
        <item h="1" m="1" x="2699"/>
        <item h="1" m="1" x="3036"/>
        <item h="1" m="1" x="3034"/>
        <item h="1" m="1" x="3035"/>
        <item h="1" m="1" x="1790"/>
        <item h="1" m="1" x="2015"/>
        <item h="1" m="1" x="2018"/>
        <item h="1" m="1" x="2016"/>
        <item h="1" m="1" x="2701"/>
        <item h="1" m="1" x="2020"/>
        <item h="1" m="1" x="2702"/>
        <item h="1" m="1" x="2021"/>
        <item h="1" m="1" x="2022"/>
        <item h="1" m="1" x="2019"/>
        <item h="1" m="1" x="2023"/>
        <item h="1" m="1" x="2703"/>
        <item h="1" m="1" x="2013"/>
        <item h="1" m="1" x="3160"/>
        <item h="1" m="1" x="3161"/>
        <item h="1" m="1" x="3162"/>
        <item h="1" m="1" x="2723"/>
        <item h="1" m="1" x="2253"/>
        <item h="1" m="1" x="2028"/>
        <item h="1" m="1" x="2030"/>
        <item h="1" m="1" x="2031"/>
        <item h="1" m="1" x="2033"/>
        <item h="1" m="1" x="1533"/>
        <item h="1" m="1" x="3045"/>
        <item h="1" m="1" x="2034"/>
        <item h="1" m="1" x="3046"/>
        <item h="1" m="1" x="2739"/>
        <item h="1" m="1" x="2732"/>
        <item h="1" m="1" x="2731"/>
        <item h="1" m="1" x="2730"/>
        <item h="1" m="1" x="2733"/>
        <item h="1" m="1" x="2740"/>
        <item h="1" m="1" x="2735"/>
        <item h="1" m="1" x="2727"/>
        <item h="1" m="1" x="2729"/>
        <item h="1" m="1" x="2728"/>
        <item h="1" m="1" x="3049"/>
        <item h="1" m="1" x="2738"/>
        <item h="1" m="1" x="3047"/>
        <item h="1" m="1" x="3048"/>
        <item h="1" m="1" x="2747"/>
        <item h="1" m="1" x="2742"/>
        <item h="1" m="1" x="2743"/>
        <item h="1" m="1" x="2744"/>
        <item h="1" m="1" x="2745"/>
        <item h="1" m="1" x="2746"/>
        <item h="1" m="1" x="2749"/>
        <item h="1" m="1" x="2750"/>
        <item h="1" m="1" x="2752"/>
        <item h="1" m="1" x="2748"/>
        <item h="1" m="1" x="3050"/>
        <item h="1" m="1" x="2896"/>
        <item h="1" m="1" x="3168"/>
        <item h="1" m="1" x="3169"/>
        <item h="1" m="1" x="2042"/>
        <item h="1" m="1" x="2043"/>
        <item h="1" m="1" x="2044"/>
        <item h="1" m="1" x="3055"/>
        <item h="1" m="1" x="3056"/>
        <item h="1" m="1" x="3170"/>
        <item h="1" m="1" x="3171"/>
        <item h="1" m="1" x="3172"/>
        <item h="1" m="1" x="3173"/>
        <item h="1" m="1" x="2915"/>
        <item h="1" m="1" x="2917"/>
        <item h="1" m="1" x="1698"/>
        <item h="1" m="1" x="2766"/>
        <item h="1" m="1" x="2920"/>
        <item h="1" m="1" x="2921"/>
        <item h="1" m="1" x="2922"/>
        <item h="1" m="1" x="1097"/>
        <item h="1" m="1" x="2924"/>
        <item h="1" m="1" x="2928"/>
        <item h="1" m="1" x="2931"/>
        <item h="1" m="1" x="2937"/>
        <item h="1" x="209"/>
        <item h="1" m="1" x="2942"/>
        <item h="1" m="1" x="2943"/>
        <item h="1" m="1" x="2944"/>
        <item h="1" m="1" x="2945"/>
        <item h="1" m="1" x="2946"/>
        <item h="1" m="1" x="2947"/>
        <item h="1" m="1" x="2949"/>
        <item h="1" m="1" x="2951"/>
        <item h="1" m="1" x="2954"/>
        <item h="1" m="1" x="491"/>
        <item h="1" m="1" x="2955"/>
        <item h="1" m="1" x="2956"/>
        <item h="1" m="1" x="937"/>
        <item h="1" m="1" x="2958"/>
        <item h="1" m="1" x="2961"/>
        <item h="1" m="1" x="2962"/>
        <item h="1" m="1" x="2963"/>
        <item h="1" m="1" x="2964"/>
        <item h="1" m="1" x="2966"/>
        <item h="1" m="1" x="2783"/>
        <item h="1" m="1" x="2967"/>
        <item h="1" m="1" x="1550"/>
        <item h="1" m="1" x="2790"/>
        <item h="1" m="1" x="2969"/>
        <item h="1" m="1" x="2970"/>
        <item h="1" m="1" x="2971"/>
        <item h="1" m="1" x="2972"/>
        <item h="1" m="1" x="2973"/>
        <item h="1" m="1" x="2797"/>
        <item h="1" m="1" x="2974"/>
        <item h="1" m="1" x="2975"/>
        <item h="1" m="1" x="2799"/>
        <item h="1" m="1" x="2977"/>
        <item h="1" m="1" x="2979"/>
        <item h="1" m="1" x="2982"/>
        <item h="1" m="1" x="2983"/>
        <item h="1" m="1" x="1049"/>
        <item h="1" m="1" x="1050"/>
        <item h="1" m="1" x="2985"/>
        <item h="1" m="1" x="2807"/>
        <item h="1" m="1" x="2986"/>
        <item h="1" m="1" x="2987"/>
        <item h="1" m="1" x="2821"/>
        <item h="1" m="1" x="2988"/>
        <item h="1" m="1" x="2989"/>
        <item h="1" m="1" x="2990"/>
        <item h="1" m="1" x="2992"/>
        <item h="1" m="1" x="2993"/>
        <item h="1" m="1" x="2994"/>
        <item h="1" m="1" x="2996"/>
        <item h="1" m="1" x="2997"/>
        <item h="1" m="1" x="2998"/>
        <item h="1" m="1" x="2999"/>
        <item h="1" m="1" x="3000"/>
        <item h="1" m="1" x="3001"/>
        <item h="1" m="1" x="3003"/>
        <item h="1" m="1" x="3004"/>
        <item h="1" m="1" x="3005"/>
        <item h="1" m="1" x="3006"/>
        <item h="1" x="35"/>
        <item h="1" m="1" x="3008"/>
        <item h="1" m="1" x="3009"/>
        <item h="1" m="1" x="3010"/>
        <item h="1" m="1" x="2671"/>
        <item h="1" m="1" x="3022"/>
        <item h="1" m="1" x="2857"/>
        <item h="1" m="1" x="3023"/>
        <item h="1" m="1" x="3024"/>
        <item h="1" m="1" x="3025"/>
        <item h="1" m="1" x="3026"/>
        <item h="1" m="1" x="3027"/>
        <item h="1" m="1" x="2865"/>
        <item h="1" m="1" x="3028"/>
        <item h="1" m="1" x="1186"/>
        <item h="1" m="1" x="2710"/>
        <item h="1" m="1" x="3037"/>
        <item h="1" m="1" x="3038"/>
        <item h="1" m="1" x="3040"/>
        <item h="1" m="1" x="2078"/>
        <item h="1" m="1" x="2876"/>
        <item h="1" m="1" x="3042"/>
        <item h="1" m="1" x="727"/>
        <item h="1" x="45"/>
        <item h="1" m="1" x="1187"/>
        <item h="1" m="1" x="2276"/>
        <item h="1" m="1" x="2628"/>
        <item h="1" m="1" x="2764"/>
        <item h="1" m="1" x="2445"/>
        <item h="1" m="1" x="2768"/>
        <item h="1" m="1" x="2770"/>
        <item h="1" m="1" x="2771"/>
        <item h="1" m="1" x="772"/>
        <item h="1" m="1" x="2774"/>
        <item h="1" m="1" x="2779"/>
        <item h="1" m="1" x="2085"/>
        <item h="1" m="1" x="1835"/>
        <item h="1" m="1" x="1834"/>
        <item h="1" m="1" x="2058"/>
        <item h="1" m="1" x="703"/>
        <item h="1" m="1" x="1704"/>
        <item h="1" m="1" x="1548"/>
        <item h="1" m="1" x="2784"/>
        <item h="1" m="1" x="2787"/>
        <item h="1" m="1" x="2788"/>
        <item h="1" m="1" x="2057"/>
        <item h="1" m="1" x="1159"/>
        <item h="1" m="1" x="2791"/>
        <item h="1" m="1" x="2796"/>
        <item h="1" m="1" x="2798"/>
        <item h="1" m="1" x="2802"/>
        <item h="1" m="1" x="2803"/>
        <item h="1" m="1" x="2804"/>
        <item h="1" m="1" x="2806"/>
        <item h="1" m="1" x="2808"/>
        <item h="1" m="1" x="2809"/>
        <item h="1" m="1" x="2810"/>
        <item h="1" m="1" x="627"/>
        <item h="1" m="1" x="2811"/>
        <item h="1" m="1" x="2812"/>
        <item h="1" m="1" x="2813"/>
        <item h="1" m="1" x="2814"/>
        <item h="1" m="1" x="2815"/>
        <item h="1" m="1" x="2816"/>
        <item h="1" m="1" x="2817"/>
        <item h="1" m="1" x="2818"/>
        <item h="1" m="1" x="2819"/>
        <item h="1" m="1" x="2820"/>
        <item h="1" m="1" x="2823"/>
        <item h="1" m="1" x="2824"/>
        <item h="1" m="1" x="2826"/>
        <item h="1" m="1" x="2827"/>
        <item h="1" m="1" x="1836"/>
        <item h="1" m="1" x="2828"/>
        <item h="1" m="1" x="2829"/>
        <item h="1" m="1" x="2830"/>
        <item h="1" m="1" x="2831"/>
        <item h="1" m="1" x="2832"/>
        <item h="1" m="1" x="2833"/>
        <item h="1" x="64"/>
        <item h="1" m="1" x="2429"/>
        <item h="1" m="1" x="2837"/>
        <item h="1" m="1" x="2658"/>
        <item h="1" m="1" x="2855"/>
        <item h="1" m="1" x="2856"/>
        <item h="1" m="1" x="2860"/>
        <item h="1" m="1" x="2863"/>
        <item h="1" m="1" x="2267"/>
        <item h="1" m="1" x="2430"/>
        <item h="1" m="1" x="2271"/>
        <item h="1" m="1" x="2603"/>
        <item h="1" m="1" x="2867"/>
        <item h="1" m="1" x="2868"/>
        <item h="1" m="1" x="2869"/>
        <item h="1" m="1" x="2690"/>
        <item h="1" m="1" x="2691"/>
        <item h="1" m="1" x="2870"/>
        <item h="1" m="1" x="2692"/>
        <item h="1" m="1" x="2871"/>
        <item h="1" m="1" x="2872"/>
        <item h="1" m="1" x="2711"/>
        <item h="1" m="1" x="2721"/>
        <item h="1" m="1" x="2708"/>
        <item h="1" m="1" x="2873"/>
        <item h="1" m="1" x="2874"/>
        <item h="1" m="1" x="2273"/>
        <item h="1" m="1" x="2882"/>
        <item h="1" m="1" x="2274"/>
        <item h="1" x="42"/>
        <item h="1" m="1" x="2086"/>
        <item h="1" m="1" x="2726"/>
        <item h="1" m="1" x="2734"/>
        <item h="1" x="80"/>
        <item h="1" m="1" x="2433"/>
        <item h="1" m="1" x="2089"/>
        <item h="1" m="1" x="2091"/>
        <item h="1" m="1" x="2904"/>
        <item h="1" m="1" x="2617"/>
        <item h="1" m="1" x="1838"/>
        <item h="1" m="1" x="1693"/>
        <item h="1" m="1" x="2515"/>
        <item h="1" m="1" x="2618"/>
        <item h="1" m="1" x="2619"/>
        <item h="1" m="1" x="2524"/>
        <item h="1" m="1" x="2620"/>
        <item h="1" m="1" x="2621"/>
        <item h="1" m="1" x="2624"/>
        <item h="1" m="1" x="2625"/>
        <item h="1" m="1" x="2626"/>
        <item h="1" m="1" x="2627"/>
        <item h="1" m="1" x="2629"/>
        <item h="1" m="1" x="718"/>
        <item h="1" m="1" x="719"/>
        <item h="1" m="1" x="2535"/>
        <item h="1" m="1" x="2538"/>
        <item h="1" m="1" x="2630"/>
        <item h="1" m="1" x="2544"/>
        <item h="1" m="1" x="2545"/>
        <item h="1" m="1" x="2546"/>
        <item h="1" m="1" x="2543"/>
        <item h="1" m="1" x="2632"/>
        <item h="1" m="1" x="2551"/>
        <item h="1" m="1" x="2056"/>
        <item h="1" m="1" x="2634"/>
        <item h="1" m="1" x="2635"/>
        <item h="1" m="1" x="2636"/>
        <item h="1" m="1" x="2638"/>
        <item h="1" m="1" x="2639"/>
        <item h="1" m="1" x="2564"/>
        <item h="1" m="1" x="2571"/>
        <item h="1" m="1" x="2572"/>
        <item h="1" m="1" x="2579"/>
        <item h="1" m="1" x="2573"/>
        <item h="1" m="1" x="2574"/>
        <item h="1" m="1" x="2575"/>
        <item h="1" m="1" x="2576"/>
        <item h="1" m="1" x="2566"/>
        <item h="1" m="1" x="2567"/>
        <item h="1" m="1" x="2578"/>
        <item h="1" m="1" x="2642"/>
        <item h="1" m="1" x="1753"/>
        <item h="1" m="1" x="2644"/>
        <item h="1" m="1" x="2647"/>
        <item h="1" m="1" x="2648"/>
        <item h="1" m="1" x="2649"/>
        <item h="1" m="1" x="2650"/>
        <item h="1" m="1" x="2651"/>
        <item h="1" m="1" x="2652"/>
        <item h="1" m="1" x="2653"/>
        <item h="1" m="1" x="2654"/>
        <item h="1" x="442"/>
        <item h="1" m="1" x="2655"/>
        <item h="1" m="1" x="725"/>
        <item h="1" m="1" x="2656"/>
        <item h="1" m="1" x="2657"/>
        <item h="1" m="1" x="2257"/>
        <item h="1" m="1" x="2672"/>
        <item h="1" m="1" x="2675"/>
        <item h="1" m="1" x="2678"/>
        <item h="1" m="1" x="2679"/>
        <item h="1" m="1" x="2689"/>
        <item h="1" m="1" x="2693"/>
        <item h="1" m="1" x="2694"/>
        <item h="1" m="1" x="2695"/>
        <item h="1" m="1" x="2696"/>
        <item h="1" m="1" x="2268"/>
        <item h="1" m="1" x="2269"/>
        <item h="1" m="1" x="2270"/>
        <item h="1" m="1" x="1193"/>
        <item h="1" m="1" x="777"/>
        <item h="1" m="1" x="2704"/>
        <item h="1" m="1" x="2705"/>
        <item h="1" m="1" x="2709"/>
        <item h="1" m="1" x="2263"/>
        <item h="1" m="1" x="2265"/>
        <item h="1" m="1" x="2722"/>
        <item h="1" m="1" x="2724"/>
        <item h="1" m="1" x="2424"/>
        <item h="1" m="1" x="2431"/>
        <item h="1" m="1" x="2611"/>
        <item h="1" m="1" x="2082"/>
        <item h="1" m="1" x="2083"/>
        <item h="1" m="1" x="1814"/>
        <item h="1" m="1" x="2736"/>
        <item h="1" m="1" x="2737"/>
        <item h="1" m="1" x="2087"/>
        <item h="1" m="1" x="2615"/>
        <item h="1" m="1" x="2278"/>
        <item h="1" m="1" x="2096"/>
        <item h="1" m="1" x="2754"/>
        <item h="1" m="1" x="2514"/>
        <item h="1" m="1" x="2516"/>
        <item h="1" m="1" x="2518"/>
        <item h="1" m="1" x="2519"/>
        <item h="1" m="1" x="2520"/>
        <item h="1" m="1" x="2522"/>
        <item h="1" m="1" x="2525"/>
        <item h="1" m="1" x="2526"/>
        <item h="1" m="1" x="2527"/>
        <item h="1" m="1" x="2528"/>
        <item h="1" m="1" x="930"/>
        <item h="1" m="1" x="2529"/>
        <item h="1" m="1" x="2530"/>
        <item h="1" m="1" x="2532"/>
        <item h="1" m="1" x="2534"/>
        <item h="1" m="1" x="2536"/>
        <item h="1" x="136"/>
        <item h="1" m="1" x="2537"/>
        <item h="1" m="1" x="2457"/>
        <item h="1" m="1" x="1540"/>
        <item h="1" m="1" x="2539"/>
        <item h="1" m="1" x="2540"/>
        <item h="1" m="1" x="2541"/>
        <item h="1" m="1" x="1546"/>
        <item h="1" m="1" x="1547"/>
        <item h="1" m="1" x="1545"/>
        <item h="1" m="1" x="2542"/>
        <item h="1" m="1" x="904"/>
        <item h="1" m="1" x="2552"/>
        <item h="1" m="1" x="2554"/>
        <item h="1" m="1" x="1551"/>
        <item h="1" m="1" x="1552"/>
        <item h="1" m="1" x="991"/>
        <item h="1" m="1" x="2555"/>
        <item h="1" m="1" x="2556"/>
        <item h="1" m="1" x="2557"/>
        <item h="1" m="1" x="2559"/>
        <item h="1" m="1" x="2560"/>
        <item h="1" m="1" x="2080"/>
        <item h="1" m="1" x="2095"/>
        <item h="1" m="1" x="1855"/>
        <item h="1" m="1" x="2562"/>
        <item h="1" m="1" x="2563"/>
        <item h="1" m="1" x="2069"/>
        <item h="1" m="1" x="1635"/>
        <item h="1" m="1" x="2568"/>
        <item h="1" m="1" x="2065"/>
        <item h="1" m="1" x="2577"/>
        <item h="1" m="1" x="2580"/>
        <item h="1" m="1" x="2581"/>
        <item h="1" m="1" x="2582"/>
        <item h="1" m="1" x="2583"/>
        <item h="1" m="1" x="2584"/>
        <item h="1" m="1" x="2585"/>
        <item h="1" m="1" x="2586"/>
        <item h="1" m="1" x="2587"/>
        <item h="1" m="1" x="2588"/>
        <item h="1" m="1" x="2590"/>
        <item h="1" m="1" x="2591"/>
        <item h="1" m="1" x="2592"/>
        <item h="1" m="1" x="1861"/>
        <item h="1" m="1" x="2070"/>
        <item h="1" m="1" x="1862"/>
        <item h="1" m="1" x="2256"/>
        <item h="1" m="1" x="2470"/>
        <item h="1" m="1" x="2259"/>
        <item h="1" m="1" x="2258"/>
        <item h="1" x="371"/>
        <item h="1" m="1" x="2597"/>
        <item h="1" m="1" x="1812"/>
        <item h="1" m="1" x="2598"/>
        <item h="1" m="1" x="2599"/>
        <item h="1" m="1" x="1867"/>
        <item h="1" m="1" x="2076"/>
        <item h="1" m="1" x="2264"/>
        <item h="1" m="1" x="2601"/>
        <item h="1" m="1" x="2322"/>
        <item h="1" m="1" x="2079"/>
        <item h="1" m="1" x="2272"/>
        <item h="1" m="1" x="2612"/>
        <item h="1" m="1" x="2081"/>
        <item h="1" m="1" x="994"/>
        <item h="1" m="1" x="2277"/>
        <item h="1" m="1" x="2511"/>
        <item h="1" m="1" x="2327"/>
        <item h="1" m="1" x="2614"/>
        <item h="1" m="1" x="1554"/>
        <item h="1" x="86"/>
        <item h="1" m="1" x="2092"/>
        <item h="1" m="1" x="2093"/>
        <item h="1" m="1" x="996"/>
        <item h="1" m="1" x="2098"/>
        <item h="1" m="1" x="2383"/>
        <item h="1" m="1" x="2434"/>
        <item h="1" m="1" x="2435"/>
        <item h="1" m="1" x="2046"/>
        <item h="1" m="1" x="2437"/>
        <item h="1" m="1" x="2439"/>
        <item h="1" m="1" x="2442"/>
        <item h="1" m="1" x="2444"/>
        <item h="1" m="1" x="2454"/>
        <item h="1" m="1" x="1844"/>
        <item h="1" m="1" x="2053"/>
        <item h="1" m="1" x="1751"/>
        <item h="1" x="55"/>
        <item h="1" m="1" x="2456"/>
        <item h="1" m="1" x="1537"/>
        <item h="1" m="1" x="1538"/>
        <item h="1" m="1" x="1539"/>
        <item h="1" m="1" x="1541"/>
        <item h="1" m="1" x="1542"/>
        <item h="1" m="1" x="2459"/>
        <item h="1" m="1" x="2460"/>
        <item h="1" m="1" x="1549"/>
        <item h="1" m="1" x="988"/>
        <item h="1" m="1" x="2461"/>
        <item h="1" m="1" x="2462"/>
        <item h="1" m="1" x="2060"/>
        <item h="1" m="1" x="2059"/>
        <item h="1" m="1" x="2066"/>
        <item h="1" m="1" x="2463"/>
        <item h="1" m="1" x="2464"/>
        <item h="1" m="1" x="2465"/>
        <item h="1" m="1" x="2466"/>
        <item h="1" m="1" x="2467"/>
        <item h="1" m="1" x="2468"/>
        <item h="1" m="1" x="2469"/>
        <item h="1" m="1" x="1860"/>
        <item h="1" m="1" x="723"/>
        <item h="1" m="1" x="724"/>
        <item h="1" m="1" x="992"/>
        <item h="1" m="1" x="2071"/>
        <item h="1" m="1" x="2313"/>
        <item h="1" m="1" x="2315"/>
        <item h="1" m="1" x="2260"/>
        <item h="1" m="1" x="2262"/>
        <item h="1" m="1" x="2261"/>
        <item h="1" x="301"/>
        <item h="1" x="72"/>
        <item h="1" m="1" x="2266"/>
        <item h="1" m="1" x="2075"/>
        <item h="1" m="1" x="2324"/>
        <item h="1" m="1" x="1194"/>
        <item h="1" m="1" x="2471"/>
        <item h="1" m="1" x="2325"/>
        <item h="1" m="1" x="2472"/>
        <item h="1" m="1" x="2326"/>
        <item h="1" m="1" x="2275"/>
        <item h="1" m="1" x="2088"/>
        <item h="1" x="94"/>
        <item h="1" m="1" x="2473"/>
        <item h="1" m="1" x="1535"/>
        <item h="1" m="1" x="1188"/>
        <item h="1" m="1" x="2474"/>
        <item h="1" m="1" x="2280"/>
        <item h="1" m="1" x="2291"/>
        <item h="1" m="1" x="2475"/>
        <item h="1" m="1" x="2476"/>
        <item h="1" m="1" x="2477"/>
        <item h="1" m="1" x="2478"/>
        <item h="1" m="1" x="2048"/>
        <item h="1" m="1" x="2049"/>
        <item h="1" m="1" x="2050"/>
        <item h="1" m="1" x="2051"/>
        <item h="1" m="1" x="2052"/>
        <item h="1" m="1" x="2054"/>
        <item h="1" m="1" x="2141"/>
        <item h="1" m="1" x="2300"/>
        <item h="1" m="1" x="2479"/>
        <item h="1" m="1" x="2063"/>
        <item h="1" m="1" x="2480"/>
        <item h="1" m="1" x="2068"/>
        <item h="1" m="1" x="2482"/>
        <item h="1" m="1" x="2483"/>
        <item h="1" m="1" x="2484"/>
        <item h="1" m="1" x="2485"/>
        <item h="1" m="1" x="2486"/>
        <item h="1" m="1" x="2487"/>
        <item h="1" m="1" x="2488"/>
        <item h="1" m="1" x="990"/>
        <item h="1" m="1" x="726"/>
        <item h="1" m="1" x="2490"/>
        <item h="1" m="1" x="2491"/>
        <item h="1" m="1" x="2492"/>
        <item h="1" m="1" x="1012"/>
        <item h="1" m="1" x="2493"/>
        <item h="1" m="1" x="2494"/>
        <item h="1" m="1" x="2495"/>
        <item h="1" m="1" x="2496"/>
        <item h="1" m="1" x="2497"/>
        <item h="1" m="1" x="2498"/>
        <item h="1" m="1" x="2499"/>
        <item h="1" m="1" x="2500"/>
        <item h="1" m="1" x="2501"/>
        <item h="1" m="1" x="2502"/>
        <item h="1" m="1" x="2504"/>
        <item h="1" m="1" x="2077"/>
        <item h="1" m="1" x="576"/>
        <item h="1" m="1" x="2323"/>
        <item h="1" m="1" x="2505"/>
        <item h="1" m="1" x="2506"/>
        <item h="1" m="1" x="2507"/>
        <item h="1" m="1" x="2508"/>
        <item h="1" m="1" x="1873"/>
        <item h="1" x="439"/>
        <item h="1" m="1" x="2509"/>
        <item h="1" m="1" x="2512"/>
        <item h="1" m="1" x="1196"/>
        <item h="1" m="1" x="1966"/>
        <item h="1" m="1" x="2099"/>
        <item h="1" m="1" x="2285"/>
        <item h="1" m="1" x="2286"/>
        <item h="1" m="1" x="2104"/>
        <item h="1" m="1" x="2288"/>
        <item h="1" m="1" x="2103"/>
        <item h="1" m="1" x="2289"/>
        <item h="1" m="1" x="2290"/>
        <item h="1" m="1" x="2116"/>
        <item h="1" m="1" x="2146"/>
        <item h="1" m="1" x="2292"/>
        <item h="1" m="1" x="2121"/>
        <item h="1" m="1" x="2122"/>
        <item h="1" m="1" x="2293"/>
        <item h="1" m="1" x="2123"/>
        <item h="1" m="1" x="2124"/>
        <item h="1" m="1" x="2125"/>
        <item h="1" m="1" x="2294"/>
        <item h="1" m="1" x="1849"/>
        <item h="1" m="1" x="2142"/>
        <item h="1" m="1" x="2143"/>
        <item h="1" m="1" x="2140"/>
        <item h="1" m="1" x="2148"/>
        <item h="1" m="1" x="2295"/>
        <item h="1" m="1" x="2296"/>
        <item h="1" m="1" x="2149"/>
        <item h="1" m="1" x="2150"/>
        <item h="1" m="1" x="2151"/>
        <item h="1" m="1" x="2120"/>
        <item h="1" m="1" x="2298"/>
        <item h="1" m="1" x="2299"/>
        <item h="1" m="1" x="2155"/>
        <item h="1" m="1" x="942"/>
        <item h="1" m="1" x="2156"/>
        <item h="1" m="1" x="2301"/>
        <item h="1" m="1" x="2302"/>
        <item h="1" m="1" x="2159"/>
        <item h="1" m="1" x="2303"/>
        <item h="1" m="1" x="2304"/>
        <item h="1" m="1" x="2305"/>
        <item h="1" m="1" x="2306"/>
        <item h="1" m="1" x="2307"/>
        <item h="1" m="1" x="2308"/>
        <item h="1" m="1" x="2309"/>
        <item h="1" m="1" x="2310"/>
        <item h="1" x="410"/>
        <item h="1" m="1" x="721"/>
        <item h="1" m="1" x="2312"/>
        <item h="1" m="1" x="2172"/>
        <item h="1" m="1" x="2314"/>
        <item h="1" m="1" x="2316"/>
        <item h="1" m="1" x="2317"/>
        <item h="1" m="1" x="2318"/>
        <item h="1" m="1" x="2319"/>
        <item h="1" m="1" x="2320"/>
        <item h="1" m="1" x="2321"/>
        <item h="1" m="1" x="2186"/>
        <item h="1" m="1" x="2328"/>
        <item h="1" m="1" x="2195"/>
        <item h="1" m="1" x="2100"/>
        <item h="1" m="1" x="2329"/>
        <item h="1" x="353"/>
        <item h="1" m="1" x="1567"/>
        <item h="1" m="1" x="2139"/>
        <item h="1" m="1" x="2332"/>
        <item h="1" m="1" x="2333"/>
        <item h="1" m="1" x="1553"/>
        <item h="1" m="1" x="2334"/>
        <item h="1" m="1" x="2335"/>
        <item h="1" m="1" x="2336"/>
        <item h="1" m="1" x="1482"/>
        <item h="1" m="1" x="2173"/>
        <item h="1" m="1" x="2337"/>
        <item h="1" m="1" x="2338"/>
        <item h="1" m="1" x="2339"/>
        <item h="1" m="1" x="2340"/>
        <item h="1" m="1" x="2341"/>
        <item h="1" m="1" x="2342"/>
        <item h="1" m="1" x="2343"/>
        <item h="1" m="1" x="2184"/>
        <item h="1" m="1" x="2185"/>
        <item h="1" m="1" x="2344"/>
        <item h="1" m="1" x="1485"/>
        <item h="1" m="1" x="2345"/>
        <item h="1" m="1" x="2346"/>
        <item h="1" m="1" x="2347"/>
        <item h="1" m="1" x="2348"/>
        <item h="1" m="1" x="2349"/>
        <item h="1" m="1" x="2350"/>
        <item h="1" m="1" x="2351"/>
        <item h="1" m="1" x="2352"/>
        <item h="1" m="1" x="2194"/>
        <item h="1" m="1" x="2197"/>
        <item h="1" m="1" x="1897"/>
        <item h="1" m="1" x="1900"/>
        <item h="1" m="1" x="1902"/>
        <item h="1" m="1" x="1942"/>
        <item h="1" m="1" x="1943"/>
        <item h="1" m="1" x="1697"/>
        <item h="1" m="1" x="2003"/>
        <item h="1" m="1" x="2004"/>
        <item h="1" m="1" x="2101"/>
        <item h="1" m="1" x="2102"/>
        <item h="1" m="1" x="2106"/>
        <item h="1" m="1" x="2107"/>
        <item h="1" m="1" x="2117"/>
        <item h="1" m="1" x="2118"/>
        <item h="1" m="1" x="2119"/>
        <item h="1" m="1" x="1587"/>
        <item h="1" m="1" x="2126"/>
        <item h="1" m="1" x="2127"/>
        <item h="1" m="1" x="2128"/>
        <item h="1" m="1" x="2129"/>
        <item h="1" m="1" x="2130"/>
        <item h="1" m="1" x="2131"/>
        <item h="1" m="1" x="2133"/>
        <item h="1" m="1" x="1052"/>
        <item h="1" m="1" x="2136"/>
        <item h="1" m="1" x="2137"/>
        <item h="1" m="1" x="2138"/>
        <item h="1" m="1" x="1633"/>
        <item h="1" m="1" x="2145"/>
        <item h="1" m="1" x="2147"/>
        <item h="1" m="1" x="1816"/>
        <item h="1" m="1" x="2153"/>
        <item h="1" m="1" x="2158"/>
        <item h="1" m="1" x="2161"/>
        <item h="1" m="1" x="2162"/>
        <item h="1" m="1" x="1110"/>
        <item h="1" m="1" x="2163"/>
        <item h="1" m="1" x="2164"/>
        <item h="1" m="1" x="2166"/>
        <item h="1" m="1" x="2167"/>
        <item h="1" m="1" x="2168"/>
        <item h="1" m="1" x="2169"/>
        <item h="1" m="1" x="2171"/>
        <item h="1" m="1" x="2174"/>
        <item h="1" m="1" x="2175"/>
        <item h="1" m="1" x="2176"/>
        <item h="1" m="1" x="2177"/>
        <item h="1" m="1" x="2179"/>
        <item h="1" m="1" x="2180"/>
        <item h="1" m="1" x="2181"/>
        <item h="1" m="1" x="2182"/>
        <item h="1" m="1" x="1605"/>
        <item h="1" m="1" x="2183"/>
        <item h="1" m="1" x="1486"/>
        <item h="1" x="73"/>
        <item h="1" m="1" x="2187"/>
        <item h="1" m="1" x="2189"/>
        <item h="1" x="269"/>
        <item h="1" m="1" x="2190"/>
        <item h="1" m="1" x="2191"/>
        <item h="1" m="1" x="2192"/>
        <item h="1" m="1" x="2193"/>
        <item h="1" m="1" x="995"/>
        <item h="1" m="1" x="2196"/>
        <item h="1" m="1" x="1047"/>
        <item h="1" m="1" x="2198"/>
        <item h="1" m="1" x="2199"/>
        <item h="1" m="1" x="987"/>
        <item h="1" m="1" x="2200"/>
        <item h="1" m="1" x="2201"/>
        <item h="1" m="1" x="2202"/>
        <item h="1" m="1" x="2203"/>
        <item h="1" m="1" x="2204"/>
        <item h="1" m="1" x="2206"/>
        <item h="1" m="1" x="2207"/>
        <item h="1" m="1" x="2208"/>
        <item h="1" m="1" x="2209"/>
        <item h="1" m="1" x="2210"/>
        <item h="1" m="1" x="2211"/>
        <item h="1" m="1" x="2212"/>
        <item h="1" m="1" x="2213"/>
        <item h="1" m="1" x="2215"/>
        <item h="1" m="1" x="2216"/>
        <item h="1" m="1" x="2217"/>
        <item h="1" m="1" x="2219"/>
        <item h="1" m="1" x="2220"/>
        <item h="1" m="1" x="2221"/>
        <item h="1" m="1" x="2222"/>
        <item h="1" m="1" x="1483"/>
        <item h="1" m="1" x="2224"/>
        <item h="1" m="1" x="2225"/>
        <item h="1" m="1" x="2226"/>
        <item h="1" m="1" x="2227"/>
        <item h="1" m="1" x="1884"/>
        <item h="1" m="1" x="2228"/>
        <item h="1" m="1" x="502"/>
        <item h="1" m="1" x="1017"/>
        <item h="1" m="1" x="1484"/>
        <item h="1" m="1" x="1874"/>
        <item h="1" x="75"/>
        <item h="1" x="82"/>
        <item h="1" m="1" x="1839"/>
        <item h="1" m="1" x="458"/>
        <item h="1" m="1" x="1841"/>
        <item h="1" m="1" x="1842"/>
        <item h="1" m="1" x="1845"/>
        <item h="1" m="1" x="1846"/>
        <item h="1" m="1" x="1847"/>
        <item h="1" m="1" x="1848"/>
        <item h="1" m="1" x="1573"/>
        <item h="1" x="370"/>
        <item h="1" m="1" x="1569"/>
        <item h="1" m="1" x="1851"/>
        <item h="1" m="1" x="1582"/>
        <item h="1" m="1" x="1852"/>
        <item h="1" m="1" x="460"/>
        <item h="1" m="1" x="1853"/>
        <item h="1" m="1" x="461"/>
        <item h="1" m="1" x="899"/>
        <item h="1" m="1" x="1720"/>
        <item h="1" m="1" x="1856"/>
        <item h="1" m="1" x="1857"/>
        <item h="1" m="1" x="1858"/>
        <item h="1" m="1" x="1859"/>
        <item h="1" m="1" x="549"/>
        <item h="1" m="1" x="1601"/>
        <item h="1" m="1" x="1031"/>
        <item h="1" m="1" x="1863"/>
        <item h="1" m="1" x="1864"/>
        <item h="1" m="1" x="1865"/>
        <item h="1" m="1" x="1866"/>
        <item h="1" m="1" x="1868"/>
        <item h="1" m="1" x="1869"/>
        <item h="1" m="1" x="1870"/>
        <item h="1" m="1" x="1871"/>
        <item h="1" m="1" x="1872"/>
        <item h="1" m="1" x="466"/>
        <item h="1" m="1" x="467"/>
        <item h="1" m="1" x="1875"/>
        <item h="1" m="1" x="1876"/>
        <item h="1" m="1" x="1197"/>
        <item h="1" m="1" x="1877"/>
        <item h="1" m="1" x="1878"/>
        <item h="1" m="1" x="1602"/>
        <item h="1" m="1" x="1879"/>
        <item h="1" m="1" x="1583"/>
        <item h="1" x="58"/>
        <item h="1" m="1" x="1028"/>
        <item h="1" m="1" x="459"/>
        <item h="1" m="1" x="1880"/>
        <item h="1" m="1" x="1881"/>
        <item h="1" m="1" x="1882"/>
        <item h="1" m="1" x="1883"/>
        <item h="1" x="79"/>
        <item h="1" m="1" x="1733"/>
        <item h="1" m="1" x="455"/>
        <item h="1" m="1" x="782"/>
        <item h="1" x="97"/>
        <item h="1" m="1" x="1714"/>
        <item h="1" m="1" x="701"/>
        <item h="1" m="1" x="1557"/>
        <item h="1" m="1" x="1578"/>
        <item h="1" m="1" x="1570"/>
        <item h="1" m="1" x="1027"/>
        <item h="1" m="1" x="1214"/>
        <item h="1" m="1" x="1718"/>
        <item h="1" m="1" x="1603"/>
        <item h="1" m="1" x="1191"/>
        <item h="1" m="1" x="1721"/>
        <item h="1" m="1" x="1722"/>
        <item h="1" m="1" x="1723"/>
        <item h="1" m="1" x="1724"/>
        <item h="1" m="1" x="1725"/>
        <item h="1" m="1" x="1726"/>
        <item h="1" m="1" x="1589"/>
        <item h="1" m="1" x="1590"/>
        <item h="1" m="1" x="1591"/>
        <item h="1" m="1" x="1192"/>
        <item h="1" m="1" x="1817"/>
        <item h="1" m="1" x="1032"/>
        <item h="1" x="308"/>
        <item h="1" m="1" x="1610"/>
        <item h="1" m="1" x="1611"/>
        <item h="1" m="1" x="1612"/>
        <item h="1" m="1" x="1033"/>
        <item h="1" m="1" x="1819"/>
        <item h="1" m="1" x="1820"/>
        <item h="1" m="1" x="1821"/>
        <item h="1" m="1" x="456"/>
        <item h="1" m="1" x="1555"/>
        <item h="1" m="1" x="1822"/>
        <item h="1" m="1" x="1203"/>
        <item h="1" m="1" x="1736"/>
        <item h="1" m="1" x="1489"/>
        <item h="1" m="1" x="1717"/>
        <item h="1" m="1" x="1025"/>
        <item h="1" m="1" x="1712"/>
        <item h="1" m="1" x="1556"/>
        <item h="1" m="1" x="989"/>
        <item h="1" m="1" x="1823"/>
        <item h="1" m="1" x="1824"/>
        <item h="1" m="1" x="1747"/>
        <item h="1" m="1" x="1576"/>
        <item h="1" m="1" x="1711"/>
        <item h="1" m="1" x="1710"/>
        <item h="1" m="1" x="1575"/>
        <item h="1" m="1" x="1580"/>
        <item h="1" m="1" x="1585"/>
        <item h="1" m="1" x="1225"/>
        <item h="1" m="1" x="900"/>
        <item h="1" m="1" x="1754"/>
        <item h="1" m="1" x="1755"/>
        <item h="1" m="1" x="1029"/>
        <item h="1" m="1" x="1756"/>
        <item h="1" m="1" x="1758"/>
        <item h="1" m="1" x="1763"/>
        <item h="1" m="1" x="1030"/>
        <item h="1" m="1" x="1728"/>
        <item h="1" m="1" x="465"/>
        <item h="1" m="1" x="1825"/>
        <item h="1" m="1" x="1769"/>
        <item h="1" m="1" x="1588"/>
        <item h="1" m="1" x="1770"/>
        <item h="1" m="1" x="1768"/>
        <item h="1" m="1" x="1604"/>
        <item h="1" m="1" x="1826"/>
        <item h="1" m="1" x="1729"/>
        <item h="1" m="1" x="1730"/>
        <item h="1" m="1" x="1827"/>
        <item h="1" m="1" x="1828"/>
        <item h="1" x="67"/>
        <item h="1" x="68"/>
        <item h="1" x="69"/>
        <item h="1" m="1" x="1829"/>
        <item h="1" x="70"/>
        <item h="1" m="1" x="1195"/>
        <item h="1" m="1" x="1731"/>
        <item h="1" x="83"/>
        <item h="1" m="1" x="1607"/>
        <item h="1" x="99"/>
        <item h="1" m="1" x="1488"/>
        <item h="1" m="1" x="1202"/>
        <item h="1" m="1" x="1734"/>
        <item h="1" m="1" x="1737"/>
        <item h="1" x="52"/>
        <item h="1" m="1" x="1738"/>
        <item h="1" m="1" x="1207"/>
        <item h="1" m="1" x="1618"/>
        <item h="1" m="1" x="1740"/>
        <item h="1" m="1" x="1741"/>
        <item h="1" m="1" x="940"/>
        <item h="1" m="1" x="1092"/>
        <item h="1" m="1" x="1744"/>
        <item h="1" m="1" x="1561"/>
        <item h="1" m="1" x="1562"/>
        <item h="1" m="1" x="1745"/>
        <item h="1" m="1" x="1563"/>
        <item h="1" m="1" x="1564"/>
        <item h="1" m="1" x="1625"/>
        <item h="1" m="1" x="1746"/>
        <item h="1" m="1" x="1574"/>
        <item h="1" m="1" x="1579"/>
        <item h="1" m="1" x="1039"/>
        <item h="1" m="1" x="1559"/>
        <item h="1" m="1" x="1560"/>
        <item h="1" m="1" x="1752"/>
        <item h="1" m="1" x="483"/>
        <item h="1" m="1" x="901"/>
        <item h="1" m="1" x="1757"/>
        <item h="1" m="1" x="1759"/>
        <item h="1" m="1" x="1760"/>
        <item h="1" m="1" x="1761"/>
        <item h="1" m="1" x="1228"/>
        <item h="1" m="1" x="1592"/>
        <item h="1" m="1" x="1593"/>
        <item h="1" m="1" x="1594"/>
        <item h="1" m="1" x="1595"/>
        <item h="1" m="1" x="1596"/>
        <item h="1" m="1" x="1597"/>
        <item h="1" m="1" x="1598"/>
        <item h="1" m="1" x="1599"/>
        <item h="1" m="1" x="1600"/>
        <item h="1" m="1" x="1762"/>
        <item h="1" m="1" x="1229"/>
        <item h="1" m="1" x="1056"/>
        <item h="1" m="1" x="1659"/>
        <item h="1" m="1" x="1764"/>
        <item h="1" m="1" x="1765"/>
        <item h="1" m="1" x="1766"/>
        <item h="1" m="1" x="1767"/>
        <item h="1" m="1" x="1771"/>
        <item h="1" m="1" x="1772"/>
        <item h="1" m="1" x="1773"/>
        <item h="1" m="1" x="1774"/>
        <item h="1" m="1" x="1776"/>
        <item h="1" m="1" x="1778"/>
        <item h="1" m="1" x="1779"/>
        <item h="1" m="1" x="1780"/>
        <item h="1" m="1" x="1781"/>
        <item h="1" m="1" x="1782"/>
        <item h="1" m="1" x="799"/>
        <item h="1" m="1" x="1783"/>
        <item h="1" m="1" x="1784"/>
        <item h="1" m="1" x="1785"/>
        <item h="1" m="1" x="1606"/>
        <item h="1" m="1" x="1609"/>
        <item h="1" x="66"/>
        <item h="1" m="1" x="1786"/>
        <item h="1" m="1" x="1787"/>
        <item h="1" m="1" x="1608"/>
        <item h="1" m="1" x="1067"/>
        <item h="1" m="1" x="1068"/>
        <item h="1" m="1" x="1791"/>
        <item h="1" m="1" x="1071"/>
        <item h="1" m="1" x="1069"/>
        <item h="1" m="1" x="1070"/>
        <item h="1" m="1" x="1073"/>
        <item h="1" m="1" x="1613"/>
        <item h="1" x="78"/>
        <item h="1" m="1" x="1232"/>
        <item h="1" m="1" x="1086"/>
        <item h="1" m="1" x="1792"/>
        <item h="1" m="1" x="1793"/>
        <item h="1" m="1" x="1614"/>
        <item h="1" m="1" x="1234"/>
        <item h="1" x="88"/>
        <item h="1" m="1" x="1616"/>
        <item h="1" m="1" x="984"/>
        <item h="1" m="1" x="780"/>
        <item h="1" x="208"/>
        <item h="1" m="1" x="1617"/>
        <item h="1" m="1" x="1201"/>
        <item h="1" m="1" x="1206"/>
        <item h="1" m="1" x="1619"/>
        <item h="1" m="1" x="1208"/>
        <item h="1" x="53"/>
        <item h="1" m="1" x="1209"/>
        <item h="1" m="1" x="783"/>
        <item h="1" m="1" x="1210"/>
        <item h="1" m="1" x="1211"/>
        <item h="1" m="1" x="1212"/>
        <item h="1" x="350"/>
        <item h="1" m="1" x="784"/>
        <item h="1" m="1" x="476"/>
        <item h="1" m="1" x="1620"/>
        <item h="1" m="1" x="480"/>
        <item h="1" m="1" x="1492"/>
        <item h="1" m="1" x="1493"/>
        <item h="1" m="1" x="1621"/>
        <item h="1" m="1" x="1622"/>
        <item h="1" m="1" x="1623"/>
        <item h="1" m="1" x="1626"/>
        <item h="1" m="1" x="1628"/>
        <item h="1" m="1" x="1630"/>
        <item h="1" m="1" x="479"/>
        <item h="1" m="1" x="1632"/>
        <item h="1" m="1" x="1636"/>
        <item h="1" m="1" x="1221"/>
        <item h="1" m="1" x="1222"/>
        <item h="1" m="1" x="1637"/>
        <item h="1" m="1" x="1638"/>
        <item h="1" m="1" x="1639"/>
        <item h="1" m="1" x="1640"/>
        <item h="1" m="1" x="1641"/>
        <item h="1" m="1" x="1642"/>
        <item h="1" m="1" x="1643"/>
        <item h="1" m="1" x="1644"/>
        <item h="1" m="1" x="1645"/>
        <item h="1" m="1" x="1646"/>
        <item h="1" m="1" x="1647"/>
        <item h="1" m="1" x="1648"/>
        <item h="1" m="1" x="1649"/>
        <item h="1" m="1" x="1650"/>
        <item h="1" m="1" x="1651"/>
        <item h="1" m="1" x="1652"/>
        <item h="1" m="1" x="1653"/>
        <item h="1" m="1" x="1654"/>
        <item h="1" m="1" x="1655"/>
        <item h="1" m="1" x="1656"/>
        <item h="1" m="1" x="1657"/>
        <item h="1" m="1" x="1658"/>
        <item h="1" m="1" x="499"/>
        <item h="1" m="1" x="1055"/>
        <item h="1" m="1" x="1230"/>
        <item h="1" m="1" x="497"/>
        <item h="1" m="1" x="1660"/>
        <item h="1" m="1" x="490"/>
        <item h="1" m="1" x="811"/>
        <item h="1" m="1" x="1227"/>
        <item h="1" m="1" x="1661"/>
        <item h="1" m="1" x="1662"/>
        <item h="1" m="1" x="1663"/>
        <item h="1" m="1" x="1664"/>
        <item h="1" m="1" x="503"/>
        <item h="1" m="1" x="1058"/>
        <item h="1" m="1" x="1665"/>
        <item h="1" m="1" x="1666"/>
        <item h="1" m="1" x="1667"/>
        <item h="1" m="1" x="1062"/>
        <item h="1" m="1" x="1063"/>
        <item h="1" m="1" x="1668"/>
        <item h="1" m="1" x="1669"/>
        <item h="1" m="1" x="1670"/>
        <item h="1" m="1" x="1072"/>
        <item h="1" m="1" x="1074"/>
        <item h="1" m="1" x="744"/>
        <item h="1" x="71"/>
        <item h="1" m="1" x="1671"/>
        <item h="1" m="1" x="1672"/>
        <item h="1" m="1" x="1673"/>
        <item h="1" m="1" x="1674"/>
        <item h="1" m="1" x="1675"/>
        <item h="1" m="1" x="831"/>
        <item h="1" m="1" x="1676"/>
        <item h="1" m="1" x="1677"/>
        <item h="1" x="77"/>
        <item h="1" m="1" x="1084"/>
        <item h="1" m="1" x="1678"/>
        <item h="1" x="81"/>
        <item h="1" x="90"/>
        <item h="1" m="1" x="1235"/>
        <item h="1" m="1" x="1199"/>
        <item h="1" x="104"/>
        <item h="1" m="1" x="1490"/>
        <item h="1" m="1" x="477"/>
        <item h="1" x="98"/>
        <item h="1" m="1" x="1216"/>
        <item h="1" m="1" x="1217"/>
        <item h="1" m="1" x="917"/>
        <item h="1" m="1" x="1231"/>
        <item h="1" m="1" x="1057"/>
        <item h="1" m="1" x="1494"/>
        <item h="1" x="280"/>
        <item h="1" m="1" x="1060"/>
        <item h="1" m="1" x="1061"/>
        <item h="1" m="1" x="1495"/>
        <item h="1" x="162"/>
        <item h="1" x="161"/>
        <item h="1" m="1" x="1076"/>
        <item h="1" m="1" x="1078"/>
        <item h="1" m="1" x="1079"/>
        <item h="1" m="1" x="1496"/>
        <item h="1" x="169"/>
        <item h="1" m="1" x="1233"/>
        <item h="1" x="84"/>
        <item h="1" x="95"/>
        <item h="1" x="189"/>
        <item h="1" m="1" x="1035"/>
        <item h="1" m="1" x="1036"/>
        <item h="1" m="1" x="1497"/>
        <item h="1" m="1" x="473"/>
        <item h="1" x="105"/>
        <item h="1" m="1" x="1240"/>
        <item h="1" m="1" x="1241"/>
        <item h="1" m="1" x="474"/>
        <item h="1" m="1" x="1243"/>
        <item h="1" m="1" x="1244"/>
        <item h="1" m="1" x="1245"/>
        <item h="1" m="1" x="1246"/>
        <item h="1" m="1" x="790"/>
        <item h="1" x="115"/>
        <item h="1" m="1" x="1038"/>
        <item h="1" m="1" x="903"/>
        <item h="1" m="1" x="1037"/>
        <item h="1" m="1" x="1249"/>
        <item h="1" x="117"/>
        <item h="1" m="1" x="1498"/>
        <item h="1" m="1" x="1499"/>
        <item h="1" m="1" x="1500"/>
        <item h="1" m="1" x="1501"/>
        <item h="1" m="1" x="1251"/>
        <item h="1" m="1" x="800"/>
        <item h="1" m="1" x="801"/>
        <item h="1" m="1" x="1255"/>
        <item h="1" m="1" x="1259"/>
        <item h="1" m="1" x="1260"/>
        <item h="1" m="1" x="1218"/>
        <item h="1" m="1" x="1258"/>
        <item h="1" m="1" x="1263"/>
        <item h="1" m="1" x="1043"/>
        <item h="1" x="122"/>
        <item h="1" x="123"/>
        <item h="1" m="1" x="1264"/>
        <item h="1" m="1" x="1265"/>
        <item h="1" m="1" x="1266"/>
        <item h="1" m="1" x="809"/>
        <item h="1" m="1" x="1269"/>
        <item h="1" m="1" x="1273"/>
        <item h="1" m="1" x="1274"/>
        <item h="1" m="1" x="1275"/>
        <item h="1" m="1" x="810"/>
        <item h="1" m="1" x="1271"/>
        <item h="1" m="1" x="1272"/>
        <item h="1" m="1" x="1278"/>
        <item h="1" m="1" x="1277"/>
        <item h="1" x="138"/>
        <item h="1" m="1" x="1041"/>
        <item h="1" m="1" x="1502"/>
        <item h="1" m="1" x="1045"/>
        <item h="1" m="1" x="916"/>
        <item h="1" m="1" x="488"/>
        <item h="1" m="1" x="1046"/>
        <item h="1" m="1" x="914"/>
        <item h="1" m="1" x="915"/>
        <item h="1" m="1" x="489"/>
        <item h="1" m="1" x="913"/>
        <item h="1" m="1" x="1279"/>
        <item h="1" m="1" x="1281"/>
        <item h="1" m="1" x="498"/>
        <item h="1" m="1" x="1282"/>
        <item h="1" m="1" x="1283"/>
        <item h="1" m="1" x="1284"/>
        <item h="1" m="1" x="1108"/>
        <item h="1" m="1" x="816"/>
        <item h="1" x="150"/>
        <item h="1" m="1" x="817"/>
        <item h="1" m="1" x="1051"/>
        <item h="1" m="1" x="926"/>
        <item h="1" m="1" x="818"/>
        <item h="1" m="1" x="1286"/>
        <item h="1" m="1" x="1285"/>
        <item h="1" m="1" x="830"/>
        <item h="1" m="1" x="1053"/>
        <item h="1" m="1" x="1054"/>
        <item h="1" m="1" x="1288"/>
        <item h="1" m="1" x="1291"/>
        <item h="1" m="1" x="1293"/>
        <item h="1" m="1" x="1503"/>
        <item h="1" m="1" x="814"/>
        <item h="1" m="1" x="1504"/>
        <item h="1" m="1" x="1059"/>
        <item h="1" m="1" x="1505"/>
        <item h="1" m="1" x="1506"/>
        <item h="1" m="1" x="1507"/>
        <item h="1" m="1" x="1064"/>
        <item h="1" m="1" x="1065"/>
        <item h="1" m="1" x="1066"/>
        <item h="1" m="1" x="1298"/>
        <item h="1" m="1" x="1508"/>
        <item h="1" m="1" x="1509"/>
        <item h="1" m="1" x="1510"/>
        <item h="1" m="1" x="1511"/>
        <item h="1" m="1" x="1512"/>
        <item h="1" m="1" x="1513"/>
        <item h="1" m="1" x="1514"/>
        <item h="1" m="1" x="1515"/>
        <item h="1" m="1" x="1516"/>
        <item h="1" m="1" x="1517"/>
        <item h="1" m="1" x="1518"/>
        <item h="1" m="1" x="1077"/>
        <item h="1" m="1" x="1519"/>
        <item h="1" m="1" x="1520"/>
        <item h="1" m="1" x="1521"/>
        <item h="1" m="1" x="1080"/>
        <item h="1" x="171"/>
        <item h="1" m="1" x="1081"/>
        <item h="1" m="1" x="1082"/>
        <item h="1" m="1" x="1083"/>
        <item h="1" m="1" x="1085"/>
        <item h="1" x="181"/>
        <item h="1" m="1" x="1299"/>
        <item h="1" x="46"/>
        <item h="1" x="65"/>
        <item h="1" m="1" x="469"/>
        <item h="1" m="1" x="1237"/>
        <item h="1" m="1" x="1239"/>
        <item h="1" m="1" x="1242"/>
        <item h="1" x="110"/>
        <item h="1" m="1" x="787"/>
        <item h="1" m="1" x="1247"/>
        <item h="1" m="1" x="1248"/>
        <item h="1" m="1" x="788"/>
        <item h="1" m="1" x="789"/>
        <item h="1" m="1" x="1250"/>
        <item h="1" m="1" x="1252"/>
        <item h="1" m="1" x="1253"/>
        <item h="1" m="1" x="1254"/>
        <item h="1" m="1" x="803"/>
        <item h="1" m="1" x="1256"/>
        <item h="1" m="1" x="1262"/>
        <item h="1" m="1" x="1104"/>
        <item h="1" m="1" x="1267"/>
        <item h="1" m="1" x="1268"/>
        <item h="1" m="1" x="486"/>
        <item h="1" m="1" x="924"/>
        <item h="1" m="1" x="1112"/>
        <item h="1" m="1" x="925"/>
        <item h="1" m="1" x="815"/>
        <item h="1" m="1" x="828"/>
        <item h="1" m="1" x="829"/>
        <item h="1" m="1" x="1126"/>
        <item h="1" m="1" x="927"/>
        <item h="1" m="1" x="1127"/>
        <item h="1" m="1" x="1292"/>
        <item h="1" x="107"/>
        <item h="1" m="1" x="729"/>
        <item h="1" m="1" x="1131"/>
        <item h="1" m="1" x="1294"/>
        <item h="1" x="157"/>
        <item h="1" m="1" x="1140"/>
        <item h="1" m="1" x="1136"/>
        <item h="1" m="1" x="1295"/>
        <item h="1" m="1" x="1296"/>
        <item h="1" m="1" x="1297"/>
        <item h="1" m="1" x="1147"/>
        <item h="1" m="1" x="1149"/>
        <item h="1" m="1" x="1150"/>
        <item h="1" m="1" x="1151"/>
        <item h="1" x="177"/>
        <item h="1" x="106"/>
        <item h="1" m="1" x="1300"/>
        <item h="1" m="1" x="1301"/>
        <item h="1" m="1" x="475"/>
        <item h="1" m="1" x="795"/>
        <item h="1" m="1" x="1303"/>
        <item h="1" m="1" x="1304"/>
        <item h="1" m="1" x="1305"/>
        <item h="1" m="1" x="1130"/>
        <item h="1" m="1" x="1306"/>
        <item h="1" m="1" x="1307"/>
        <item h="1" m="1" x="1308"/>
        <item h="1" m="1" x="1309"/>
        <item h="1" m="1" x="1310"/>
        <item h="1" m="1" x="1311"/>
        <item h="1" m="1" x="1312"/>
        <item h="1" m="1" x="1313"/>
        <item h="1" m="1" x="1314"/>
        <item h="1" m="1" x="1315"/>
        <item h="1" m="1" x="1316"/>
        <item h="1" m="1" x="1317"/>
        <item h="1" m="1" x="1318"/>
        <item h="1" m="1" x="1319"/>
        <item h="1" m="1" x="1320"/>
        <item h="1" m="1" x="1321"/>
        <item h="1" m="1" x="1322"/>
        <item h="1" m="1" x="1323"/>
        <item h="1" x="159"/>
        <item h="1" m="1" x="1324"/>
        <item h="1" m="1" x="1325"/>
        <item h="1" m="1" x="1326"/>
        <item h="1" m="1" x="1327"/>
        <item h="1" m="1" x="1328"/>
        <item h="1" m="1" x="1329"/>
        <item h="1" m="1" x="1330"/>
        <item h="1" m="1" x="1331"/>
        <item h="1" m="1" x="1332"/>
        <item h="1" m="1" x="1333"/>
        <item h="1" m="1" x="1334"/>
        <item h="1" m="1" x="1335"/>
        <item h="1" m="1" x="1336"/>
        <item h="1" m="1" x="1337"/>
        <item h="1" m="1" x="1338"/>
        <item h="1" m="1" x="1339"/>
        <item h="1" m="1" x="1340"/>
        <item h="1" m="1" x="1341"/>
        <item h="1" m="1" x="1342"/>
        <item h="1" m="1" x="1343"/>
        <item h="1" m="1" x="1344"/>
        <item h="1" m="1" x="1345"/>
        <item h="1" m="1" x="1346"/>
        <item h="1" m="1" x="1347"/>
        <item h="1" m="1" x="1348"/>
        <item h="1" m="1" x="1349"/>
        <item h="1" m="1" x="1350"/>
        <item h="1" m="1" x="1351"/>
        <item h="1" m="1" x="1352"/>
        <item h="1" m="1" x="1353"/>
        <item h="1" m="1" x="1354"/>
        <item h="1" m="1" x="1355"/>
        <item h="1" m="1" x="1356"/>
        <item h="1" m="1" x="1357"/>
        <item h="1" m="1" x="1358"/>
        <item h="1" m="1" x="1359"/>
        <item h="1" m="1" x="1360"/>
        <item h="1" m="1" x="1361"/>
        <item h="1" m="1" x="1362"/>
        <item h="1" m="1" x="1363"/>
        <item h="1" m="1" x="1364"/>
        <item h="1" m="1" x="1365"/>
        <item h="1" m="1" x="1366"/>
        <item h="1" m="1" x="1367"/>
        <item h="1" m="1" x="1368"/>
        <item h="1" m="1" x="1370"/>
        <item h="1" m="1" x="1371"/>
        <item h="1" m="1" x="1372"/>
        <item h="1" m="1" x="1373"/>
        <item h="1" m="1" x="1374"/>
        <item h="1" m="1" x="1375"/>
        <item h="1" m="1" x="1376"/>
        <item h="1" m="1" x="1377"/>
        <item h="1" m="1" x="1378"/>
        <item h="1" m="1" x="1379"/>
        <item h="1" m="1" x="1380"/>
        <item h="1" m="1" x="1381"/>
        <item h="1" m="1" x="1382"/>
        <item h="1" m="1" x="1383"/>
        <item h="1" m="1" x="1384"/>
        <item h="1" m="1" x="1385"/>
        <item h="1" m="1" x="1386"/>
        <item h="1" m="1" x="1387"/>
        <item h="1" m="1" x="1388"/>
        <item h="1" m="1" x="1389"/>
        <item h="1" m="1" x="1390"/>
        <item h="1" m="1" x="1391"/>
        <item h="1" m="1" x="1392"/>
        <item h="1" m="1" x="1393"/>
        <item h="1" m="1" x="1394"/>
        <item h="1" m="1" x="1395"/>
        <item h="1" m="1" x="1396"/>
        <item h="1" m="1" x="1397"/>
        <item h="1" m="1" x="1398"/>
        <item h="1" m="1" x="1399"/>
        <item h="1" m="1" x="1400"/>
        <item h="1" m="1" x="1401"/>
        <item h="1" m="1" x="1402"/>
        <item h="1" m="1" x="1404"/>
        <item h="1" m="1" x="1405"/>
        <item h="1" m="1" x="1406"/>
        <item h="1" m="1" x="1407"/>
        <item h="1" m="1" x="1408"/>
        <item h="1" m="1" x="1409"/>
        <item h="1" m="1" x="1410"/>
        <item h="1" m="1" x="1411"/>
        <item h="1" m="1" x="1412"/>
        <item h="1" m="1" x="1413"/>
        <item h="1" m="1" x="1414"/>
        <item h="1" m="1" x="1415"/>
        <item h="1" m="1" x="1416"/>
        <item h="1" m="1" x="1417"/>
        <item h="1" m="1" x="1146"/>
        <item h="1" m="1" x="1418"/>
        <item h="1" x="179"/>
        <item h="1" m="1" x="1419"/>
        <item h="1" m="1" x="1420"/>
        <item h="1" m="1" x="1421"/>
        <item h="1" m="1" x="1423"/>
        <item h="1" m="1" x="1424"/>
        <item h="1" m="1" x="1425"/>
        <item h="1" m="1" x="1426"/>
        <item h="1" m="1" x="1427"/>
        <item h="1" m="1" x="1428"/>
        <item h="1" m="1" x="1429"/>
        <item h="1" m="1" x="1430"/>
        <item h="1" m="1" x="1431"/>
        <item h="1" m="1" x="1432"/>
        <item h="1" m="1" x="1433"/>
        <item h="1" m="1" x="1434"/>
        <item h="1" m="1" x="1435"/>
        <item h="1" m="1" x="1436"/>
        <item h="1" m="1" x="1437"/>
        <item h="1" m="1" x="1438"/>
        <item h="1" m="1" x="1439"/>
        <item h="1" m="1" x="1440"/>
        <item h="1" m="1" x="1442"/>
        <item h="1" m="1" x="1443"/>
        <item h="1" m="1" x="1444"/>
        <item h="1" m="1" x="1445"/>
        <item h="1" m="1" x="1446"/>
        <item h="1" m="1" x="1447"/>
        <item h="1" m="1" x="1448"/>
        <item h="1" m="1" x="1449"/>
        <item h="1" m="1" x="1450"/>
        <item h="1" m="1" x="1451"/>
        <item h="1" m="1" x="1452"/>
        <item h="1" m="1" x="1453"/>
        <item h="1" m="1" x="1454"/>
        <item h="1" m="1" x="1455"/>
        <item h="1" m="1" x="1456"/>
        <item h="1" m="1" x="1457"/>
        <item h="1" m="1" x="1458"/>
        <item h="1" m="1" x="1459"/>
        <item h="1" m="1" x="1460"/>
        <item h="1" m="1" x="1461"/>
        <item h="1" m="1" x="1462"/>
        <item h="1" m="1" x="1463"/>
        <item h="1" m="1" x="1465"/>
        <item h="1" m="1" x="1466"/>
        <item h="1" m="1" x="1467"/>
        <item h="1" m="1" x="1468"/>
        <item h="1" m="1" x="1178"/>
        <item h="1" m="1" x="1469"/>
        <item h="1" m="1" x="1470"/>
        <item h="1" m="1" x="1471"/>
        <item h="1" m="1" x="1472"/>
        <item h="1" m="1" x="1129"/>
        <item h="1" m="1" x="500"/>
        <item h="1" m="1" x="792"/>
        <item h="1" m="1" x="1473"/>
        <item h="1" m="1" x="1474"/>
        <item h="1" m="1" x="793"/>
        <item h="1" m="1" x="794"/>
        <item h="1" m="1" x="797"/>
        <item h="1" m="1" x="520"/>
        <item h="1" m="1" x="1105"/>
        <item h="1" m="1" x="1106"/>
        <item h="1" m="1" x="1476"/>
        <item h="1" m="1" x="1477"/>
        <item h="1" m="1" x="1478"/>
        <item h="1" m="1" x="821"/>
        <item h="1" m="1" x="822"/>
        <item h="1" m="1" x="823"/>
        <item h="1" m="1" x="824"/>
        <item h="1" m="1" x="1479"/>
        <item h="1" m="1" x="1138"/>
        <item h="1" m="1" x="1139"/>
        <item h="1" m="1" x="1480"/>
        <item h="1" m="1" x="1481"/>
        <item h="1" x="173"/>
        <item h="1" m="1" x="1148"/>
        <item h="1" m="1" x="1075"/>
        <item h="1" m="1" x="1087"/>
        <item h="1" m="1" x="1089"/>
        <item h="1" x="108"/>
        <item h="1" m="1" x="506"/>
        <item h="1" m="1" x="1091"/>
        <item h="1" m="1" x="1093"/>
        <item h="1" m="1" x="1094"/>
        <item h="1" m="1" x="1098"/>
        <item h="1" m="1" x="1100"/>
        <item h="1" m="1" x="1102"/>
        <item h="1" m="1" x="1103"/>
        <item h="1" m="1" x="804"/>
        <item h="1" m="1" x="805"/>
        <item h="1" m="1" x="802"/>
        <item h="1" m="1" x="521"/>
        <item h="1" m="1" x="518"/>
        <item h="1" m="1" x="519"/>
        <item h="1" m="1" x="522"/>
        <item h="1" m="1" x="705"/>
        <item h="1" m="1" x="540"/>
        <item h="1" x="139"/>
        <item h="1" m="1" x="1107"/>
        <item h="1" m="1" x="1109"/>
        <item h="1" m="1" x="1111"/>
        <item h="1" m="1" x="812"/>
        <item h="1" m="1" x="813"/>
        <item h="1" m="1" x="1113"/>
        <item h="1" m="1" x="1114"/>
        <item h="1" m="1" x="798"/>
        <item h="1" m="1" x="1115"/>
        <item h="1" m="1" x="905"/>
        <item h="1" m="1" x="906"/>
        <item h="1" m="1" x="907"/>
        <item h="1" m="1" x="908"/>
        <item h="1" x="120"/>
        <item h="1" m="1" x="796"/>
        <item h="1" m="1" x="1118"/>
        <item h="1" m="1" x="1119"/>
        <item h="1" m="1" x="682"/>
        <item h="1" m="1" x="1121"/>
        <item h="1" m="1" x="554"/>
        <item h="1" m="1" x="1122"/>
        <item h="1" m="1" x="1123"/>
        <item h="1" m="1" x="1124"/>
        <item h="1" m="1" x="819"/>
        <item h="1" m="1" x="820"/>
        <item h="1" m="1" x="827"/>
        <item h="1" m="1" x="943"/>
        <item h="1" m="1" x="944"/>
        <item h="1" m="1" x="941"/>
        <item h="1" m="1" x="1128"/>
        <item h="1" x="153"/>
        <item h="1" x="154"/>
        <item h="1" x="155"/>
        <item h="1" m="1" x="1132"/>
        <item h="1" m="1" x="1133"/>
        <item h="1" m="1" x="1134"/>
        <item h="1" m="1" x="1135"/>
        <item h="1" m="1" x="1137"/>
        <item h="1" m="1" x="1141"/>
        <item h="1" m="1" x="1142"/>
        <item h="1" m="1" x="1143"/>
        <item h="1" m="1" x="999"/>
        <item h="1" m="1" x="1144"/>
        <item h="1" m="1" x="1145"/>
        <item h="1" x="163"/>
        <item h="1" x="165"/>
        <item h="1" x="166"/>
        <item h="1" x="167"/>
        <item h="1" m="1" x="1152"/>
        <item h="1" m="1" x="1153"/>
        <item h="1" x="185"/>
        <item h="1" x="118"/>
        <item h="1" m="1" x="806"/>
        <item h="1" m="1" x="1154"/>
        <item h="1" m="1" x="1155"/>
        <item h="1" m="1" x="807"/>
        <item h="1" m="1" x="541"/>
        <item h="1" m="1" x="690"/>
        <item h="1" m="1" x="1158"/>
        <item h="1" m="1" x="694"/>
        <item h="1" m="1" x="825"/>
        <item h="1" m="1" x="826"/>
        <item h="1" m="1" x="1162"/>
        <item h="1" x="112"/>
        <item h="1" m="1" x="1163"/>
        <item h="1" m="1" x="1164"/>
        <item h="1" m="1" x="1165"/>
        <item h="1" m="1" x="1166"/>
        <item h="1" m="1" x="1168"/>
        <item h="1" m="1" x="1169"/>
        <item h="1" m="1" x="1170"/>
        <item h="1" m="1" x="1173"/>
        <item h="1" m="1" x="1174"/>
        <item h="1" m="1" x="1175"/>
        <item h="1" m="1" x="1176"/>
        <item h="1" m="1" x="1177"/>
        <item h="1" m="1" x="1179"/>
        <item h="1" m="1" x="1180"/>
        <item h="1" m="1" x="1181"/>
        <item h="1" m="1" x="1182"/>
        <item h="1" m="1" x="504"/>
        <item h="1" m="1" x="832"/>
        <item h="1" x="103"/>
        <item h="1" m="1" x="1000"/>
        <item h="1" m="1" x="1001"/>
        <item h="1" m="1" x="505"/>
        <item h="1" m="1" x="840"/>
        <item h="1" m="1" x="842"/>
        <item h="1" m="1" x="932"/>
        <item h="1" m="1" x="934"/>
        <item h="1" x="111"/>
        <item h="1" m="1" x="510"/>
        <item h="1" x="119"/>
        <item h="1" m="1" x="877"/>
        <item h="1" m="1" x="849"/>
        <item h="1" m="1" x="526"/>
        <item h="1" m="1" x="516"/>
        <item h="1" m="1" x="517"/>
        <item h="1" x="145"/>
        <item h="1" m="1" x="852"/>
        <item h="1" m="1" x="853"/>
        <item h="1" m="1" x="523"/>
        <item h="1" m="1" x="525"/>
        <item h="1" x="144"/>
        <item h="1" m="1" x="532"/>
        <item h="1" x="135"/>
        <item h="1" x="128"/>
        <item h="1" x="130"/>
        <item h="1" m="1" x="535"/>
        <item h="1" m="1" x="534"/>
        <item h="1" m="1" x="808"/>
        <item h="1" m="1" x="1002"/>
        <item h="1" m="1" x="1003"/>
        <item h="1" m="1" x="543"/>
        <item h="1" m="1" x="542"/>
        <item h="1" m="1" x="871"/>
        <item h="1" m="1" x="872"/>
        <item h="1" m="1" x="950"/>
        <item h="1" x="152"/>
        <item h="1" m="1" x="960"/>
        <item h="1" m="1" x="728"/>
        <item h="1" m="1" x="566"/>
        <item h="1" m="1" x="556"/>
        <item h="1" m="1" x="861"/>
        <item h="1" m="1" x="869"/>
        <item h="1" m="1" x="867"/>
        <item h="1" x="151"/>
        <item h="1" m="1" x="870"/>
        <item h="1" m="1" x="545"/>
        <item h="1" x="156"/>
        <item h="1" m="1" x="1004"/>
        <item h="1" m="1" x="1005"/>
        <item h="1" m="1" x="1006"/>
        <item h="1" m="1" x="1007"/>
        <item h="1" m="1" x="1008"/>
        <item h="1" m="1" x="1009"/>
        <item h="1" m="1" x="1010"/>
        <item h="1" m="1" x="1011"/>
        <item h="1" m="1" x="1013"/>
        <item h="1" m="1" x="1014"/>
        <item h="1" m="1" x="1015"/>
        <item h="1" m="1" x="1016"/>
        <item h="1" m="1" x="1019"/>
        <item h="1" m="1" x="1020"/>
        <item h="1" m="1" x="1021"/>
        <item h="1" x="160"/>
        <item h="1" m="1" x="1022"/>
        <item h="1" m="1" x="1023"/>
        <item h="1" x="176"/>
        <item h="1" m="1" x="958"/>
        <item h="1" m="1" x="572"/>
        <item h="1" m="1" x="959"/>
        <item h="1" x="178"/>
        <item h="1" m="1" x="1024"/>
        <item h="1" x="180"/>
        <item h="1" m="1" x="573"/>
        <item h="1" x="186"/>
        <item h="1" x="187"/>
        <item h="1" x="188"/>
        <item h="1" x="170"/>
        <item h="1" m="1" x="507"/>
        <item h="1" m="1" x="508"/>
        <item h="1" m="1" x="839"/>
        <item h="1" m="1" x="931"/>
        <item h="1" m="1" x="933"/>
        <item h="1" m="1" x="511"/>
        <item h="1" m="1" x="512"/>
        <item h="1" x="113"/>
        <item h="1" m="1" x="878"/>
        <item h="1" m="1" x="936"/>
        <item h="1" m="1" x="850"/>
        <item h="1" m="1" x="851"/>
        <item h="1" x="222"/>
        <item h="1" x="231"/>
        <item h="1" m="1" x="533"/>
        <item h="1" m="1" x="939"/>
        <item h="1" m="1" x="855"/>
        <item h="1" m="1" x="856"/>
        <item h="1" m="1" x="581"/>
        <item h="1" x="141"/>
        <item h="1" m="1" x="945"/>
        <item h="1" m="1" x="555"/>
        <item h="1" m="1" x="946"/>
        <item h="1" m="1" x="947"/>
        <item h="1" m="1" x="948"/>
        <item h="1" m="1" x="868"/>
        <item h="1" m="1" x="864"/>
        <item h="1" m="1" x="863"/>
        <item h="1" m="1" x="949"/>
        <item h="1" m="1" x="691"/>
        <item h="1" m="1" x="951"/>
        <item h="1" m="1" x="952"/>
        <item h="1" m="1" x="953"/>
        <item h="1" m="1" x="954"/>
        <item h="1" m="1" x="955"/>
        <item h="1" m="1" x="567"/>
        <item h="1" m="1" x="956"/>
        <item h="1" m="1" x="957"/>
        <item h="1" x="164"/>
        <item h="1" m="1" x="571"/>
        <item h="1" x="320"/>
        <item h="1" x="338"/>
        <item h="1" m="1" x="962"/>
        <item h="1" m="1" x="837"/>
        <item h="1" m="1" x="964"/>
        <item h="1" m="1" x="965"/>
        <item h="1" m="1" x="966"/>
        <item h="1" m="1" x="967"/>
        <item h="1" m="1" x="968"/>
        <item h="1" m="1" x="969"/>
        <item h="1" m="1" x="844"/>
        <item h="1" m="1" x="553"/>
        <item h="1" m="1" x="859"/>
        <item h="1" m="1" x="970"/>
        <item h="1" m="1" x="862"/>
        <item h="1" m="1" x="866"/>
        <item h="1" x="252"/>
        <item h="1" x="256"/>
        <item h="1" m="1" x="971"/>
        <item h="1" m="1" x="973"/>
        <item h="1" m="1" x="974"/>
        <item h="1" m="1" x="557"/>
        <item h="1" x="257"/>
        <item h="1" m="1" x="561"/>
        <item h="1" m="1" x="976"/>
        <item h="1" x="234"/>
        <item h="1" x="241"/>
        <item h="1" m="1" x="977"/>
        <item h="1" m="1" x="978"/>
        <item h="1" m="1" x="979"/>
        <item h="1" m="1" x="980"/>
        <item h="1" x="277"/>
        <item h="1" x="278"/>
        <item h="1" m="1" x="981"/>
        <item h="1" x="307"/>
        <item h="1" m="1" x="982"/>
        <item h="1" m="1" x="983"/>
        <item h="1" x="318"/>
        <item h="1" x="158"/>
        <item h="1" m="1" x="509"/>
        <item h="1" x="329"/>
        <item h="1" m="1" x="843"/>
        <item h="1" m="1" x="845"/>
        <item h="1" m="1" x="846"/>
        <item h="1" x="216"/>
        <item h="1" m="1" x="847"/>
        <item h="1" m="1" x="848"/>
        <item h="1" m="1" x="513"/>
        <item h="1" m="1" x="528"/>
        <item h="1" m="1" x="530"/>
        <item h="1" m="1" x="854"/>
        <item h="1" m="1" x="536"/>
        <item h="1" m="1" x="857"/>
        <item h="1" m="1" x="858"/>
        <item h="1" m="1" x="547"/>
        <item h="1" m="1" x="548"/>
        <item h="1" m="1" x="552"/>
        <item h="1" m="1" x="865"/>
        <item h="1" x="343"/>
        <item h="1" x="344"/>
        <item h="1" m="1" x="873"/>
        <item h="1" m="1" x="874"/>
        <item h="1" m="1" x="560"/>
        <item h="1" m="1" x="562"/>
        <item h="1" m="1" x="876"/>
        <item h="1" x="260"/>
        <item h="1" m="1" x="879"/>
        <item h="1" m="1" x="880"/>
        <item h="1" m="1" x="624"/>
        <item h="1" m="1" x="881"/>
        <item h="1" m="1" x="544"/>
        <item h="1" x="273"/>
        <item h="1" x="279"/>
        <item h="1" m="1" x="738"/>
        <item h="1" m="1" x="741"/>
        <item h="1" x="292"/>
        <item h="1" x="291"/>
        <item h="1" m="1" x="882"/>
        <item h="1" m="1" x="883"/>
        <item h="1" m="1" x="569"/>
        <item h="1" m="1" x="884"/>
        <item h="1" m="1" x="570"/>
        <item h="1" x="325"/>
        <item h="1" x="333"/>
        <item h="1" m="1" x="574"/>
        <item h="1" m="1" x="577"/>
        <item h="1" x="199"/>
        <item h="1" m="1" x="593"/>
        <item h="1" m="1" x="594"/>
        <item h="1" m="1" x="611"/>
        <item h="1" x="233"/>
        <item h="1" m="1" x="618"/>
        <item h="1" m="1" x="885"/>
        <item h="1" m="1" x="886"/>
        <item h="1" m="1" x="887"/>
        <item h="1" m="1" x="888"/>
        <item h="1" m="1" x="889"/>
        <item h="1" x="237"/>
        <item h="1" m="1" x="890"/>
        <item h="1" m="1" x="630"/>
        <item h="1" m="1" x="891"/>
        <item h="1" m="1" x="892"/>
        <item h="1" m="1" x="893"/>
        <item h="1" x="255"/>
        <item h="1" m="1" x="655"/>
        <item h="1" m="1" x="737"/>
        <item h="1" m="1" x="752"/>
        <item h="1" m="1" x="753"/>
        <item h="1" x="271"/>
        <item h="1" m="1" x="740"/>
        <item h="1" m="1" x="742"/>
        <item h="1" m="1" x="743"/>
        <item h="1" x="304"/>
        <item h="1" x="302"/>
        <item h="1" m="1" x="665"/>
        <item h="1" m="1" x="895"/>
        <item h="1" m="1" x="896"/>
        <item h="1" m="1" x="748"/>
        <item h="1" m="1" x="758"/>
        <item h="1" m="1" x="669"/>
        <item h="1" m="1" x="670"/>
        <item h="1" x="190"/>
        <item h="1" m="1" x="579"/>
        <item h="1" m="1" x="578"/>
        <item h="1" x="197"/>
        <item h="1" m="1" x="583"/>
        <item h="1" m="1" x="584"/>
        <item h="1" m="1" x="582"/>
        <item h="1" m="1" x="587"/>
        <item h="1" m="1" x="730"/>
        <item h="1" m="1" x="589"/>
        <item h="1" x="319"/>
        <item h="1" m="1" x="590"/>
        <item h="1" x="215"/>
        <item h="1" m="1" x="731"/>
        <item h="1" m="1" x="732"/>
        <item h="1" m="1" x="591"/>
        <item h="1" m="1" x="592"/>
        <item h="1" m="1" x="602"/>
        <item h="1" m="1" x="603"/>
        <item h="1" x="232"/>
        <item h="1" m="1" x="609"/>
        <item h="1" m="1" x="604"/>
        <item h="1" m="1" x="605"/>
        <item h="1" m="1" x="606"/>
        <item h="1" m="1" x="607"/>
        <item h="1" m="1" x="608"/>
        <item h="1" x="220"/>
        <item h="1" x="236"/>
        <item h="1" x="219"/>
        <item h="1" x="238"/>
        <item h="1" m="1" x="622"/>
        <item h="1" m="1" x="625"/>
        <item h="1" m="1" x="626"/>
        <item h="1" m="1" x="628"/>
        <item h="1" m="1" x="629"/>
        <item h="1" m="1" x="619"/>
        <item h="1" x="335"/>
        <item h="1" x="247"/>
        <item h="1" m="1" x="635"/>
        <item h="1" m="1" x="637"/>
        <item h="1" m="1" x="638"/>
        <item h="1" m="1" x="641"/>
        <item h="1" m="1" x="642"/>
        <item h="1" m="1" x="643"/>
        <item h="1" m="1" x="644"/>
        <item h="1" m="1" x="645"/>
        <item h="1" m="1" x="651"/>
        <item h="1" m="1" x="652"/>
        <item h="1" m="1" x="653"/>
        <item h="1" m="1" x="654"/>
        <item h="1" m="1" x="648"/>
        <item h="1" m="1" x="649"/>
        <item h="1" m="1" x="650"/>
        <item h="1" m="1" x="657"/>
        <item h="1" m="1" x="735"/>
        <item h="1" m="1" x="659"/>
        <item h="1" m="1" x="658"/>
        <item h="1" m="1" x="736"/>
        <item h="1" x="274"/>
        <item h="1" x="272"/>
        <item h="1" x="281"/>
        <item h="1" x="282"/>
        <item h="1" m="1" x="739"/>
        <item h="1" x="295"/>
        <item h="1" x="289"/>
        <item h="1" x="293"/>
        <item h="1" m="1" x="662"/>
        <item h="1" x="288"/>
        <item h="1" m="1" x="664"/>
        <item h="1" x="305"/>
        <item h="1" x="313"/>
        <item h="1" m="1" x="746"/>
        <item h="1" m="1" x="747"/>
        <item h="1" x="339"/>
        <item h="1" m="1" x="749"/>
        <item h="1" x="341"/>
        <item h="1" m="1" x="750"/>
        <item h="1" m="1" x="751"/>
        <item h="1" m="1" x="754"/>
        <item h="1" m="1" x="755"/>
        <item h="1" m="1" x="756"/>
        <item h="1" x="89"/>
        <item h="1" x="326"/>
        <item h="1" m="1" x="575"/>
        <item h="1" m="1" x="585"/>
        <item h="1" m="1" x="595"/>
        <item h="1" m="1" x="596"/>
        <item h="1" m="1" x="597"/>
        <item h="1" m="1" x="598"/>
        <item h="1" m="1" x="599"/>
        <item h="1" m="1" x="600"/>
        <item h="1" x="230"/>
        <item h="1" m="1" x="614"/>
        <item h="1" m="1" x="615"/>
        <item h="1" m="1" x="616"/>
        <item h="1" m="1" x="617"/>
        <item h="1" m="1" x="620"/>
        <item h="1" m="1" x="623"/>
        <item h="1" x="245"/>
        <item h="1" m="1" x="631"/>
        <item h="1" m="1" x="632"/>
        <item h="1" m="1" x="633"/>
        <item h="1" m="1" x="634"/>
        <item h="1" m="1" x="646"/>
        <item h="1" m="1" x="647"/>
        <item h="1" x="254"/>
        <item h="1" m="1" x="656"/>
        <item h="1" x="267"/>
        <item h="1" x="268"/>
        <item h="1" x="276"/>
        <item h="1" x="275"/>
        <item h="1" x="287"/>
        <item h="1" m="1" x="663"/>
        <item h="1" x="321"/>
        <item h="1" m="1" x="668"/>
        <item h="1" m="1" x="672"/>
        <item h="1" m="1" x="674"/>
        <item h="1" m="1" x="675"/>
        <item h="1" x="192"/>
        <item h="1" x="221"/>
        <item h="1" x="213"/>
        <item h="1" m="1" x="676"/>
        <item h="1" m="1" x="677"/>
        <item h="1" m="1" x="678"/>
        <item h="1" m="1" x="681"/>
        <item h="1" x="316"/>
        <item h="1" x="324"/>
        <item h="1" m="1" x="683"/>
        <item h="1" m="1" x="685"/>
        <item h="1" m="1" x="687"/>
        <item h="1" m="1" x="688"/>
        <item h="1" m="1" x="689"/>
        <item h="1" m="1" x="693"/>
        <item h="1" m="1" x="695"/>
        <item h="1" m="1" x="696"/>
        <item h="1" m="1" x="697"/>
        <item h="1" m="1" x="698"/>
        <item h="1" m="1" x="700"/>
        <item h="1" m="1" x="702"/>
        <item h="1" m="1" x="704"/>
        <item h="1" x="210"/>
        <item h="1" m="1" x="706"/>
        <item h="1" x="266"/>
        <item h="1" m="1" x="707"/>
        <item h="1" m="1" x="709"/>
        <item h="1" m="1" x="710"/>
        <item h="1" m="1" x="711"/>
        <item h="1" m="1" x="713"/>
        <item h="1" x="300"/>
        <item h="1" x="298"/>
        <item h="1" x="297"/>
        <item h="1" x="299"/>
        <item h="1" x="314"/>
        <item h="1" x="328"/>
        <item h="1" x="191"/>
        <item h="1" x="194"/>
        <item h="1" x="195"/>
        <item h="1" x="198"/>
        <item h="1" x="203"/>
        <item h="1" x="204"/>
        <item h="1" x="205"/>
        <item h="1" x="217"/>
        <item h="1" x="218"/>
        <item h="1" x="224"/>
        <item h="1" x="227"/>
        <item h="1" x="228"/>
        <item h="1" x="229"/>
        <item h="1" x="240"/>
        <item h="1" x="244"/>
        <item h="1" x="251"/>
        <item h="1" x="258"/>
        <item h="1" x="262"/>
        <item h="1" x="263"/>
        <item h="1" x="264"/>
        <item h="1" x="270"/>
        <item h="1" x="283"/>
        <item h="1" x="284"/>
        <item h="1" x="285"/>
        <item h="1" x="294"/>
        <item h="1" x="303"/>
        <item h="1" x="306"/>
        <item h="1" x="309"/>
        <item h="1" x="310"/>
        <item h="1" x="311"/>
        <item h="1" x="312"/>
        <item h="1" x="315"/>
        <item h="1" x="323"/>
        <item h="1" x="327"/>
        <item h="1" x="330"/>
        <item h="1" x="331"/>
        <item h="1" x="347"/>
        <item h="1" x="348"/>
        <item h="1" x="349"/>
        <item h="1" x="351"/>
        <item h="1" x="355"/>
        <item h="1" x="356"/>
        <item h="1" x="357"/>
        <item h="1" x="358"/>
        <item h="1" x="360"/>
        <item h="1" x="361"/>
        <item h="1" x="362"/>
        <item h="1" x="363"/>
        <item h="1" x="364"/>
        <item h="1" x="365"/>
        <item h="1" x="366"/>
        <item h="1" x="367"/>
        <item h="1" x="369"/>
        <item h="1" x="372"/>
        <item h="1" x="374"/>
        <item h="1" x="375"/>
        <item h="1" x="377"/>
        <item h="1" x="378"/>
        <item h="1" x="379"/>
        <item h="1" x="380"/>
        <item h="1" x="381"/>
        <item h="1" x="382"/>
        <item h="1" x="384"/>
        <item h="1" x="385"/>
        <item h="1" x="386"/>
        <item h="1" x="388"/>
        <item h="1" x="391"/>
        <item h="1" x="392"/>
        <item h="1" x="393"/>
        <item h="1" x="394"/>
        <item h="1" x="395"/>
        <item h="1" x="396"/>
        <item h="1" x="397"/>
        <item h="1" x="398"/>
        <item h="1" x="399"/>
        <item h="1" x="400"/>
        <item h="1" x="401"/>
        <item h="1" x="402"/>
        <item h="1" x="403"/>
        <item h="1" x="404"/>
        <item h="1" x="405"/>
        <item h="1" x="406"/>
        <item h="1" x="407"/>
        <item h="1" x="408"/>
        <item h="1" x="409"/>
        <item h="1" x="413"/>
        <item h="1" x="414"/>
        <item h="1" x="417"/>
        <item h="1" x="418"/>
        <item h="1" x="419"/>
        <item h="1" x="420"/>
        <item h="1" x="421"/>
        <item h="1" x="422"/>
        <item h="1" x="423"/>
        <item h="1" x="425"/>
        <item h="1" x="426"/>
        <item h="1" x="427"/>
        <item h="1" x="428"/>
        <item h="1" x="429"/>
        <item h="1" x="430"/>
        <item h="1" x="431"/>
        <item h="1" x="432"/>
        <item h="1" x="433"/>
        <item h="1" x="434"/>
        <item h="1" x="435"/>
        <item h="1" x="437"/>
        <item h="1" x="438"/>
        <item h="1" x="440"/>
        <item h="1" x="441"/>
        <item h="1" x="443"/>
        <item h="1" x="445"/>
        <item h="1" x="44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axis="axisRow" showAll="0">
      <items count="15">
        <item sd="0" x="1"/>
        <item sd="0" x="2"/>
        <item sd="0" x="3"/>
        <item sd="0" x="4"/>
        <item sd="0" x="5"/>
        <item sd="0" x="6"/>
        <item sd="0" x="0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Row" showAll="0">
      <items count="4">
        <item x="1"/>
        <item x="0"/>
        <item x="2"/>
        <item t="default"/>
      </items>
    </pivotField>
  </pivotFields>
  <rowFields count="3">
    <field x="47"/>
    <field x="45"/>
    <field x="3"/>
  </rowFields>
  <rowItems count="6">
    <i>
      <x/>
    </i>
    <i r="1">
      <x v="5"/>
    </i>
    <i r="1">
      <x v="7"/>
    </i>
    <i>
      <x v="1"/>
    </i>
    <i r="1">
      <x v="6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/>
  </dataFields>
  <formats count="106">
    <format dxfId="854">
      <pivotArea type="all" dataOnly="0" outline="0" fieldPosition="0"/>
    </format>
    <format dxfId="853">
      <pivotArea outline="0" collapsedLevelsAreSubtotals="1" fieldPosition="0"/>
    </format>
    <format dxfId="852">
      <pivotArea field="27" type="button" dataOnly="0" labelOnly="1" outline="0" axis="axisPage" fieldPosition="0"/>
    </format>
    <format dxfId="851">
      <pivotArea outline="0" collapsedLevelsAreSubtotals="1" fieldPosition="0"/>
    </format>
    <format dxfId="850">
      <pivotArea dataOnly="0" labelOnly="1" grandRow="1" outline="0" fieldPosition="0"/>
    </format>
    <format dxfId="849">
      <pivotArea type="all" dataOnly="0" outline="0" fieldPosition="0"/>
    </format>
    <format dxfId="848">
      <pivotArea outline="0" collapsedLevelsAreSubtotals="1" fieldPosition="0"/>
    </format>
    <format dxfId="847">
      <pivotArea dataOnly="0" labelOnly="1" grandRow="1" outline="0" fieldPosition="0"/>
    </format>
    <format dxfId="846">
      <pivotArea dataOnly="0" labelOnly="1" outline="0" axis="axisValues" fieldPosition="0"/>
    </format>
    <format dxfId="845">
      <pivotArea type="all" dataOnly="0" outline="0" fieldPosition="0"/>
    </format>
    <format dxfId="844">
      <pivotArea outline="0" collapsedLevelsAreSubtotals="1" fieldPosition="0"/>
    </format>
    <format dxfId="843">
      <pivotArea dataOnly="0" labelOnly="1" grandRow="1" outline="0" fieldPosition="0"/>
    </format>
    <format dxfId="842">
      <pivotArea dataOnly="0" labelOnly="1" outline="0" axis="axisValues" fieldPosition="0"/>
    </format>
    <format dxfId="841">
      <pivotArea grandRow="1" outline="0" collapsedLevelsAreSubtotals="1" fieldPosition="0"/>
    </format>
    <format dxfId="840">
      <pivotArea type="all" dataOnly="0" outline="0" fieldPosition="0"/>
    </format>
    <format dxfId="839">
      <pivotArea outline="0" collapsedLevelsAreSubtotals="1" fieldPosition="0"/>
    </format>
    <format dxfId="838">
      <pivotArea dataOnly="0" labelOnly="1" grandRow="1" outline="0" fieldPosition="0"/>
    </format>
    <format dxfId="837">
      <pivotArea dataOnly="0" labelOnly="1" outline="0" axis="axisValues" fieldPosition="0"/>
    </format>
    <format dxfId="836">
      <pivotArea type="all" dataOnly="0" outline="0" fieldPosition="0"/>
    </format>
    <format dxfId="835">
      <pivotArea outline="0" collapsedLevelsAreSubtotals="1" fieldPosition="0"/>
    </format>
    <format dxfId="834">
      <pivotArea dataOnly="0" labelOnly="1" grandRow="1" outline="0" fieldPosition="0"/>
    </format>
    <format dxfId="833">
      <pivotArea dataOnly="0" labelOnly="1" outline="0" axis="axisValues" fieldPosition="0"/>
    </format>
    <format dxfId="832">
      <pivotArea type="all" dataOnly="0" outline="0" fieldPosition="0"/>
    </format>
    <format dxfId="831">
      <pivotArea type="all" dataOnly="0" outline="0" fieldPosition="0"/>
    </format>
    <format dxfId="830">
      <pivotArea type="all" dataOnly="0" outline="0" fieldPosition="0"/>
    </format>
    <format>
      <pivotArea type="all" dataOnly="0" outline="0" fieldPosition="0"/>
    </format>
    <format dxfId="829">
      <pivotArea type="all" dataOnly="0" outline="0" fieldPosition="0"/>
    </format>
    <format>
      <pivotArea type="all" dataOnly="0" outline="0" fieldPosition="0"/>
    </format>
    <format dxfId="828">
      <pivotArea grandRow="1" outline="0" collapsedLevelsAreSubtotals="1" fieldPosition="0"/>
    </format>
    <format>
      <pivotArea type="all" dataOnly="0" outline="0" fieldPosition="0"/>
    </format>
    <format dxfId="827">
      <pivotArea type="all" dataOnly="0" outline="0" fieldPosition="0"/>
    </format>
    <format dxfId="826">
      <pivotArea outline="0" collapsedLevelsAreSubtotals="1" fieldPosition="0"/>
    </format>
    <format>
      <pivotArea type="all" dataOnly="0" outline="0" fieldPosition="0"/>
    </format>
    <format>
      <pivotArea outline="0" collapsedLevelsAreSubtotals="1" fieldPosition="0"/>
    </format>
    <format dxfId="825">
      <pivotArea outline="0" collapsedLevelsAreSubtotals="1" fieldPosition="0"/>
    </format>
    <format dxfId="824">
      <pivotArea type="all" dataOnly="0" outline="0" fieldPosition="0"/>
    </format>
    <format dxfId="823">
      <pivotArea outline="0" collapsedLevelsAreSubtotals="1" fieldPosition="0"/>
    </format>
    <format dxfId="822">
      <pivotArea dataOnly="0" labelOnly="1" grandRow="1" outline="0" fieldPosition="0"/>
    </format>
    <format dxfId="821">
      <pivotArea dataOnly="0" labelOnly="1" outline="0" axis="axisValues" fieldPosition="0"/>
    </format>
    <format dxfId="820">
      <pivotArea type="all" dataOnly="0" outline="0" fieldPosition="0"/>
    </format>
    <format dxfId="819">
      <pivotArea outline="0" collapsedLevelsAreSubtotals="1" fieldPosition="0"/>
    </format>
    <format dxfId="818">
      <pivotArea dataOnly="0" labelOnly="1" outline="0" axis="axisValues" fieldPosition="0"/>
    </format>
    <format dxfId="817">
      <pivotArea dataOnly="0" labelOnly="1" grandRow="1" outline="0" fieldPosition="0"/>
    </format>
    <format dxfId="816">
      <pivotArea type="all" dataOnly="0" outline="0" fieldPosition="0"/>
    </format>
    <format dxfId="815">
      <pivotArea outline="0" collapsedLevelsAreSubtotals="1" fieldPosition="0"/>
    </format>
    <format dxfId="814">
      <pivotArea field="47" type="button" dataOnly="0" labelOnly="1" outline="0" axis="axisRow" fieldPosition="0"/>
    </format>
    <format dxfId="813">
      <pivotArea dataOnly="0" labelOnly="1" grandRow="1" outline="0" fieldPosition="0"/>
    </format>
    <format dxfId="812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 dxfId="811">
      <pivotArea outline="0" collapsedLevelsAreSubtotals="1" fieldPosition="0"/>
    </format>
    <format dxfId="810">
      <pivotArea dataOnly="0" labelOnly="1" outline="0" axis="axisValues" fieldPosition="0"/>
    </format>
    <format>
      <pivotArea type="all" dataOnly="0" outline="0" fieldPosition="0"/>
    </format>
    <format dxfId="809">
      <pivotArea field="27" type="button" dataOnly="0" labelOnly="1" outline="0" axis="axisPage" fieldPosition="0"/>
    </format>
    <format dxfId="808">
      <pivotArea field="47" type="button" dataOnly="0" labelOnly="1" outline="0" axis="axisRow" fieldPosition="0"/>
    </format>
    <format dxfId="807">
      <pivotArea dataOnly="0" labelOnly="1" fieldPosition="0">
        <references count="1">
          <reference field="47" count="1">
            <x v="0"/>
          </reference>
        </references>
      </pivotArea>
    </format>
    <format dxfId="806">
      <pivotArea dataOnly="0" labelOnly="1" grandRow="1" outline="0" fieldPosition="0"/>
    </format>
    <format dxfId="805">
      <pivotArea dataOnly="0" labelOnly="1" fieldPosition="0">
        <references count="2">
          <reference field="45" count="2">
            <x v="2"/>
            <x v="3"/>
          </reference>
          <reference field="47" count="1" selected="0">
            <x v="0"/>
          </reference>
        </references>
      </pivotArea>
    </format>
    <format dxfId="804">
      <pivotArea field="47" type="button" dataOnly="0" labelOnly="1" outline="0" axis="axisRow" fieldPosition="0"/>
    </format>
    <format dxfId="803">
      <pivotArea dataOnly="0" labelOnly="1" outline="0" axis="axisValues" fieldPosition="0"/>
    </format>
    <format dxfId="802">
      <pivotArea field="47" type="button" dataOnly="0" labelOnly="1" outline="0" axis="axisRow" fieldPosition="0"/>
    </format>
    <format dxfId="801">
      <pivotArea dataOnly="0" labelOnly="1" outline="0" axis="axisValues" fieldPosition="0"/>
    </format>
    <format dxfId="800">
      <pivotArea field="47" type="button" dataOnly="0" labelOnly="1" outline="0" axis="axisRow" fieldPosition="0"/>
    </format>
    <format dxfId="799">
      <pivotArea dataOnly="0" labelOnly="1" outline="0" axis="axisValues" fieldPosition="0"/>
    </format>
    <format dxfId="798">
      <pivotArea collapsedLevelsAreSubtotals="1" fieldPosition="0">
        <references count="1">
          <reference field="47" count="1">
            <x v="0"/>
          </reference>
        </references>
      </pivotArea>
    </format>
    <format dxfId="797">
      <pivotArea dataOnly="0" labelOnly="1" fieldPosition="0">
        <references count="1">
          <reference field="47" count="1">
            <x v="0"/>
          </reference>
        </references>
      </pivotArea>
    </format>
    <format dxfId="796">
      <pivotArea collapsedLevelsAreSubtotals="1" fieldPosition="0">
        <references count="1">
          <reference field="47" count="1">
            <x v="0"/>
          </reference>
        </references>
      </pivotArea>
    </format>
    <format dxfId="795">
      <pivotArea dataOnly="0" labelOnly="1" fieldPosition="0">
        <references count="1">
          <reference field="47" count="1">
            <x v="0"/>
          </reference>
        </references>
      </pivotArea>
    </format>
    <format dxfId="794">
      <pivotArea collapsedLevelsAreSubtotals="1" fieldPosition="0">
        <references count="2">
          <reference field="45" count="1">
            <x v="3"/>
          </reference>
          <reference field="47" count="1" selected="0">
            <x v="0"/>
          </reference>
        </references>
      </pivotArea>
    </format>
    <format dxfId="793">
      <pivotArea dataOnly="0" labelOnly="1" fieldPosition="0">
        <references count="2">
          <reference field="45" count="1">
            <x v="3"/>
          </reference>
          <reference field="47" count="1" selected="0">
            <x v="0"/>
          </reference>
        </references>
      </pivotArea>
    </format>
    <format dxfId="792">
      <pivotArea collapsedLevelsAreSubtotals="1" fieldPosition="0">
        <references count="2">
          <reference field="45" count="1">
            <x v="3"/>
          </reference>
          <reference field="47" count="1" selected="0">
            <x v="0"/>
          </reference>
        </references>
      </pivotArea>
    </format>
    <format dxfId="791">
      <pivotArea dataOnly="0" labelOnly="1" fieldPosition="0">
        <references count="2">
          <reference field="45" count="1">
            <x v="3"/>
          </reference>
          <reference field="47" count="1" selected="0">
            <x v="0"/>
          </reference>
        </references>
      </pivotArea>
    </format>
    <format dxfId="790">
      <pivotArea collapsedLevelsAreSubtotals="1" fieldPosition="0">
        <references count="2">
          <reference field="45" count="1">
            <x v="4"/>
          </reference>
          <reference field="47" count="1" selected="0">
            <x v="0"/>
          </reference>
        </references>
      </pivotArea>
    </format>
    <format dxfId="789">
      <pivotArea dataOnly="0" labelOnly="1" fieldPosition="0">
        <references count="2">
          <reference field="45" count="1">
            <x v="4"/>
          </reference>
          <reference field="47" count="1" selected="0">
            <x v="0"/>
          </reference>
        </references>
      </pivotArea>
    </format>
    <format dxfId="788">
      <pivotArea collapsedLevelsAreSubtotals="1" fieldPosition="0">
        <references count="2">
          <reference field="45" count="1">
            <x v="4"/>
          </reference>
          <reference field="47" count="1" selected="0">
            <x v="0"/>
          </reference>
        </references>
      </pivotArea>
    </format>
    <format dxfId="787">
      <pivotArea dataOnly="0" labelOnly="1" fieldPosition="0">
        <references count="2">
          <reference field="45" count="1">
            <x v="4"/>
          </reference>
          <reference field="47" count="1" selected="0">
            <x v="0"/>
          </reference>
        </references>
      </pivotArea>
    </format>
    <format dxfId="786">
      <pivotArea grandRow="1" outline="0" collapsedLevelsAreSubtotals="1" fieldPosition="0"/>
    </format>
    <format dxfId="785">
      <pivotArea dataOnly="0" labelOnly="1" grandRow="1" outline="0" fieldPosition="0"/>
    </format>
    <format dxfId="784">
      <pivotArea grandRow="1" outline="0" collapsedLevelsAreSubtotals="1" fieldPosition="0"/>
    </format>
    <format dxfId="783">
      <pivotArea dataOnly="0" labelOnly="1" grandRow="1" outline="0" fieldPosition="0"/>
    </format>
    <format dxfId="782">
      <pivotArea grandRow="1" outline="0" collapsedLevelsAreSubtotals="1" fieldPosition="0"/>
    </format>
    <format dxfId="781">
      <pivotArea dataOnly="0" labelOnly="1" grandRow="1" outline="0" fieldPosition="0"/>
    </format>
    <format>
      <pivotArea type="all" dataOnly="0" outline="0" fieldPosition="0"/>
    </format>
    <format>
      <pivotArea field="47" type="button" dataOnly="0" labelOnly="1" outline="0" axis="axisRow" fieldPosition="0"/>
    </format>
    <format>
      <pivotArea dataOnly="0" labelOnly="1" fieldPosition="0">
        <references count="1">
          <reference field="47" count="1">
            <x v="0"/>
          </reference>
        </references>
      </pivotArea>
    </format>
    <format>
      <pivotArea dataOnly="0" labelOnly="1" grandRow="1" outline="0" fieldPosition="0"/>
    </format>
    <format>
      <pivotArea dataOnly="0" labelOnly="1" outline="0" axis="axisValues" fieldPosition="0"/>
    </format>
    <format dxfId="780">
      <pivotArea field="47" type="button" dataOnly="0" labelOnly="1" outline="0" axis="axisRow" fieldPosition="0"/>
    </format>
    <format dxfId="779">
      <pivotArea dataOnly="0" labelOnly="1" outline="0" axis="axisValues" fieldPosition="0"/>
    </format>
    <format dxfId="778">
      <pivotArea field="47" type="button" dataOnly="0" labelOnly="1" outline="0" axis="axisRow" fieldPosition="0"/>
    </format>
    <format dxfId="777">
      <pivotArea dataOnly="0" labelOnly="1" outline="0" axis="axisValues" fieldPosition="0"/>
    </format>
    <format dxfId="776">
      <pivotArea field="47" type="button" dataOnly="0" labelOnly="1" outline="0" axis="axisRow" fieldPosition="0"/>
    </format>
    <format dxfId="775">
      <pivotArea dataOnly="0" labelOnly="1" outline="0" axis="axisValues" fieldPosition="0"/>
    </format>
    <format dxfId="774">
      <pivotArea grandRow="1" outline="0" collapsedLevelsAreSubtotals="1" fieldPosition="0"/>
    </format>
    <format dxfId="773">
      <pivotArea dataOnly="0" labelOnly="1" grandRow="1" outline="0" fieldPosition="0"/>
    </format>
    <format dxfId="772">
      <pivotArea grandRow="1" outline="0" collapsedLevelsAreSubtotals="1" fieldPosition="0"/>
    </format>
    <format dxfId="771">
      <pivotArea dataOnly="0" labelOnly="1" grandRow="1" outline="0" fieldPosition="0"/>
    </format>
    <format dxfId="770">
      <pivotArea grandRow="1" outline="0" collapsedLevelsAreSubtotals="1" fieldPosition="0"/>
    </format>
    <format dxfId="769">
      <pivotArea dataOnly="0" labelOnly="1" grandRow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47" type="button" dataOnly="0" labelOnly="1" outline="0" axis="axisRow" fieldPosition="0"/>
    </format>
    <format>
      <pivotArea dataOnly="0" labelOnly="1" fieldPosition="0">
        <references count="1">
          <reference field="47" count="1">
            <x v="0"/>
          </reference>
        </references>
      </pivotArea>
    </format>
    <format>
      <pivotArea dataOnly="0" labelOnly="1" grandRow="1" outline="0" fieldPosition="0"/>
    </format>
    <format>
      <pivotArea dataOnly="0" labelOnly="1" fieldPosition="0">
        <references count="2">
          <reference field="45" count="2">
            <x v="3"/>
            <x v="4"/>
          </reference>
          <reference field="47" count="1" selected="0">
            <x v="0"/>
          </reference>
        </references>
      </pivotArea>
    </format>
    <format>
      <pivotArea dataOnly="0" labelOnly="1" outline="0" axis="axisValues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7000000}" name="Ofensores_OBT_Produto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60">
  <location ref="A19:F29" firstHeaderRow="1" firstDataRow="2" firstDataCol="1"/>
  <pivotFields count="45">
    <pivotField showAll="0"/>
    <pivotField showAll="0"/>
    <pivotField showAll="0"/>
    <pivotField showAll="0">
      <items count="516">
        <item x="514"/>
        <item x="0"/>
        <item x="1"/>
        <item x="2"/>
        <item x="3"/>
        <item x="4"/>
        <item x="5"/>
        <item x="8"/>
        <item x="9"/>
        <item x="6"/>
        <item x="21"/>
        <item x="12"/>
        <item x="10"/>
        <item x="7"/>
        <item x="15"/>
        <item x="16"/>
        <item x="13"/>
        <item x="37"/>
        <item x="14"/>
        <item x="17"/>
        <item x="11"/>
        <item x="32"/>
        <item x="26"/>
        <item x="27"/>
        <item x="36"/>
        <item x="33"/>
        <item x="18"/>
        <item x="20"/>
        <item x="19"/>
        <item x="47"/>
        <item x="38"/>
        <item x="48"/>
        <item x="45"/>
        <item x="28"/>
        <item x="41"/>
        <item x="46"/>
        <item x="25"/>
        <item x="34"/>
        <item x="22"/>
        <item x="23"/>
        <item x="24"/>
        <item x="39"/>
        <item x="43"/>
        <item x="64"/>
        <item x="77"/>
        <item x="79"/>
        <item x="40"/>
        <item x="42"/>
        <item x="84"/>
        <item x="83"/>
        <item x="35"/>
        <item x="91"/>
        <item x="52"/>
        <item x="73"/>
        <item x="76"/>
        <item x="74"/>
        <item x="78"/>
        <item x="87"/>
        <item x="51"/>
        <item x="54"/>
        <item x="57"/>
        <item x="58"/>
        <item x="90"/>
        <item x="55"/>
        <item x="59"/>
        <item x="60"/>
        <item x="61"/>
        <item x="82"/>
        <item x="100"/>
        <item x="63"/>
        <item x="67"/>
        <item x="68"/>
        <item x="69"/>
        <item x="81"/>
        <item x="88"/>
        <item x="97"/>
        <item x="75"/>
        <item x="96"/>
        <item x="102"/>
        <item x="49"/>
        <item x="53"/>
        <item x="66"/>
        <item x="71"/>
        <item x="80"/>
        <item x="85"/>
        <item x="92"/>
        <item x="93"/>
        <item x="95"/>
        <item x="98"/>
        <item x="99"/>
        <item x="50"/>
        <item x="62"/>
        <item x="72"/>
        <item x="70"/>
        <item x="86"/>
        <item x="107"/>
        <item x="101"/>
        <item x="56"/>
        <item x="181"/>
        <item x="180"/>
        <item x="189"/>
        <item x="89"/>
        <item x="206"/>
        <item x="103"/>
        <item x="105"/>
        <item x="104"/>
        <item x="109"/>
        <item x="108"/>
        <item x="110"/>
        <item x="120"/>
        <item x="121"/>
        <item x="122"/>
        <item x="129"/>
        <item x="127"/>
        <item x="128"/>
        <item x="147"/>
        <item x="167"/>
        <item x="191"/>
        <item x="204"/>
        <item x="205"/>
        <item x="208"/>
        <item x="44"/>
        <item x="65"/>
        <item x="115"/>
        <item x="126"/>
        <item x="112"/>
        <item x="175"/>
        <item x="196"/>
        <item x="195"/>
        <item x="207"/>
        <item x="111"/>
        <item x="162"/>
        <item x="163"/>
        <item x="164"/>
        <item x="165"/>
        <item x="198"/>
        <item x="209"/>
        <item x="193"/>
        <item x="113"/>
        <item x="114"/>
        <item x="130"/>
        <item x="131"/>
        <item x="148"/>
        <item x="160"/>
        <item x="143"/>
        <item x="144"/>
        <item x="159"/>
        <item x="125"/>
        <item x="166"/>
        <item x="161"/>
        <item x="171"/>
        <item x="170"/>
        <item x="173"/>
        <item x="182"/>
        <item x="184"/>
        <item x="185"/>
        <item x="186"/>
        <item x="187"/>
        <item x="123"/>
        <item x="137"/>
        <item x="117"/>
        <item x="106"/>
        <item x="116"/>
        <item x="119"/>
        <item x="124"/>
        <item x="145"/>
        <item x="146"/>
        <item x="158"/>
        <item x="157"/>
        <item x="138"/>
        <item x="139"/>
        <item x="140"/>
        <item x="141"/>
        <item x="142"/>
        <item x="133"/>
        <item x="134"/>
        <item x="135"/>
        <item x="136"/>
        <item x="132"/>
        <item x="151"/>
        <item x="149"/>
        <item x="150"/>
        <item x="169"/>
        <item x="168"/>
        <item x="172"/>
        <item x="174"/>
        <item x="178"/>
        <item x="179"/>
        <item x="188"/>
        <item x="194"/>
        <item x="201"/>
        <item x="202"/>
        <item x="199"/>
        <item x="200"/>
        <item x="197"/>
        <item x="210"/>
        <item x="211"/>
        <item x="190"/>
        <item x="226"/>
        <item x="233"/>
        <item x="118"/>
        <item x="250"/>
        <item x="260"/>
        <item x="152"/>
        <item x="153"/>
        <item x="154"/>
        <item x="155"/>
        <item x="156"/>
        <item x="183"/>
        <item x="374"/>
        <item x="390"/>
        <item x="388"/>
        <item x="278"/>
        <item x="284"/>
        <item x="286"/>
        <item x="290"/>
        <item x="291"/>
        <item x="263"/>
        <item x="274"/>
        <item x="315"/>
        <item x="316"/>
        <item x="363"/>
        <item x="372"/>
        <item x="176"/>
        <item x="177"/>
        <item x="213"/>
        <item x="385"/>
        <item x="243"/>
        <item x="399"/>
        <item x="400"/>
        <item x="293"/>
        <item x="294"/>
        <item x="299"/>
        <item x="304"/>
        <item x="311"/>
        <item x="317"/>
        <item x="318"/>
        <item x="331"/>
        <item x="330"/>
        <item x="192"/>
        <item x="380"/>
        <item x="386"/>
        <item x="393"/>
        <item x="401"/>
        <item x="398"/>
        <item x="222"/>
        <item x="262"/>
        <item x="268"/>
        <item x="289"/>
        <item x="303"/>
        <item x="309"/>
        <item x="345"/>
        <item x="212"/>
        <item x="220"/>
        <item x="223"/>
        <item x="373"/>
        <item x="241"/>
        <item x="242"/>
        <item x="261"/>
        <item x="247"/>
        <item x="264"/>
        <item x="265"/>
        <item x="267"/>
        <item x="246"/>
        <item x="270"/>
        <item x="283"/>
        <item x="287"/>
        <item x="302"/>
        <item x="307"/>
        <item x="312"/>
        <item x="310"/>
        <item x="319"/>
        <item x="320"/>
        <item x="321"/>
        <item x="335"/>
        <item x="328"/>
        <item x="329"/>
        <item x="332"/>
        <item x="327"/>
        <item x="349"/>
        <item x="366"/>
        <item x="371"/>
        <item x="381"/>
        <item x="387"/>
        <item x="391"/>
        <item x="392"/>
        <item x="394"/>
        <item x="395"/>
        <item x="29"/>
        <item x="30"/>
        <item x="31"/>
        <item x="94"/>
        <item x="383"/>
        <item x="259"/>
        <item x="266"/>
        <item x="276"/>
        <item x="281"/>
        <item x="288"/>
        <item x="301"/>
        <item x="305"/>
        <item x="314"/>
        <item x="313"/>
        <item x="326"/>
        <item x="353"/>
        <item x="348"/>
        <item x="375"/>
        <item x="376"/>
        <item x="378"/>
        <item x="379"/>
        <item x="203"/>
        <item x="402"/>
        <item x="215"/>
        <item x="219"/>
        <item x="248"/>
        <item x="249"/>
        <item x="239"/>
        <item x="240"/>
        <item x="238"/>
        <item x="251"/>
        <item x="252"/>
        <item x="369"/>
        <item x="370"/>
        <item x="282"/>
        <item x="295"/>
        <item x="236"/>
        <item x="306"/>
        <item x="300"/>
        <item x="342"/>
        <item x="340"/>
        <item x="339"/>
        <item x="341"/>
        <item x="367"/>
        <item x="384"/>
        <item x="389"/>
        <item x="397"/>
        <item x="214"/>
        <item x="216"/>
        <item x="217"/>
        <item x="218"/>
        <item x="221"/>
        <item x="224"/>
        <item x="225"/>
        <item x="227"/>
        <item x="228"/>
        <item x="229"/>
        <item x="230"/>
        <item x="231"/>
        <item x="232"/>
        <item x="234"/>
        <item x="235"/>
        <item x="237"/>
        <item x="244"/>
        <item x="245"/>
        <item x="253"/>
        <item x="254"/>
        <item x="255"/>
        <item x="256"/>
        <item x="257"/>
        <item x="258"/>
        <item x="269"/>
        <item x="271"/>
        <item x="272"/>
        <item x="273"/>
        <item x="275"/>
        <item x="277"/>
        <item x="279"/>
        <item x="280"/>
        <item x="285"/>
        <item x="292"/>
        <item x="296"/>
        <item x="297"/>
        <item x="298"/>
        <item x="308"/>
        <item x="322"/>
        <item x="323"/>
        <item x="324"/>
        <item x="325"/>
        <item x="333"/>
        <item x="334"/>
        <item x="336"/>
        <item x="337"/>
        <item x="338"/>
        <item x="343"/>
        <item x="344"/>
        <item x="346"/>
        <item x="347"/>
        <item x="350"/>
        <item x="351"/>
        <item x="352"/>
        <item x="354"/>
        <item x="355"/>
        <item x="356"/>
        <item x="357"/>
        <item x="358"/>
        <item x="359"/>
        <item x="360"/>
        <item x="361"/>
        <item x="362"/>
        <item x="364"/>
        <item x="365"/>
        <item x="368"/>
        <item x="377"/>
        <item x="382"/>
        <item x="396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1">
        <item x="0"/>
        <item x="3"/>
        <item x="4"/>
        <item x="5"/>
        <item x="2"/>
        <item x="1"/>
        <item x="7"/>
        <item h="1" x="8"/>
        <item h="1" m="1" x="9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6"/>
  </rowFields>
  <rowItems count="9">
    <i>
      <x/>
    </i>
    <i>
      <x v="5"/>
    </i>
    <i>
      <x v="1"/>
    </i>
    <i>
      <x v="4"/>
    </i>
    <i>
      <x v="3"/>
    </i>
    <i>
      <x v="2"/>
    </i>
    <i>
      <x v="6"/>
    </i>
    <i>
      <x v="9"/>
    </i>
    <i t="grand">
      <x/>
    </i>
  </rowItems>
  <colFields count="1">
    <field x="18"/>
  </colFields>
  <colItems count="5">
    <i>
      <x/>
    </i>
    <i>
      <x v="1"/>
    </i>
    <i>
      <x v="2"/>
    </i>
    <i>
      <x v="3"/>
    </i>
    <i t="grand">
      <x/>
    </i>
  </colItems>
  <dataFields count="1">
    <dataField name="Contagem de Serviço" fld="18" subtotal="count" baseField="0" baseItem="0"/>
  </dataFields>
  <formats count="114">
    <format dxfId="948">
      <pivotArea grandRow="1" grandCol="1" outline="0" collapsedLevelsAreSubtotals="1" fieldPosition="0"/>
    </format>
    <format dxfId="947">
      <pivotArea type="all" dataOnly="0" outline="0" fieldPosition="0"/>
    </format>
    <format dxfId="946">
      <pivotArea outline="0" collapsedLevelsAreSubtotals="1" fieldPosition="0"/>
    </format>
    <format dxfId="945">
      <pivotArea field="18" type="button" dataOnly="0" labelOnly="1" outline="0" axis="axisCol" fieldPosition="0"/>
    </format>
    <format dxfId="944">
      <pivotArea type="topRight" dataOnly="0" labelOnly="1" outline="0" fieldPosition="0"/>
    </format>
    <format dxfId="943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942">
      <pivotArea dataOnly="0" labelOnly="1" grandCol="1" outline="0" fieldPosition="0"/>
    </format>
    <format dxfId="941">
      <pivotArea type="origin" dataOnly="0" labelOnly="1" outline="0" fieldPosition="0"/>
    </format>
    <format dxfId="940">
      <pivotArea field="36" type="button" dataOnly="0" labelOnly="1" outline="0" axis="axisRow" fieldPosition="0"/>
    </format>
    <format dxfId="939">
      <pivotArea dataOnly="0" labelOnly="1" fieldPosition="0">
        <references count="1">
          <reference field="36" count="0"/>
        </references>
      </pivotArea>
    </format>
    <format dxfId="938">
      <pivotArea dataOnly="0" labelOnly="1" grandRow="1" outline="0" fieldPosition="0"/>
    </format>
    <format dxfId="937">
      <pivotArea type="all" dataOnly="0" outline="0" fieldPosition="0"/>
    </format>
    <format dxfId="936">
      <pivotArea outline="0" collapsedLevelsAreSubtotals="1" fieldPosition="0"/>
    </format>
    <format dxfId="935">
      <pivotArea type="origin" dataOnly="0" labelOnly="1" outline="0" fieldPosition="0"/>
    </format>
    <format dxfId="934">
      <pivotArea field="18" type="button" dataOnly="0" labelOnly="1" outline="0" axis="axisCol" fieldPosition="0"/>
    </format>
    <format dxfId="933">
      <pivotArea type="topRight" dataOnly="0" labelOnly="1" outline="0" fieldPosition="0"/>
    </format>
    <format dxfId="932">
      <pivotArea field="36" type="button" dataOnly="0" labelOnly="1" outline="0" axis="axisRow" fieldPosition="0"/>
    </format>
    <format dxfId="931">
      <pivotArea dataOnly="0" labelOnly="1" fieldPosition="0">
        <references count="1">
          <reference field="36" count="0"/>
        </references>
      </pivotArea>
    </format>
    <format dxfId="930">
      <pivotArea dataOnly="0" labelOnly="1" grandRow="1" outline="0" fieldPosition="0"/>
    </format>
    <format dxfId="929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928">
      <pivotArea dataOnly="0" labelOnly="1" grandCol="1" outline="0" fieldPosition="0"/>
    </format>
    <format>
      <pivotArea type="all" dataOnly="0" outline="0" fieldPosition="0"/>
    </format>
    <format>
      <pivotArea type="all" dataOnly="0" outline="0" fieldPosition="0"/>
    </format>
    <format dxfId="927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 dxfId="926">
      <pivotArea type="origin" dataOnly="0" labelOnly="1" outline="0" fieldPosition="0"/>
    </format>
    <format dxfId="925">
      <pivotArea field="36" type="button" dataOnly="0" labelOnly="1" outline="0" axis="axisRow" fieldPosition="0"/>
    </format>
    <format dxfId="924">
      <pivotArea dataOnly="0" labelOnly="1" fieldPosition="0">
        <references count="1">
          <reference field="36" count="0"/>
        </references>
      </pivotArea>
    </format>
    <format dxfId="923">
      <pivotArea dataOnly="0" labelOnly="1" grandRow="1" outline="0" fieldPosition="0"/>
    </format>
    <format dxfId="922">
      <pivotArea type="origin" dataOnly="0" labelOnly="1" outline="0" fieldPosition="0"/>
    </format>
    <format dxfId="921">
      <pivotArea field="18" type="button" dataOnly="0" labelOnly="1" outline="0" axis="axisCol" fieldPosition="0"/>
    </format>
    <format dxfId="920">
      <pivotArea type="topRight" dataOnly="0" labelOnly="1" outline="0" fieldPosition="0"/>
    </format>
    <format dxfId="919">
      <pivotArea type="origin" dataOnly="0" labelOnly="1" outline="0" fieldPosition="0"/>
    </format>
    <format dxfId="918">
      <pivotArea field="18" type="button" dataOnly="0" labelOnly="1" outline="0" axis="axisCol" fieldPosition="0"/>
    </format>
    <format dxfId="917">
      <pivotArea type="topRight" dataOnly="0" labelOnly="1" outline="0" fieldPosition="0"/>
    </format>
    <format dxfId="916">
      <pivotArea type="origin" dataOnly="0" labelOnly="1" outline="0" fieldPosition="0"/>
    </format>
    <format dxfId="915">
      <pivotArea field="18" type="button" dataOnly="0" labelOnly="1" outline="0" axis="axisCol" fieldPosition="0"/>
    </format>
    <format dxfId="914">
      <pivotArea type="topRight" dataOnly="0" labelOnly="1" outline="0" fieldPosition="0"/>
    </format>
    <format dxfId="913">
      <pivotArea field="36" type="button" dataOnly="0" labelOnly="1" outline="0" axis="axisRow" fieldPosition="0"/>
    </format>
    <format dxfId="912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911">
      <pivotArea dataOnly="0" labelOnly="1" grandCol="1" outline="0" fieldPosition="0"/>
    </format>
    <format dxfId="910">
      <pivotArea field="36" type="button" dataOnly="0" labelOnly="1" outline="0" axis="axisRow" fieldPosition="0"/>
    </format>
    <format dxfId="909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908">
      <pivotArea dataOnly="0" labelOnly="1" grandCol="1" outline="0" fieldPosition="0"/>
    </format>
    <format dxfId="907">
      <pivotArea collapsedLevelsAreSubtotals="1" fieldPosition="0">
        <references count="1">
          <reference field="36" count="1">
            <x v="5"/>
          </reference>
        </references>
      </pivotArea>
    </format>
    <format dxfId="906">
      <pivotArea dataOnly="0" labelOnly="1" fieldPosition="0">
        <references count="1">
          <reference field="36" count="1">
            <x v="5"/>
          </reference>
        </references>
      </pivotArea>
    </format>
    <format dxfId="905">
      <pivotArea collapsedLevelsAreSubtotals="1" fieldPosition="0">
        <references count="1">
          <reference field="36" count="1">
            <x v="5"/>
          </reference>
        </references>
      </pivotArea>
    </format>
    <format dxfId="904">
      <pivotArea dataOnly="0" labelOnly="1" fieldPosition="0">
        <references count="1">
          <reference field="36" count="1">
            <x v="5"/>
          </reference>
        </references>
      </pivotArea>
    </format>
    <format dxfId="903">
      <pivotArea collapsedLevelsAreSubtotals="1" fieldPosition="0">
        <references count="1">
          <reference field="36" count="1">
            <x v="1"/>
          </reference>
        </references>
      </pivotArea>
    </format>
    <format dxfId="902">
      <pivotArea dataOnly="0" labelOnly="1" fieldPosition="0">
        <references count="1">
          <reference field="36" count="1">
            <x v="1"/>
          </reference>
        </references>
      </pivotArea>
    </format>
    <format dxfId="901">
      <pivotArea collapsedLevelsAreSubtotals="1" fieldPosition="0">
        <references count="1">
          <reference field="36" count="1">
            <x v="1"/>
          </reference>
        </references>
      </pivotArea>
    </format>
    <format dxfId="900">
      <pivotArea dataOnly="0" labelOnly="1" fieldPosition="0">
        <references count="1">
          <reference field="36" count="1">
            <x v="1"/>
          </reference>
        </references>
      </pivotArea>
    </format>
    <format dxfId="899">
      <pivotArea collapsedLevelsAreSubtotals="1" fieldPosition="0">
        <references count="1">
          <reference field="36" count="1">
            <x v="0"/>
          </reference>
        </references>
      </pivotArea>
    </format>
    <format dxfId="898">
      <pivotArea dataOnly="0" labelOnly="1" fieldPosition="0">
        <references count="1">
          <reference field="36" count="1">
            <x v="0"/>
          </reference>
        </references>
      </pivotArea>
    </format>
    <format dxfId="897">
      <pivotArea collapsedLevelsAreSubtotals="1" fieldPosition="0">
        <references count="1">
          <reference field="36" count="1">
            <x v="0"/>
          </reference>
        </references>
      </pivotArea>
    </format>
    <format dxfId="896">
      <pivotArea dataOnly="0" labelOnly="1" fieldPosition="0">
        <references count="1">
          <reference field="36" count="1">
            <x v="0"/>
          </reference>
        </references>
      </pivotArea>
    </format>
    <format dxfId="895">
      <pivotArea collapsedLevelsAreSubtotals="1" fieldPosition="0">
        <references count="1">
          <reference field="36" count="1">
            <x v="3"/>
          </reference>
        </references>
      </pivotArea>
    </format>
    <format dxfId="894">
      <pivotArea dataOnly="0" labelOnly="1" fieldPosition="0">
        <references count="1">
          <reference field="36" count="1">
            <x v="3"/>
          </reference>
        </references>
      </pivotArea>
    </format>
    <format dxfId="893">
      <pivotArea collapsedLevelsAreSubtotals="1" fieldPosition="0">
        <references count="1">
          <reference field="36" count="1">
            <x v="3"/>
          </reference>
        </references>
      </pivotArea>
    </format>
    <format dxfId="892">
      <pivotArea dataOnly="0" labelOnly="1" fieldPosition="0">
        <references count="1">
          <reference field="36" count="1">
            <x v="3"/>
          </reference>
        </references>
      </pivotArea>
    </format>
    <format dxfId="891">
      <pivotArea collapsedLevelsAreSubtotals="1" fieldPosition="0">
        <references count="1">
          <reference field="36" count="1">
            <x v="6"/>
          </reference>
        </references>
      </pivotArea>
    </format>
    <format dxfId="890">
      <pivotArea dataOnly="0" labelOnly="1" fieldPosition="0">
        <references count="1">
          <reference field="36" count="1">
            <x v="6"/>
          </reference>
        </references>
      </pivotArea>
    </format>
    <format dxfId="889">
      <pivotArea collapsedLevelsAreSubtotals="1" fieldPosition="0">
        <references count="1">
          <reference field="36" count="1">
            <x v="6"/>
          </reference>
        </references>
      </pivotArea>
    </format>
    <format dxfId="888">
      <pivotArea dataOnly="0" labelOnly="1" fieldPosition="0">
        <references count="1">
          <reference field="36" count="1">
            <x v="6"/>
          </reference>
        </references>
      </pivotArea>
    </format>
    <format dxfId="887">
      <pivotArea collapsedLevelsAreSubtotals="1" fieldPosition="0">
        <references count="1">
          <reference field="36" count="1">
            <x v="2"/>
          </reference>
        </references>
      </pivotArea>
    </format>
    <format dxfId="886">
      <pivotArea dataOnly="0" labelOnly="1" fieldPosition="0">
        <references count="1">
          <reference field="36" count="1">
            <x v="2"/>
          </reference>
        </references>
      </pivotArea>
    </format>
    <format dxfId="885">
      <pivotArea collapsedLevelsAreSubtotals="1" fieldPosition="0">
        <references count="1">
          <reference field="36" count="1">
            <x v="2"/>
          </reference>
        </references>
      </pivotArea>
    </format>
    <format dxfId="884">
      <pivotArea dataOnly="0" labelOnly="1" fieldPosition="0">
        <references count="1">
          <reference field="36" count="1">
            <x v="2"/>
          </reference>
        </references>
      </pivotArea>
    </format>
    <format dxfId="883">
      <pivotArea collapsedLevelsAreSubtotals="1" fieldPosition="0">
        <references count="1">
          <reference field="36" count="1">
            <x v="4"/>
          </reference>
        </references>
      </pivotArea>
    </format>
    <format dxfId="882">
      <pivotArea dataOnly="0" labelOnly="1" fieldPosition="0">
        <references count="1">
          <reference field="36" count="1">
            <x v="4"/>
          </reference>
        </references>
      </pivotArea>
    </format>
    <format dxfId="881">
      <pivotArea collapsedLevelsAreSubtotals="1" fieldPosition="0">
        <references count="1">
          <reference field="36" count="1">
            <x v="4"/>
          </reference>
        </references>
      </pivotArea>
    </format>
    <format dxfId="880">
      <pivotArea dataOnly="0" labelOnly="1" fieldPosition="0">
        <references count="1">
          <reference field="36" count="1">
            <x v="4"/>
          </reference>
        </references>
      </pivotArea>
    </format>
    <format dxfId="879">
      <pivotArea collapsedLevelsAreSubtotals="1" fieldPosition="0">
        <references count="1">
          <reference field="36" count="1">
            <x v="9"/>
          </reference>
        </references>
      </pivotArea>
    </format>
    <format dxfId="878">
      <pivotArea dataOnly="0" labelOnly="1" fieldPosition="0">
        <references count="1">
          <reference field="36" count="1">
            <x v="9"/>
          </reference>
        </references>
      </pivotArea>
    </format>
    <format dxfId="877">
      <pivotArea collapsedLevelsAreSubtotals="1" fieldPosition="0">
        <references count="1">
          <reference field="36" count="1">
            <x v="9"/>
          </reference>
        </references>
      </pivotArea>
    </format>
    <format dxfId="876">
      <pivotArea dataOnly="0" labelOnly="1" fieldPosition="0">
        <references count="1">
          <reference field="36" count="1">
            <x v="9"/>
          </reference>
        </references>
      </pivotArea>
    </format>
    <format dxfId="875">
      <pivotArea grandRow="1" outline="0" collapsedLevelsAreSubtotals="1" fieldPosition="0"/>
    </format>
    <format dxfId="874">
      <pivotArea dataOnly="0" labelOnly="1" grandRow="1" outline="0" fieldPosition="0"/>
    </format>
    <format dxfId="873">
      <pivotArea grandRow="1" outline="0" collapsedLevelsAreSubtotals="1" fieldPosition="0"/>
    </format>
    <format dxfId="872">
      <pivotArea dataOnly="0" labelOnly="1" grandRow="1" outline="0" fieldPosition="0"/>
    </format>
    <format dxfId="871">
      <pivotArea grandRow="1" outline="0" collapsedLevelsAreSubtotals="1" fieldPosition="0"/>
    </format>
    <format dxfId="870">
      <pivotArea dataOnly="0" labelOnly="1" grandRow="1" outline="0" fieldPosition="0"/>
    </format>
    <format>
      <pivotArea type="all" dataOnly="0" outline="0" fieldPosition="0"/>
    </format>
    <format>
      <pivotArea type="origin" dataOnly="0" labelOnly="1" outline="0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grandRow="1" outline="0" fieldPosition="0"/>
    </format>
    <format dxfId="869">
      <pivotArea type="origin" dataOnly="0" labelOnly="1" outline="0" fieldPosition="0"/>
    </format>
    <format dxfId="868">
      <pivotArea field="18" type="button" dataOnly="0" labelOnly="1" outline="0" axis="axisCol" fieldPosition="0"/>
    </format>
    <format dxfId="867">
      <pivotArea type="topRight" dataOnly="0" labelOnly="1" outline="0" fieldPosition="0"/>
    </format>
    <format dxfId="866">
      <pivotArea type="origin" dataOnly="0" labelOnly="1" outline="0" fieldPosition="0"/>
    </format>
    <format dxfId="865">
      <pivotArea field="18" type="button" dataOnly="0" labelOnly="1" outline="0" axis="axisCol" fieldPosition="0"/>
    </format>
    <format dxfId="864">
      <pivotArea type="topRight" dataOnly="0" labelOnly="1" outline="0" fieldPosition="0"/>
    </format>
    <format dxfId="863">
      <pivotArea type="origin" dataOnly="0" labelOnly="1" outline="0" fieldPosition="0"/>
    </format>
    <format dxfId="862">
      <pivotArea field="18" type="button" dataOnly="0" labelOnly="1" outline="0" axis="axisCol" fieldPosition="0"/>
    </format>
    <format dxfId="861">
      <pivotArea type="topRight" dataOnly="0" labelOnly="1" outline="0" fieldPosition="0"/>
    </format>
    <format dxfId="860">
      <pivotArea grandRow="1" outline="0" collapsedLevelsAreSubtotals="1" fieldPosition="0"/>
    </format>
    <format dxfId="859">
      <pivotArea dataOnly="0" labelOnly="1" grandRow="1" outline="0" fieldPosition="0"/>
    </format>
    <format dxfId="858">
      <pivotArea grandRow="1" outline="0" collapsedLevelsAreSubtotals="1" fieldPosition="0"/>
    </format>
    <format dxfId="857">
      <pivotArea dataOnly="0" labelOnly="1" grandRow="1" outline="0" fieldPosition="0"/>
    </format>
    <format dxfId="856">
      <pivotArea grandRow="1" outline="0" collapsedLevelsAreSubtotals="1" fieldPosition="0"/>
    </format>
    <format dxfId="855">
      <pivotArea dataOnly="0" labelOnly="1" grandRow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type="origin" dataOnly="0" labelOnly="1" outline="0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field="36" type="button" dataOnly="0" labelOnly="1" outline="0" axis="axisRow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Row="1" outline="0" fieldPosition="0"/>
    </format>
    <format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>
      <pivotArea dataOnly="0" labelOnly="1" grandCol="1" outline="0" fieldPosition="0"/>
    </format>
  </formats>
  <chartFormats count="11">
    <chartFormat chart="56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56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56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56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56" format="4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4"/>
          </reference>
        </references>
      </pivotArea>
    </chartFormat>
    <chartFormat chart="56" format="5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3"/>
          </reference>
        </references>
      </pivotArea>
    </chartFormat>
    <chartFormat chart="56" format="6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2"/>
          </reference>
        </references>
      </pivotArea>
    </chartFormat>
    <chartFormat chart="56" format="7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5"/>
          </reference>
        </references>
      </pivotArea>
    </chartFormat>
    <chartFormat chart="56" format="8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0"/>
          </reference>
        </references>
      </pivotArea>
    </chartFormat>
    <chartFormat chart="56" format="9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6"/>
          </reference>
        </references>
      </pivotArea>
    </chartFormat>
    <chartFormat chart="56" format="10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1"/>
          </reference>
        </references>
      </pivotArea>
    </chartFormat>
  </chart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6000000}" name="Casos_Novos_Responsavel_OBT" cacheId="153" applyNumberFormats="0" applyBorderFormats="0" applyFontFormats="0" applyPatternFormats="0" applyAlignmentFormats="0" applyWidthHeightFormats="1" dataCaption="Valores" grandTotalCaption="Total Geral" updatedVersion="8" minRefreshableVersion="3" itemPrintTitles="1" createdVersion="8" indent="0" compact="0" compactData="0" multipleFieldFilters="0">
  <location ref="M4:U21" firstHeaderRow="1" firstDataRow="2" firstDataCol="2"/>
  <pivotFields count="45">
    <pivotField compact="0" outline="0" subtotalTop="0" showAll="0"/>
    <pivotField compact="0" outline="0" subtotalTop="0" showAll="0"/>
    <pivotField compact="0" outline="0" subtotalTop="0" showAll="0"/>
    <pivotField compact="0" outline="0" subtotalTop="0" showAll="0">
      <items count="516">
        <item x="514"/>
        <item x="0"/>
        <item x="1"/>
        <item x="2"/>
        <item x="3"/>
        <item x="4"/>
        <item x="5"/>
        <item x="8"/>
        <item x="9"/>
        <item x="6"/>
        <item x="21"/>
        <item x="12"/>
        <item x="10"/>
        <item x="7"/>
        <item x="15"/>
        <item x="16"/>
        <item x="13"/>
        <item x="37"/>
        <item x="14"/>
        <item x="17"/>
        <item x="11"/>
        <item x="32"/>
        <item x="26"/>
        <item x="27"/>
        <item x="36"/>
        <item x="33"/>
        <item x="18"/>
        <item x="20"/>
        <item x="19"/>
        <item x="47"/>
        <item x="38"/>
        <item x="48"/>
        <item x="45"/>
        <item x="28"/>
        <item x="41"/>
        <item x="46"/>
        <item x="25"/>
        <item x="34"/>
        <item x="22"/>
        <item x="23"/>
        <item x="24"/>
        <item x="39"/>
        <item x="43"/>
        <item x="64"/>
        <item x="77"/>
        <item x="79"/>
        <item x="40"/>
        <item x="42"/>
        <item x="84"/>
        <item x="83"/>
        <item x="35"/>
        <item x="91"/>
        <item x="52"/>
        <item x="73"/>
        <item x="76"/>
        <item x="74"/>
        <item x="78"/>
        <item x="87"/>
        <item x="51"/>
        <item x="54"/>
        <item x="57"/>
        <item x="58"/>
        <item x="90"/>
        <item x="55"/>
        <item x="59"/>
        <item x="60"/>
        <item x="61"/>
        <item x="82"/>
        <item x="100"/>
        <item x="63"/>
        <item x="67"/>
        <item x="68"/>
        <item x="69"/>
        <item x="81"/>
        <item x="88"/>
        <item x="97"/>
        <item x="75"/>
        <item x="96"/>
        <item x="102"/>
        <item x="49"/>
        <item x="53"/>
        <item x="66"/>
        <item x="71"/>
        <item x="80"/>
        <item x="85"/>
        <item x="92"/>
        <item x="93"/>
        <item x="95"/>
        <item x="98"/>
        <item x="99"/>
        <item x="50"/>
        <item x="62"/>
        <item x="72"/>
        <item x="70"/>
        <item x="86"/>
        <item x="107"/>
        <item x="101"/>
        <item x="56"/>
        <item x="181"/>
        <item x="180"/>
        <item x="189"/>
        <item x="89"/>
        <item x="206"/>
        <item x="103"/>
        <item x="105"/>
        <item x="104"/>
        <item x="109"/>
        <item x="108"/>
        <item x="110"/>
        <item x="120"/>
        <item x="121"/>
        <item x="122"/>
        <item x="129"/>
        <item x="127"/>
        <item x="128"/>
        <item x="147"/>
        <item x="167"/>
        <item x="191"/>
        <item x="204"/>
        <item x="205"/>
        <item x="208"/>
        <item x="44"/>
        <item x="65"/>
        <item x="115"/>
        <item x="126"/>
        <item x="112"/>
        <item x="175"/>
        <item x="196"/>
        <item x="195"/>
        <item x="207"/>
        <item x="111"/>
        <item x="162"/>
        <item x="163"/>
        <item x="164"/>
        <item x="165"/>
        <item x="198"/>
        <item x="209"/>
        <item x="193"/>
        <item x="113"/>
        <item x="114"/>
        <item x="130"/>
        <item x="131"/>
        <item x="148"/>
        <item x="160"/>
        <item x="143"/>
        <item x="144"/>
        <item x="159"/>
        <item x="125"/>
        <item x="166"/>
        <item x="161"/>
        <item x="171"/>
        <item x="170"/>
        <item x="173"/>
        <item x="182"/>
        <item x="184"/>
        <item x="185"/>
        <item x="186"/>
        <item x="187"/>
        <item x="123"/>
        <item x="137"/>
        <item x="117"/>
        <item x="106"/>
        <item x="116"/>
        <item x="119"/>
        <item x="124"/>
        <item x="145"/>
        <item x="146"/>
        <item x="158"/>
        <item x="157"/>
        <item x="138"/>
        <item x="139"/>
        <item x="140"/>
        <item x="141"/>
        <item x="142"/>
        <item x="133"/>
        <item x="134"/>
        <item x="135"/>
        <item x="136"/>
        <item x="132"/>
        <item x="151"/>
        <item x="149"/>
        <item x="150"/>
        <item x="169"/>
        <item x="168"/>
        <item x="172"/>
        <item x="174"/>
        <item x="178"/>
        <item x="179"/>
        <item x="188"/>
        <item x="194"/>
        <item x="201"/>
        <item x="202"/>
        <item x="199"/>
        <item x="200"/>
        <item x="197"/>
        <item x="210"/>
        <item x="211"/>
        <item x="190"/>
        <item x="226"/>
        <item x="233"/>
        <item x="118"/>
        <item x="250"/>
        <item x="260"/>
        <item x="152"/>
        <item x="153"/>
        <item x="154"/>
        <item x="155"/>
        <item x="156"/>
        <item x="183"/>
        <item x="374"/>
        <item x="390"/>
        <item x="388"/>
        <item x="278"/>
        <item x="284"/>
        <item x="286"/>
        <item x="290"/>
        <item x="291"/>
        <item x="263"/>
        <item x="274"/>
        <item x="315"/>
        <item x="316"/>
        <item x="363"/>
        <item x="372"/>
        <item x="176"/>
        <item x="177"/>
        <item x="213"/>
        <item x="385"/>
        <item x="243"/>
        <item x="399"/>
        <item x="400"/>
        <item x="293"/>
        <item x="294"/>
        <item x="299"/>
        <item x="304"/>
        <item x="311"/>
        <item x="317"/>
        <item x="318"/>
        <item x="331"/>
        <item x="330"/>
        <item x="192"/>
        <item x="380"/>
        <item x="386"/>
        <item x="393"/>
        <item x="401"/>
        <item x="398"/>
        <item x="222"/>
        <item x="262"/>
        <item x="268"/>
        <item x="289"/>
        <item x="303"/>
        <item x="309"/>
        <item x="345"/>
        <item x="212"/>
        <item x="220"/>
        <item x="223"/>
        <item x="373"/>
        <item x="241"/>
        <item x="242"/>
        <item x="261"/>
        <item x="247"/>
        <item x="264"/>
        <item x="265"/>
        <item x="267"/>
        <item x="246"/>
        <item x="270"/>
        <item x="283"/>
        <item x="287"/>
        <item x="302"/>
        <item x="307"/>
        <item x="312"/>
        <item x="310"/>
        <item x="319"/>
        <item x="320"/>
        <item x="321"/>
        <item x="335"/>
        <item x="328"/>
        <item x="329"/>
        <item x="332"/>
        <item x="327"/>
        <item x="349"/>
        <item x="366"/>
        <item x="371"/>
        <item x="381"/>
        <item x="387"/>
        <item x="391"/>
        <item x="392"/>
        <item x="394"/>
        <item x="395"/>
        <item x="29"/>
        <item x="30"/>
        <item x="31"/>
        <item x="94"/>
        <item x="383"/>
        <item x="259"/>
        <item x="266"/>
        <item x="276"/>
        <item x="281"/>
        <item x="288"/>
        <item x="301"/>
        <item x="305"/>
        <item x="314"/>
        <item x="313"/>
        <item x="326"/>
        <item x="353"/>
        <item x="348"/>
        <item x="375"/>
        <item x="376"/>
        <item x="378"/>
        <item x="379"/>
        <item x="203"/>
        <item x="402"/>
        <item x="215"/>
        <item x="219"/>
        <item x="248"/>
        <item x="249"/>
        <item x="239"/>
        <item x="240"/>
        <item x="238"/>
        <item x="251"/>
        <item x="252"/>
        <item x="369"/>
        <item x="370"/>
        <item x="282"/>
        <item x="295"/>
        <item x="236"/>
        <item x="306"/>
        <item x="300"/>
        <item x="342"/>
        <item x="340"/>
        <item x="339"/>
        <item x="341"/>
        <item x="367"/>
        <item x="384"/>
        <item x="389"/>
        <item x="397"/>
        <item x="214"/>
        <item x="216"/>
        <item x="217"/>
        <item x="218"/>
        <item x="221"/>
        <item x="224"/>
        <item x="225"/>
        <item x="227"/>
        <item x="228"/>
        <item x="229"/>
        <item x="230"/>
        <item x="231"/>
        <item x="232"/>
        <item x="234"/>
        <item x="235"/>
        <item x="237"/>
        <item x="244"/>
        <item x="245"/>
        <item x="253"/>
        <item x="254"/>
        <item x="255"/>
        <item x="256"/>
        <item x="257"/>
        <item x="258"/>
        <item x="269"/>
        <item x="271"/>
        <item x="272"/>
        <item x="273"/>
        <item x="275"/>
        <item x="277"/>
        <item x="279"/>
        <item x="280"/>
        <item x="285"/>
        <item x="292"/>
        <item x="296"/>
        <item x="297"/>
        <item x="298"/>
        <item x="308"/>
        <item x="322"/>
        <item x="323"/>
        <item x="324"/>
        <item x="325"/>
        <item x="333"/>
        <item x="334"/>
        <item x="336"/>
        <item x="337"/>
        <item x="338"/>
        <item x="343"/>
        <item x="344"/>
        <item x="346"/>
        <item x="347"/>
        <item x="350"/>
        <item x="351"/>
        <item x="352"/>
        <item x="354"/>
        <item x="355"/>
        <item x="356"/>
        <item x="357"/>
        <item x="358"/>
        <item x="359"/>
        <item x="360"/>
        <item x="361"/>
        <item x="362"/>
        <item x="364"/>
        <item x="365"/>
        <item x="368"/>
        <item x="377"/>
        <item x="382"/>
        <item x="396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t="default"/>
      </items>
    </pivotField>
    <pivotField compact="0" outline="0" subtotalTop="0" showAll="0"/>
    <pivotField compact="0" outline="0" showAll="0"/>
    <pivotField compact="0" outline="0" showAll="0"/>
    <pivotField compact="0" outline="0" subtotalTop="0" showAll="0"/>
    <pivotField compact="0" outline="0" subtotalTop="0" showAll="0"/>
    <pivotField compact="0" outline="0" subtotalTop="0" showAll="0"/>
    <pivotField compact="0" outline="0" showAll="0"/>
    <pivotField compact="0" outline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howAll="0"/>
    <pivotField compact="0" outline="0" subtotalTop="0" showAll="0"/>
    <pivotField compact="0" outline="0" subtotalTop="0" showAll="0"/>
    <pivotField axis="axisCol" compact="0" outline="0" subtotalTop="0" showAll="0" sortType="ascending">
      <items count="11">
        <item x="0"/>
        <item m="1" x="9"/>
        <item x="3"/>
        <item x="4"/>
        <item x="5"/>
        <item x="2"/>
        <item x="1"/>
        <item x="6"/>
        <item x="7"/>
        <item h="1" x="8"/>
        <item t="default"/>
      </items>
    </pivotField>
    <pivotField compact="0" outline="0" showAll="0"/>
    <pivotField compact="0" outline="0" showAll="0"/>
    <pivotField axis="axisRow" compact="0" outline="0" subtotalTop="0" showAll="0" sortType="descending">
      <items count="7">
        <item x="4"/>
        <item x="0"/>
        <item x="1"/>
        <item x="2"/>
        <item m="1" x="5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dataField="1" compact="0" outline="0" subtotalTop="0" showAll="0" sortType="descending">
      <items count="12">
        <item x="0"/>
        <item m="1" x="9"/>
        <item m="1" x="10"/>
        <item x="1"/>
        <item x="4"/>
        <item h="1" x="7"/>
        <item x="2"/>
        <item h="1" x="5"/>
        <item h="1" x="6"/>
        <item h="1" m="1" x="8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42"/>
    <field x="39"/>
  </rowFields>
  <rowItems count="16">
    <i>
      <x v="4"/>
      <x v="1"/>
    </i>
    <i r="1">
      <x v="5"/>
    </i>
    <i t="default">
      <x v="4"/>
    </i>
    <i>
      <x v="6"/>
      <x v="1"/>
    </i>
    <i r="1">
      <x v="5"/>
    </i>
    <i r="1">
      <x v="3"/>
    </i>
    <i r="1">
      <x v="2"/>
    </i>
    <i t="default">
      <x v="6"/>
    </i>
    <i>
      <x v="3"/>
      <x v="1"/>
    </i>
    <i t="default">
      <x v="3"/>
    </i>
    <i>
      <x/>
      <x v="1"/>
    </i>
    <i r="1">
      <x v="2"/>
    </i>
    <i r="1">
      <x v="5"/>
    </i>
    <i r="1">
      <x v="3"/>
    </i>
    <i t="default">
      <x/>
    </i>
    <i t="grand">
      <x/>
    </i>
  </rowItems>
  <colFields count="1">
    <field x="36"/>
  </colFields>
  <colItems count="7">
    <i>
      <x/>
    </i>
    <i>
      <x v="2"/>
    </i>
    <i>
      <x v="4"/>
    </i>
    <i>
      <x v="5"/>
    </i>
    <i>
      <x v="6"/>
    </i>
    <i>
      <x v="7"/>
    </i>
    <i t="grand">
      <x/>
    </i>
  </colItems>
  <dataFields count="1">
    <dataField name="Contagem de RESPONSÁVEL" fld="42" subtotal="count" baseField="0" baseItem="0" numFmtId="3"/>
  </dataFields>
  <formats count="405">
    <format dxfId="1313">
      <pivotArea field="39" type="button" dataOnly="0" labelOnly="1" outline="0" axis="axisRow" fieldPosition="1"/>
    </format>
    <format dxfId="1312">
      <pivotArea outline="0" collapsedLevelsAreSubtotals="1" fieldPosition="0"/>
    </format>
    <format dxfId="1311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1310">
      <pivotArea dataOnly="0" labelOnly="1" grandCol="1" outline="0" fieldPosition="0"/>
    </format>
    <format dxfId="1309">
      <pivotArea dataOnly="0" labelOnly="1" fieldPosition="0">
        <references count="1">
          <reference field="42" count="0"/>
        </references>
      </pivotArea>
    </format>
    <format dxfId="1308">
      <pivotArea dataOnly="0" labelOnly="1" fieldPosition="0">
        <references count="1">
          <reference field="42" count="0"/>
        </references>
      </pivotArea>
    </format>
    <format dxfId="1307">
      <pivotArea dataOnly="0" labelOnly="1" fieldPosition="0">
        <references count="1">
          <reference field="42" count="0"/>
        </references>
      </pivotArea>
    </format>
    <format dxfId="1306">
      <pivotArea dataOnly="0" labelOnly="1" fieldPosition="0">
        <references count="1">
          <reference field="39" count="0"/>
        </references>
      </pivotArea>
    </format>
    <format dxfId="1305">
      <pivotArea dataOnly="0" labelOnly="1" outline="0" fieldPosition="0">
        <references count="1">
          <reference field="42" count="0"/>
        </references>
      </pivotArea>
    </format>
    <format dxfId="1304">
      <pivotArea type="origin" dataOnly="0" labelOnly="1" outline="0" fieldPosition="0"/>
    </format>
    <format dxfId="1303">
      <pivotArea field="42" type="button" dataOnly="0" labelOnly="1" outline="0" axis="axisRow" fieldPosition="0"/>
    </format>
    <format dxfId="1302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1301">
      <pivotArea dataOnly="0" labelOnly="1" grandRow="1" outline="0" fieldPosition="0"/>
    </format>
    <format>
      <pivotArea type="origin" dataOnly="0" labelOnly="1" outline="0" fieldPosition="0"/>
    </format>
    <format>
      <pivotArea field="42" type="button" dataOnly="0" labelOnly="1" outline="0" axis="axisRow" fieldPosition="0"/>
    </format>
    <format>
      <pivotArea dataOnly="0" labelOnly="1" grandRow="1" outline="0" fieldPosition="0"/>
    </format>
    <format dxfId="1300">
      <pivotArea dataOnly="0" labelOnly="1" fieldPosition="0">
        <references count="1">
          <reference field="42" count="0"/>
        </references>
      </pivotArea>
    </format>
    <format dxfId="1299">
      <pivotArea dataOnly="0" labelOnly="1" fieldPosition="0">
        <references count="1">
          <reference field="42" count="0"/>
        </references>
      </pivotArea>
    </format>
    <format dxfId="1298">
      <pivotArea dataOnly="0" labelOnly="1" fieldPosition="0">
        <references count="1">
          <reference field="42" count="0"/>
        </references>
      </pivotArea>
    </format>
    <format dxfId="1297">
      <pivotArea dataOnly="0" labelOnly="1" fieldPosition="0">
        <references count="1">
          <reference field="42" count="0"/>
        </references>
      </pivotArea>
    </format>
    <format dxfId="1296">
      <pivotArea collapsedLevelsAreSubtotals="1" fieldPosition="0">
        <references count="1">
          <reference field="42" count="1">
            <x v="3"/>
          </reference>
        </references>
      </pivotArea>
    </format>
    <format dxfId="1295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1294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1293">
      <pivotArea type="origin" dataOnly="0" labelOnly="1" outline="0" fieldPosition="0"/>
    </format>
    <format dxfId="1292">
      <pivotArea field="42" type="button" dataOnly="0" labelOnly="1" outline="0" axis="axisRow" fieldPosition="0"/>
    </format>
    <format dxfId="1291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1290"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 dxfId="1289">
      <pivotArea dataOnly="0" labelOnly="1" grandRow="1" outline="0" fieldPosition="0"/>
    </format>
    <format dxfId="1288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1287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1286">
      <pivotArea dataOnly="0" labelOnly="1" fieldPosition="0">
        <references count="1">
          <reference field="42" count="1" defaultSubtotal="1">
            <x v="2"/>
          </reference>
        </references>
      </pivotArea>
    </format>
    <format dxfId="1285">
      <pivotArea dataOnly="0" labelOnly="1" fieldPosition="0">
        <references count="1">
          <reference field="42" count="1" defaultSubtotal="1">
            <x v="1"/>
          </reference>
        </references>
      </pivotArea>
    </format>
    <format dxfId="1284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1283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1282">
      <pivotArea dataOnly="0" labelOnly="1" fieldPosition="0">
        <references count="1">
          <reference field="42" count="1" defaultSubtotal="1">
            <x v="2"/>
          </reference>
        </references>
      </pivotArea>
    </format>
    <format dxfId="1281">
      <pivotArea dataOnly="0" labelOnly="1" fieldPosition="0">
        <references count="1">
          <reference field="42" count="1" defaultSubtotal="1">
            <x v="1"/>
          </reference>
        </references>
      </pivotArea>
    </format>
    <format dxfId="1280">
      <pivotArea field="36" type="button" dataOnly="0" labelOnly="1" outline="0" axis="axisCol" fieldPosition="0"/>
    </format>
    <format dxfId="1279">
      <pivotArea type="origin" dataOnly="0" labelOnly="1" outline="0" fieldPosition="0"/>
    </format>
    <format dxfId="1278">
      <pivotArea type="all" dataOnly="0" outline="0" fieldPosition="0"/>
    </format>
    <format dxfId="1277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1276"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 dxfId="1275">
      <pivotArea dataOnly="0" labelOnly="1" grandRow="1" outline="0" fieldPosition="0"/>
    </format>
    <format dxfId="1274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1273">
      <pivotArea dataOnly="0" labelOnly="1" fieldPosition="0">
        <references count="1">
          <reference field="42" count="1" defaultSubtotal="1">
            <x v="0"/>
          </reference>
        </references>
      </pivotArea>
    </format>
    <format dxfId="1272">
      <pivotArea dataOnly="0" labelOnly="1" fieldPosition="0">
        <references count="1">
          <reference field="42" count="1" defaultSubtotal="1">
            <x v="0"/>
          </reference>
        </references>
      </pivotArea>
    </format>
    <format dxfId="1271">
      <pivotArea dataOnly="0" labelOnly="1" fieldPosition="0">
        <references count="1">
          <reference field="42" count="0"/>
        </references>
      </pivotArea>
    </format>
    <format dxfId="1270">
      <pivotArea dataOnly="0" labelOnly="1" grandRow="1" outline="0" fieldPosition="0"/>
    </format>
    <format dxfId="1269">
      <pivotArea type="all" dataOnly="0" outline="0" fieldPosition="0"/>
    </format>
    <format dxfId="1268">
      <pivotArea outline="0" collapsedLevelsAreSubtotals="1" fieldPosition="0"/>
    </format>
    <format dxfId="1267">
      <pivotArea type="origin" dataOnly="0" labelOnly="1" outline="0" fieldPosition="0"/>
    </format>
    <format dxfId="1266">
      <pivotArea field="36" type="button" dataOnly="0" labelOnly="1" outline="0" axis="axisCol" fieldPosition="0"/>
    </format>
    <format dxfId="1265">
      <pivotArea type="topRight" dataOnly="0" labelOnly="1" outline="0" fieldPosition="0"/>
    </format>
    <format dxfId="1264">
      <pivotArea field="42" type="button" dataOnly="0" labelOnly="1" outline="0" axis="axisRow" fieldPosition="0"/>
    </format>
    <format dxfId="1263">
      <pivotArea dataOnly="0" labelOnly="1" fieldPosition="0">
        <references count="1">
          <reference field="42" count="0"/>
        </references>
      </pivotArea>
    </format>
    <format dxfId="1262">
      <pivotArea dataOnly="0" labelOnly="1" fieldPosition="0">
        <references count="1">
          <reference field="42" count="0" defaultSubtotal="1"/>
        </references>
      </pivotArea>
    </format>
    <format dxfId="1261">
      <pivotArea dataOnly="0" labelOnly="1" grandRow="1" outline="0" fieldPosition="0"/>
    </format>
    <format dxfId="1260">
      <pivotArea dataOnly="0" labelOnly="1" fieldPosition="0">
        <references count="1">
          <reference field="36" count="0"/>
        </references>
      </pivotArea>
    </format>
    <format dxfId="1259">
      <pivotArea dataOnly="0" labelOnly="1" grandCol="1" outline="0" fieldPosition="0"/>
    </format>
    <format dxfId="1258">
      <pivotArea type="all" dataOnly="0" outline="0" fieldPosition="0"/>
    </format>
    <format dxfId="1257">
      <pivotArea outline="0" collapsedLevelsAreSubtotals="1" fieldPosition="0"/>
    </format>
    <format dxfId="1256">
      <pivotArea type="origin" dataOnly="0" labelOnly="1" outline="0" fieldPosition="0"/>
    </format>
    <format dxfId="1255">
      <pivotArea field="36" type="button" dataOnly="0" labelOnly="1" outline="0" axis="axisCol" fieldPosition="0"/>
    </format>
    <format dxfId="1254">
      <pivotArea type="topRight" dataOnly="0" labelOnly="1" outline="0" fieldPosition="0"/>
    </format>
    <format dxfId="1253">
      <pivotArea field="42" type="button" dataOnly="0" labelOnly="1" outline="0" axis="axisRow" fieldPosition="0"/>
    </format>
    <format dxfId="1252">
      <pivotArea dataOnly="0" labelOnly="1" fieldPosition="0">
        <references count="1">
          <reference field="42" count="0"/>
        </references>
      </pivotArea>
    </format>
    <format dxfId="1251">
      <pivotArea dataOnly="0" labelOnly="1" fieldPosition="0">
        <references count="1">
          <reference field="42" count="0" defaultSubtotal="1"/>
        </references>
      </pivotArea>
    </format>
    <format dxfId="1250">
      <pivotArea dataOnly="0" labelOnly="1" grandRow="1" outline="0" fieldPosition="0"/>
    </format>
    <format dxfId="1249">
      <pivotArea dataOnly="0" labelOnly="1" fieldPosition="0">
        <references count="1">
          <reference field="36" count="0"/>
        </references>
      </pivotArea>
    </format>
    <format dxfId="1248">
      <pivotArea dataOnly="0" labelOnly="1" grandCol="1" outline="0" fieldPosition="0"/>
    </format>
    <format dxfId="1247">
      <pivotArea type="all" dataOnly="0" outline="0" fieldPosition="0"/>
    </format>
    <format dxfId="1246">
      <pivotArea outline="0" collapsedLevelsAreSubtotals="1" fieldPosition="0"/>
    </format>
    <format dxfId="1245">
      <pivotArea type="origin" dataOnly="0" labelOnly="1" outline="0" fieldPosition="0"/>
    </format>
    <format dxfId="1244">
      <pivotArea field="36" type="button" dataOnly="0" labelOnly="1" outline="0" axis="axisCol" fieldPosition="0"/>
    </format>
    <format dxfId="1243">
      <pivotArea type="topRight" dataOnly="0" labelOnly="1" outline="0" fieldPosition="0"/>
    </format>
    <format dxfId="1242">
      <pivotArea field="42" type="button" dataOnly="0" labelOnly="1" outline="0" axis="axisRow" fieldPosition="0"/>
    </format>
    <format dxfId="1241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 dxfId="1240">
      <pivotArea dataOnly="0" labelOnly="1" fieldPosition="0">
        <references count="1">
          <reference field="42" count="5" defaultSubtotal="1">
            <x v="0"/>
            <x v="1"/>
            <x v="2"/>
            <x v="3"/>
            <x v="4"/>
          </reference>
        </references>
      </pivotArea>
    </format>
    <format dxfId="1239">
      <pivotArea dataOnly="0" labelOnly="1" grandRow="1" outline="0" fieldPosition="0"/>
    </format>
    <format dxfId="1238">
      <pivotArea dataOnly="0" labelOnly="1" fieldPosition="0">
        <references count="1">
          <reference field="36" count="0"/>
        </references>
      </pivotArea>
    </format>
    <format dxfId="1237">
      <pivotArea dataOnly="0" labelOnly="1" grandCol="1" outline="0" fieldPosition="0"/>
    </format>
    <format dxfId="1236">
      <pivotArea type="all" dataOnly="0" outline="0" fieldPosition="0"/>
    </format>
    <format dxfId="1235">
      <pivotArea outline="0" collapsedLevelsAreSubtotals="1" fieldPosition="0"/>
    </format>
    <format dxfId="1234">
      <pivotArea type="origin" dataOnly="0" labelOnly="1" outline="0" fieldPosition="0"/>
    </format>
    <format dxfId="1233">
      <pivotArea field="36" type="button" dataOnly="0" labelOnly="1" outline="0" axis="axisCol" fieldPosition="0"/>
    </format>
    <format dxfId="1232">
      <pivotArea type="topRight" dataOnly="0" labelOnly="1" outline="0" fieldPosition="0"/>
    </format>
    <format dxfId="1231">
      <pivotArea field="42" type="button" dataOnly="0" labelOnly="1" outline="0" axis="axisRow" fieldPosition="0"/>
    </format>
    <format dxfId="1230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 dxfId="1229">
      <pivotArea dataOnly="0" labelOnly="1" fieldPosition="0">
        <references count="1">
          <reference field="42" count="5" defaultSubtotal="1">
            <x v="0"/>
            <x v="1"/>
            <x v="2"/>
            <x v="3"/>
            <x v="4"/>
          </reference>
        </references>
      </pivotArea>
    </format>
    <format dxfId="1228">
      <pivotArea dataOnly="0" labelOnly="1" grandRow="1" outline="0" fieldPosition="0"/>
    </format>
    <format dxfId="1227">
      <pivotArea dataOnly="0" labelOnly="1" fieldPosition="0">
        <references count="1">
          <reference field="36" count="0"/>
        </references>
      </pivotArea>
    </format>
    <format dxfId="1226">
      <pivotArea dataOnly="0" labelOnly="1" grandCol="1" outline="0" fieldPosition="0"/>
    </format>
    <format dxfId="1225">
      <pivotArea type="all" dataOnly="0" outline="0" fieldPosition="0"/>
    </format>
    <format dxfId="1224">
      <pivotArea outline="0" collapsedLevelsAreSubtotals="1" fieldPosition="0"/>
    </format>
    <format dxfId="1223">
      <pivotArea dataOnly="0" labelOnly="1" fieldPosition="0">
        <references count="1">
          <reference field="36" count="0"/>
        </references>
      </pivotArea>
    </format>
    <format dxfId="1222">
      <pivotArea dataOnly="0" labelOnly="1" grandCol="1" outline="0" fieldPosition="0"/>
    </format>
    <format dxfId="1221">
      <pivotArea dataOnly="0" labelOnly="1" fieldPosition="0">
        <references count="1">
          <reference field="42" count="0"/>
        </references>
      </pivotArea>
    </format>
    <format dxfId="1220">
      <pivotArea outline="0" collapsedLevelsAreSubtotals="1" fieldPosition="0"/>
    </format>
    <format dxfId="1219">
      <pivotArea dataOnly="0" labelOnly="1" fieldPosition="0">
        <references count="1">
          <reference field="36" count="0"/>
        </references>
      </pivotArea>
    </format>
    <format dxfId="1218">
      <pivotArea dataOnly="0" labelOnly="1" grandCol="1" outline="0" fieldPosition="0"/>
    </format>
    <format dxfId="1217">
      <pivotArea outline="0" collapsedLevelsAreSubtotals="1" fieldPosition="0"/>
    </format>
    <format dxfId="1216">
      <pivotArea dataOnly="0" labelOnly="1" fieldPosition="0">
        <references count="1">
          <reference field="36" count="0"/>
        </references>
      </pivotArea>
    </format>
    <format dxfId="1215">
      <pivotArea dataOnly="0" labelOnly="1" grandCol="1" outline="0" fieldPosition="0"/>
    </format>
    <format dxfId="1214">
      <pivotArea outline="0" collapsedLevelsAreSubtotals="1" fieldPosition="0"/>
    </format>
    <format dxfId="1213">
      <pivotArea dataOnly="0" labelOnly="1" fieldPosition="0">
        <references count="1">
          <reference field="36" count="0"/>
        </references>
      </pivotArea>
    </format>
    <format dxfId="1212">
      <pivotArea dataOnly="0" labelOnly="1" grandCol="1" outline="0" fieldPosition="0"/>
    </format>
    <format dxfId="1211">
      <pivotArea type="all" dataOnly="0" outline="0" fieldPosition="0"/>
    </format>
    <format dxfId="1210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0"/>
        </references>
      </pivotArea>
    </format>
    <format dxfId="1209">
      <pivotArea dataOnly="0" labelOnly="1" fieldPosition="0">
        <references count="1">
          <reference field="42" count="0"/>
        </references>
      </pivotArea>
    </format>
    <format dxfId="1208">
      <pivotArea type="all" dataOnly="0" outline="0" fieldPosition="0"/>
    </format>
    <format dxfId="1207">
      <pivotArea outline="0" collapsedLevelsAreSubtotals="1" fieldPosition="0"/>
    </format>
    <format dxfId="1206">
      <pivotArea type="origin" dataOnly="0" labelOnly="1" outline="0" fieldPosition="0"/>
    </format>
    <format dxfId="1205">
      <pivotArea field="36" type="button" dataOnly="0" labelOnly="1" outline="0" axis="axisCol" fieldPosition="0"/>
    </format>
    <format dxfId="1204">
      <pivotArea type="topRight" dataOnly="0" labelOnly="1" outline="0" fieldPosition="0"/>
    </format>
    <format dxfId="1203">
      <pivotArea field="42" type="button" dataOnly="0" labelOnly="1" outline="0" axis="axisRow" fieldPosition="0"/>
    </format>
    <format dxfId="1202">
      <pivotArea dataOnly="0" labelOnly="1" fieldPosition="0">
        <references count="1">
          <reference field="42" count="0"/>
        </references>
      </pivotArea>
    </format>
    <format dxfId="1201">
      <pivotArea dataOnly="0" labelOnly="1" fieldPosition="0">
        <references count="1">
          <reference field="42" count="0" defaultSubtotal="1"/>
        </references>
      </pivotArea>
    </format>
    <format dxfId="1200">
      <pivotArea dataOnly="0" labelOnly="1" grandRow="1" outline="0" fieldPosition="0"/>
    </format>
    <format dxfId="1199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1198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2"/>
          </reference>
        </references>
      </pivotArea>
    </format>
    <format dxfId="1197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1196">
      <pivotArea dataOnly="0" labelOnly="1" fieldPosition="0">
        <references count="2">
          <reference field="39" count="2">
            <x v="2"/>
            <x v="4"/>
          </reference>
          <reference field="42" count="1" selected="0">
            <x v="0"/>
          </reference>
        </references>
      </pivotArea>
    </format>
    <format dxfId="1195">
      <pivotArea dataOnly="0" labelOnly="1" fieldPosition="0">
        <references count="1">
          <reference field="36" count="0"/>
        </references>
      </pivotArea>
    </format>
    <format dxfId="1194">
      <pivotArea dataOnly="0" labelOnly="1" grandCol="1" outline="0" fieldPosition="0"/>
    </format>
    <format>
      <pivotArea type="all" dataOnly="0" outline="0" fieldPosition="0"/>
    </format>
    <format dxfId="1193">
      <pivotArea type="origin" dataOnly="0" labelOnly="1" outline="0" fieldPosition="0"/>
    </format>
    <format dxfId="1192">
      <pivotArea field="36" type="button" dataOnly="0" labelOnly="1" outline="0" axis="axisCol" fieldPosition="0"/>
    </format>
    <format dxfId="1191">
      <pivotArea dataOnly="0" labelOnly="1" fieldPosition="0">
        <references count="1">
          <reference field="42" count="0"/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1190">
      <pivotArea dataOnly="0" labelOnly="1" grandCol="1" outline="0" fieldPosition="0"/>
    </format>
    <format dxfId="1189">
      <pivotArea collapsedLevelsAreSubtotals="1" fieldPosition="0">
        <references count="1">
          <reference field="42" count="1">
            <x v="1"/>
          </reference>
        </references>
      </pivotArea>
    </format>
    <format dxfId="1188">
      <pivotArea collapsedLevelsAreSubtotals="1" fieldPosition="0">
        <references count="1">
          <reference field="42" count="1">
            <x v="3"/>
          </reference>
        </references>
      </pivotArea>
    </format>
    <format dxfId="1187">
      <pivotArea collapsedLevelsAreSubtotals="1" fieldPosition="0">
        <references count="2">
          <reference field="39" count="1">
            <x v="4"/>
          </reference>
          <reference field="42" count="1" selected="0">
            <x v="0"/>
          </reference>
        </references>
      </pivotArea>
    </format>
    <format dxfId="1186">
      <pivotArea collapsedLevelsAreSubtotals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1185">
      <pivotArea collapsedLevelsAreSubtotals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1184">
      <pivotArea collapsedLevelsAreSubtotals="1" fieldPosition="0">
        <references count="1">
          <reference field="42" count="1">
            <x v="0"/>
          </reference>
        </references>
      </pivotArea>
    </format>
    <format dxfId="1183">
      <pivotArea collapsedLevelsAreSubtotals="1" fieldPosition="0">
        <references count="2">
          <reference field="39" count="1">
            <x v="2"/>
          </reference>
          <reference field="42" count="1" selected="0">
            <x v="0"/>
          </reference>
        </references>
      </pivotArea>
    </format>
    <format dxfId="1182">
      <pivotArea collapsedLevelsAreSubtotals="1" fieldPosition="0">
        <references count="3">
          <reference field="36" count="2" selected="0">
            <x v="4"/>
            <x v="5"/>
          </reference>
          <reference field="39" count="1">
            <x v="4"/>
          </reference>
          <reference field="42" count="1" selected="0">
            <x v="0"/>
          </reference>
        </references>
      </pivotArea>
    </format>
    <format dxfId="1181">
      <pivotArea collapsedLevelsAreSubtotals="1" fieldPosition="0">
        <references count="3">
          <reference field="36" count="6" selected="0">
            <x v="0"/>
            <x v="2"/>
            <x v="3"/>
            <x v="4"/>
            <x v="6"/>
            <x v="8"/>
          </reference>
          <reference field="39" count="1">
            <x v="4"/>
          </reference>
          <reference field="42" count="1" selected="0">
            <x v="0"/>
          </reference>
        </references>
      </pivotArea>
    </format>
    <format dxfId="1180">
      <pivotArea outline="0" collapsedLevelsAreSubtotals="1" fieldPosition="0">
        <references count="1">
          <reference field="36" count="0" selected="0"/>
        </references>
      </pivotArea>
    </format>
    <format dxfId="1179">
      <pivotArea collapsedLevelsAreSubtotals="1" fieldPosition="0">
        <references count="2">
          <reference field="36" count="0" selected="0"/>
          <reference field="42" count="1">
            <x v="3"/>
          </reference>
        </references>
      </pivotArea>
    </format>
    <format dxfId="1178">
      <pivotArea collapsedLevelsAreSubtotals="1" fieldPosition="0">
        <references count="1">
          <reference field="42" count="1" defaultSubtotal="1">
            <x v="4"/>
          </reference>
        </references>
      </pivotArea>
    </format>
    <format dxfId="1177">
      <pivotArea collapsedLevelsAreSubtotals="1" fieldPosition="0">
        <references count="3">
          <reference field="36" count="0" selected="0"/>
          <reference field="39" count="3">
            <x v="1"/>
            <x v="2"/>
            <x v="3"/>
          </reference>
          <reference field="42" count="1" selected="0">
            <x v="3"/>
          </reference>
        </references>
      </pivotArea>
    </format>
    <format dxfId="1176">
      <pivotArea collapsedLevelsAreSubtotals="1" fieldPosition="0">
        <references count="1">
          <reference field="42" count="1" defaultSubtotal="1">
            <x v="2"/>
          </reference>
        </references>
      </pivotArea>
    </format>
    <format dxfId="1175">
      <pivotArea collapsedLevelsAreSubtotals="1" fieldPosition="0">
        <references count="1">
          <reference field="42" count="1" defaultSubtotal="1">
            <x v="6"/>
          </reference>
        </references>
      </pivotArea>
    </format>
    <format dxfId="1174">
      <pivotArea collapsedLevelsAreSubtotals="1" fieldPosition="0">
        <references count="1">
          <reference field="42" count="1" defaultSubtotal="1">
            <x v="1"/>
          </reference>
        </references>
      </pivotArea>
    </format>
    <format dxfId="1173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1172">
      <pivotArea collapsedLevelsAreSubtotals="1" fieldPosition="0">
        <references count="1">
          <reference field="42" count="1" defaultSubtotal="1">
            <x v="3"/>
          </reference>
        </references>
      </pivotArea>
    </format>
    <format dxfId="1171">
      <pivotArea grandRow="1" outline="0" collapsedLevelsAreSubtotals="1" fieldPosition="0"/>
    </format>
    <format dxfId="1170">
      <pivotArea dataOnly="0" labelOnly="1" fieldPosition="0">
        <references count="1">
          <reference field="42" count="1" defaultSubtotal="1">
            <x v="6"/>
          </reference>
        </references>
      </pivotArea>
    </format>
    <format dxfId="1169">
      <pivotArea type="all" dataOnly="0" outline="0" fieldPosition="0"/>
    </format>
    <format dxfId="1168">
      <pivotArea outline="0" collapsedLevelsAreSubtotals="1" fieldPosition="0"/>
    </format>
    <format dxfId="1167">
      <pivotArea field="36" type="button" dataOnly="0" labelOnly="1" outline="0" axis="axisCol" fieldPosition="0"/>
    </format>
    <format dxfId="1166">
      <pivotArea type="topRight" dataOnly="0" labelOnly="1" outline="0" fieldPosition="0"/>
    </format>
    <format dxfId="1165">
      <pivotArea dataOnly="0" labelOnly="1" fieldPosition="0">
        <references count="1">
          <reference field="36" count="0"/>
        </references>
      </pivotArea>
    </format>
    <format dxfId="1164">
      <pivotArea dataOnly="0" labelOnly="1" grandCol="1" outline="0" fieldPosition="0"/>
    </format>
    <format dxfId="1163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1162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1161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2"/>
          </reference>
        </references>
      </pivotArea>
    </format>
    <format dxfId="1160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2"/>
          </reference>
        </references>
      </pivotArea>
    </format>
    <format dxfId="1159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1158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1157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4"/>
          </reference>
        </references>
      </pivotArea>
    </format>
    <format dxfId="1156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0"/>
          </reference>
        </references>
      </pivotArea>
    </format>
    <format dxfId="1155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2"/>
          </reference>
        </references>
      </pivotArea>
    </format>
    <format dxfId="1154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1153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4"/>
          </reference>
        </references>
      </pivotArea>
    </format>
    <format dxfId="1152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0"/>
          </reference>
        </references>
      </pivotArea>
    </format>
    <format dxfId="1151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2"/>
          </reference>
        </references>
      </pivotArea>
    </format>
    <format dxfId="1150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1149">
      <pivotArea type="origin" dataOnly="0" labelOnly="1" outline="0" fieldPosition="0"/>
    </format>
    <format dxfId="1148">
      <pivotArea field="42" type="button" dataOnly="0" labelOnly="1" outline="0" axis="axisRow" fieldPosition="0"/>
    </format>
    <format dxfId="1147">
      <pivotArea dataOnly="0" labelOnly="1" fieldPosition="0">
        <references count="1">
          <reference field="42" count="0"/>
        </references>
      </pivotArea>
    </format>
    <format dxfId="1146">
      <pivotArea dataOnly="0" labelOnly="1" fieldPosition="0">
        <references count="1">
          <reference field="42" count="0" defaultSubtotal="1"/>
        </references>
      </pivotArea>
    </format>
    <format dxfId="1145">
      <pivotArea dataOnly="0" labelOnly="1" grandRow="1" outline="0" fieldPosition="0"/>
    </format>
    <format dxfId="1144">
      <pivotArea dataOnly="0" labelOnly="1" fieldPosition="0">
        <references count="2">
          <reference field="39" count="4">
            <x v="1"/>
            <x v="2"/>
            <x v="4"/>
            <x v="5"/>
          </reference>
          <reference field="42" count="1" selected="0">
            <x v="4"/>
          </reference>
        </references>
      </pivotArea>
    </format>
    <format dxfId="1143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1142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2"/>
          </reference>
        </references>
      </pivotArea>
    </format>
    <format dxfId="1141">
      <pivotArea type="origin" dataOnly="0" labelOnly="1" outline="0" fieldPosition="0"/>
    </format>
    <format dxfId="1140">
      <pivotArea field="42" type="button" dataOnly="0" labelOnly="1" outline="0" axis="axisRow" fieldPosition="0"/>
    </format>
    <format dxfId="1139">
      <pivotArea dataOnly="0" labelOnly="1" fieldPosition="0">
        <references count="1">
          <reference field="42" count="0"/>
        </references>
      </pivotArea>
    </format>
    <format dxfId="1138">
      <pivotArea dataOnly="0" labelOnly="1" fieldPosition="0">
        <references count="1">
          <reference field="42" count="0" defaultSubtotal="1"/>
        </references>
      </pivotArea>
    </format>
    <format dxfId="1137">
      <pivotArea dataOnly="0" labelOnly="1" grandRow="1" outline="0" fieldPosition="0"/>
    </format>
    <format dxfId="1136">
      <pivotArea dataOnly="0" labelOnly="1" fieldPosition="0">
        <references count="2">
          <reference field="39" count="4">
            <x v="1"/>
            <x v="2"/>
            <x v="4"/>
            <x v="5"/>
          </reference>
          <reference field="42" count="1" selected="0">
            <x v="4"/>
          </reference>
        </references>
      </pivotArea>
    </format>
    <format dxfId="1135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1134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2"/>
          </reference>
        </references>
      </pivotArea>
    </format>
    <format dxfId="1133">
      <pivotArea type="all" dataOnly="0" outline="0" fieldPosition="0"/>
    </format>
    <format dxfId="1132">
      <pivotArea outline="0" collapsedLevelsAreSubtotals="1" fieldPosition="0"/>
    </format>
    <format dxfId="1131">
      <pivotArea type="origin" dataOnly="0" labelOnly="1" outline="0" fieldPosition="0"/>
    </format>
    <format dxfId="1130">
      <pivotArea field="36" type="button" dataOnly="0" labelOnly="1" outline="0" axis="axisCol" fieldPosition="0"/>
    </format>
    <format dxfId="1129">
      <pivotArea type="topRight" dataOnly="0" labelOnly="1" outline="0" fieldPosition="0"/>
    </format>
    <format dxfId="1128">
      <pivotArea field="42" type="button" dataOnly="0" labelOnly="1" outline="0" axis="axisRow" fieldPosition="0"/>
    </format>
    <format dxfId="1127"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 dxfId="1126">
      <pivotArea dataOnly="0" labelOnly="1" fieldPosition="0">
        <references count="1">
          <reference field="42" count="4" defaultSubtotal="1">
            <x v="0"/>
            <x v="1"/>
            <x v="3"/>
            <x v="4"/>
          </reference>
        </references>
      </pivotArea>
    </format>
    <format dxfId="1125">
      <pivotArea dataOnly="0" labelOnly="1" grandRow="1" outline="0" fieldPosition="0"/>
    </format>
    <format dxfId="1124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4"/>
          </reference>
        </references>
      </pivotArea>
    </format>
    <format dxfId="1123"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 dxfId="1122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1121">
      <pivotArea dataOnly="0" labelOnly="1" fieldPosition="0">
        <references count="2">
          <reference field="39" count="1">
            <x v="4"/>
          </reference>
          <reference field="42" count="1" selected="0">
            <x v="1"/>
          </reference>
        </references>
      </pivotArea>
    </format>
    <format dxfId="1120">
      <pivotArea dataOnly="0" labelOnly="1" fieldPosition="0">
        <references count="1">
          <reference field="36" count="5">
            <x v="0"/>
            <x v="3"/>
            <x v="5"/>
            <x v="6"/>
            <x v="8"/>
          </reference>
        </references>
      </pivotArea>
    </format>
    <format dxfId="1119">
      <pivotArea dataOnly="0" labelOnly="1" grandCol="1" outline="0" fieldPosition="0"/>
    </format>
    <format dxfId="1118">
      <pivotArea dataOnly="0" labelOnly="1" fieldPosition="0">
        <references count="1">
          <reference field="42" count="1">
            <x v="4"/>
          </reference>
        </references>
      </pivotArea>
    </format>
    <format dxfId="1117">
      <pivotArea dataOnly="0" labelOnly="1" fieldPosition="0">
        <references count="1">
          <reference field="42" count="1">
            <x v="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 dxfId="1116">
      <pivotArea dataOnly="0" labelOnly="1" fieldPosition="0">
        <references count="1">
          <reference field="42" count="1">
            <x v="4"/>
          </reference>
        </references>
      </pivotArea>
    </format>
    <format dxfId="1115">
      <pivotArea dataOnly="0" labelOnly="1" fieldPosition="0">
        <references count="1">
          <reference field="42" count="1">
            <x v="3"/>
          </reference>
        </references>
      </pivotArea>
    </format>
    <format dxfId="1114">
      <pivotArea dataOnly="0" labelOnly="1" fieldPosition="0">
        <references count="1">
          <reference field="42" count="1">
            <x v="0"/>
          </reference>
        </references>
      </pivotArea>
    </format>
    <format dxfId="1113">
      <pivotArea dataOnly="0" labelOnly="1" fieldPosition="0">
        <references count="1">
          <reference field="42" count="1">
            <x v="6"/>
          </reference>
        </references>
      </pivotArea>
    </format>
    <format dxfId="1112">
      <pivotArea dataOnly="0" labelOnly="1" fieldPosition="0">
        <references count="1">
          <reference field="42" count="1">
            <x v="1"/>
          </reference>
        </references>
      </pivotArea>
    </format>
    <format dxfId="1111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3"/>
          </reference>
        </references>
      </pivotArea>
    </format>
    <format dxfId="1110">
      <pivotArea collapsedLevelsAreSubtotals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1109">
      <pivotArea collapsedLevelsAreSubtotals="1" fieldPosition="0">
        <references count="1">
          <reference field="42" count="1" defaultSubtotal="1">
            <x v="4"/>
          </reference>
        </references>
      </pivotArea>
    </format>
    <format dxfId="1108">
      <pivotArea collapsedLevelsAreSubtotals="1" fieldPosition="0">
        <references count="1">
          <reference field="42" count="1">
            <x v="0"/>
          </reference>
        </references>
      </pivotArea>
    </format>
    <format dxfId="1107">
      <pivotArea collapsedLevelsAreSubtotals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0"/>
          </reference>
        </references>
      </pivotArea>
    </format>
    <format dxfId="1106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1105">
      <pivotArea collapsedLevelsAreSubtotals="1" fieldPosition="0">
        <references count="1">
          <reference field="42" count="1">
            <x v="1"/>
          </reference>
        </references>
      </pivotArea>
    </format>
    <format dxfId="1104">
      <pivotArea collapsedLevelsAreSubtotals="1" fieldPosition="0">
        <references count="2">
          <reference field="39" count="1">
            <x v="4"/>
          </reference>
          <reference field="42" count="1" selected="0">
            <x v="1"/>
          </reference>
        </references>
      </pivotArea>
    </format>
    <format dxfId="1103">
      <pivotArea collapsedLevelsAreSubtotals="1" fieldPosition="0">
        <references count="1">
          <reference field="42" count="1" defaultSubtotal="1">
            <x v="1"/>
          </reference>
        </references>
      </pivotArea>
    </format>
    <format dxfId="1102">
      <pivotArea collapsedLevelsAreSubtotals="1" fieldPosition="0">
        <references count="1">
          <reference field="42" count="1">
            <x v="6"/>
          </reference>
        </references>
      </pivotArea>
    </format>
    <format dxfId="1101">
      <pivotArea collapsedLevelsAreSubtotals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1100">
      <pivotArea collapsedLevelsAreSubtotals="1" fieldPosition="0">
        <references count="1">
          <reference field="42" count="1" defaultSubtotal="1">
            <x v="6"/>
          </reference>
        </references>
      </pivotArea>
    </format>
    <format dxfId="1099">
      <pivotArea collapsedLevelsAreSubtotals="1" fieldPosition="0">
        <references count="1">
          <reference field="42" count="1">
            <x v="3"/>
          </reference>
        </references>
      </pivotArea>
    </format>
    <format dxfId="1098">
      <pivotArea collapsedLevelsAreSubtotals="1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 dxfId="1097">
      <pivotArea collapsedLevelsAreSubtotals="1" fieldPosition="0">
        <references count="1">
          <reference field="42" count="1" defaultSubtotal="1">
            <x v="3"/>
          </reference>
        </references>
      </pivotArea>
    </format>
    <format dxfId="1096">
      <pivotArea grandRow="1" outline="0" collapsedLevelsAreSubtotals="1" fieldPosition="0"/>
    </format>
    <format dxfId="1095">
      <pivotArea dataOnly="0" labelOnly="1" fieldPosition="0">
        <references count="1">
          <reference field="42" count="0"/>
        </references>
      </pivotArea>
    </format>
    <format dxfId="1094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1093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1092">
      <pivotArea dataOnly="0" labelOnly="1" fieldPosition="0">
        <references count="1">
          <reference field="42" count="0"/>
        </references>
      </pivotArea>
    </format>
    <format dxfId="1091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1090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1089">
      <pivotArea dataOnly="0" labelOnly="1" fieldPosition="0">
        <references count="1">
          <reference field="42" count="1">
            <x v="2"/>
          </reference>
        </references>
      </pivotArea>
    </format>
    <format dxfId="1088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1087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6"/>
          </reference>
        </references>
      </pivotArea>
    </format>
    <format dxfId="1086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1085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6"/>
          </reference>
        </references>
      </pivotArea>
    </format>
    <format dxfId="1084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1083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0"/>
          </reference>
        </references>
      </pivotArea>
    </format>
    <format dxfId="1082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6"/>
          </reference>
        </references>
      </pivotArea>
    </format>
    <format dxfId="1081">
      <pivotArea dataOnly="0" labelOnly="1" fieldPosition="0">
        <references count="2">
          <reference field="39" count="3">
            <x v="1"/>
            <x v="3"/>
            <x v="4"/>
          </reference>
          <reference field="42" count="1" selected="0">
            <x v="6"/>
          </reference>
        </references>
      </pivotArea>
    </format>
    <format dxfId="1080">
      <pivotArea dataOnly="0" labelOnly="1" fieldPosition="0">
        <references count="2">
          <reference field="39" count="3">
            <x v="1"/>
            <x v="3"/>
            <x v="4"/>
          </reference>
          <reference field="42" count="1" selected="0">
            <x v="6"/>
          </reference>
        </references>
      </pivotArea>
    </format>
    <format dxfId="1079"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4"/>
          </reference>
        </references>
      </pivotArea>
    </format>
    <format dxfId="1078">
      <pivotArea dataOnly="0" labelOnly="1" fieldPosition="0">
        <references count="2">
          <reference field="39" count="2">
            <x v="3"/>
            <x v="4"/>
          </reference>
          <reference field="42" count="1" selected="0">
            <x v="0"/>
          </reference>
        </references>
      </pivotArea>
    </format>
    <format dxfId="1077"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4"/>
          </reference>
        </references>
      </pivotArea>
    </format>
    <format dxfId="1076">
      <pivotArea dataOnly="0" labelOnly="1" fieldPosition="0">
        <references count="2">
          <reference field="39" count="2">
            <x v="3"/>
            <x v="4"/>
          </reference>
          <reference field="42" count="1" selected="0">
            <x v="0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4"/>
          </reference>
        </references>
      </pivotArea>
    </format>
    <format>
      <pivotArea dataOnly="0" labelOnly="1" fieldPosition="0">
        <references count="2">
          <reference field="39" count="3">
            <x v="1"/>
            <x v="3"/>
            <x v="4"/>
          </reference>
          <reference field="42" count="1" selected="0">
            <x v="0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 dxfId="1075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1074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4"/>
          </reference>
        </references>
      </pivotArea>
    </format>
    <format dxfId="1073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6"/>
          </reference>
        </references>
      </pivotArea>
    </format>
    <format dxfId="1072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0"/>
          </reference>
        </references>
      </pivotArea>
    </format>
    <format dxfId="1071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1070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4"/>
          </reference>
        </references>
      </pivotArea>
    </format>
    <format dxfId="1069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6"/>
          </reference>
        </references>
      </pivotArea>
    </format>
    <format dxfId="1068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0"/>
          </reference>
        </references>
      </pivotArea>
    </format>
    <format dxfId="1067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4"/>
          </reference>
        </references>
      </pivotArea>
    </format>
    <format dxfId="1066">
      <pivotArea dataOnly="0" labelOnly="1" fieldPosition="0">
        <references count="2">
          <reference field="39" count="3">
            <x v="1"/>
            <x v="2"/>
            <x v="5"/>
          </reference>
          <reference field="42" count="1" selected="0">
            <x v="6"/>
          </reference>
        </references>
      </pivotArea>
    </format>
    <format dxfId="1065">
      <pivotArea dataOnly="0" labelOnly="1" fieldPosition="0">
        <references count="2">
          <reference field="39" count="3">
            <x v="1"/>
            <x v="2"/>
            <x v="5"/>
          </reference>
          <reference field="42" count="1" selected="0">
            <x v="0"/>
          </reference>
        </references>
      </pivotArea>
    </format>
    <format dxfId="1064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4"/>
          </reference>
        </references>
      </pivotArea>
    </format>
    <format dxfId="1063">
      <pivotArea dataOnly="0" labelOnly="1" fieldPosition="0">
        <references count="2">
          <reference field="39" count="3">
            <x v="1"/>
            <x v="2"/>
            <x v="5"/>
          </reference>
          <reference field="42" count="1" selected="0">
            <x v="6"/>
          </reference>
        </references>
      </pivotArea>
    </format>
    <format dxfId="1062">
      <pivotArea dataOnly="0" labelOnly="1" fieldPosition="0">
        <references count="2">
          <reference field="39" count="3">
            <x v="1"/>
            <x v="2"/>
            <x v="5"/>
          </reference>
          <reference field="42" count="1" selected="0">
            <x v="0"/>
          </reference>
        </references>
      </pivotArea>
    </format>
    <format dxfId="1061">
      <pivotArea dataOnly="0" labelOnly="1" fieldPosition="0">
        <references count="2">
          <reference field="39" count="2">
            <x v="1"/>
            <x v="5"/>
          </reference>
          <reference field="42" count="1" selected="0">
            <x v="4"/>
          </reference>
        </references>
      </pivotArea>
    </format>
    <format dxfId="1060">
      <pivotArea dataOnly="0" labelOnly="1" fieldPosition="0">
        <references count="2">
          <reference field="39" count="2">
            <x v="1"/>
            <x v="5"/>
          </reference>
          <reference field="42" count="1" selected="0">
            <x v="4"/>
          </reference>
        </references>
      </pivotArea>
    </format>
    <format dxfId="1059">
      <pivotArea type="origin" dataOnly="0" labelOnly="1" outline="0" fieldPosition="0"/>
    </format>
    <format dxfId="1058">
      <pivotArea field="42" type="button" dataOnly="0" labelOnly="1" outline="0" axis="axisRow" fieldPosition="0"/>
    </format>
    <format dxfId="1057">
      <pivotArea dataOnly="0" labelOnly="1" fieldPosition="0">
        <references count="1">
          <reference field="42" count="0"/>
        </references>
      </pivotArea>
    </format>
    <format dxfId="1056">
      <pivotArea dataOnly="0" labelOnly="1" fieldPosition="0">
        <references count="1">
          <reference field="42" count="0" defaultSubtotal="1"/>
        </references>
      </pivotArea>
    </format>
    <format dxfId="1055">
      <pivotArea dataOnly="0" labelOnly="1" grandRow="1" outline="0" fieldPosition="0"/>
    </format>
    <format dxfId="1054">
      <pivotArea dataOnly="0" labelOnly="1" fieldPosition="0">
        <references count="2">
          <reference field="39" count="1">
            <x v="1"/>
          </reference>
          <reference field="42" count="1" selected="0">
            <x v="4"/>
          </reference>
        </references>
      </pivotArea>
    </format>
    <format dxfId="1053">
      <pivotArea dataOnly="0" labelOnly="1" fieldPosition="0">
        <references count="2">
          <reference field="39" count="2">
            <x v="1"/>
            <x v="2"/>
          </reference>
          <reference field="42" count="1" selected="0">
            <x v="3"/>
          </reference>
        </references>
      </pivotArea>
    </format>
    <format dxfId="1052"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6"/>
          </reference>
        </references>
      </pivotArea>
    </format>
    <format dxfId="1051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0"/>
          </reference>
        </references>
      </pivotArea>
    </format>
    <format dxfId="1050">
      <pivotArea outline="0" collapsedLevelsAreSubtotals="1" fieldPosition="0">
        <references count="1">
          <reference field="36" count="1" selected="0">
            <x v="3"/>
          </reference>
        </references>
      </pivotArea>
    </format>
    <format dxfId="1049">
      <pivotArea outline="0" collapsedLevelsAreSubtotals="1" fieldPosition="0">
        <references count="1">
          <reference field="36" count="1" selected="0">
            <x v="6"/>
          </reference>
        </references>
      </pivotArea>
    </format>
    <format dxfId="1048">
      <pivotArea type="origin" dataOnly="0" labelOnly="1" outline="0" fieldPosition="0"/>
    </format>
    <format dxfId="1047">
      <pivotArea field="36" type="button" dataOnly="0" labelOnly="1" outline="0" axis="axisCol" fieldPosition="0"/>
    </format>
    <format dxfId="1046">
      <pivotArea type="topRight" dataOnly="0" labelOnly="1" outline="0" fieldPosition="0"/>
    </format>
    <format dxfId="1045">
      <pivotArea type="origin" dataOnly="0" labelOnly="1" outline="0" fieldPosition="0"/>
    </format>
    <format dxfId="1044">
      <pivotArea field="36" type="button" dataOnly="0" labelOnly="1" outline="0" axis="axisCol" fieldPosition="0"/>
    </format>
    <format dxfId="1043">
      <pivotArea type="topRight" dataOnly="0" labelOnly="1" outline="0" fieldPosition="0"/>
    </format>
    <format dxfId="1042">
      <pivotArea type="origin" dataOnly="0" labelOnly="1" outline="0" fieldPosition="0"/>
    </format>
    <format dxfId="1041">
      <pivotArea field="36" type="button" dataOnly="0" labelOnly="1" outline="0" axis="axisCol" fieldPosition="0"/>
    </format>
    <format dxfId="1040">
      <pivotArea type="topRight" dataOnly="0" labelOnly="1" outline="0" fieldPosition="0"/>
    </format>
    <format dxfId="1039">
      <pivotArea field="42" type="button" dataOnly="0" labelOnly="1" outline="0" axis="axisRow" fieldPosition="0"/>
    </format>
    <format dxfId="1038">
      <pivotArea field="39" type="button" dataOnly="0" labelOnly="1" outline="0" axis="axisRow" fieldPosition="1"/>
    </format>
    <format dxfId="1037">
      <pivotArea dataOnly="0" labelOnly="1" outline="0" fieldPosition="0">
        <references count="1">
          <reference field="36" count="5">
            <x v="0"/>
            <x v="2"/>
            <x v="4"/>
            <x v="5"/>
            <x v="6"/>
          </reference>
        </references>
      </pivotArea>
    </format>
    <format dxfId="1036">
      <pivotArea dataOnly="0" labelOnly="1" grandCol="1" outline="0" fieldPosition="0"/>
    </format>
    <format dxfId="1035">
      <pivotArea field="42" type="button" dataOnly="0" labelOnly="1" outline="0" axis="axisRow" fieldPosition="0"/>
    </format>
    <format dxfId="1034">
      <pivotArea field="39" type="button" dataOnly="0" labelOnly="1" outline="0" axis="axisRow" fieldPosition="1"/>
    </format>
    <format dxfId="1033">
      <pivotArea dataOnly="0" labelOnly="1" outline="0" fieldPosition="0">
        <references count="1">
          <reference field="36" count="5">
            <x v="0"/>
            <x v="2"/>
            <x v="4"/>
            <x v="5"/>
            <x v="6"/>
          </reference>
        </references>
      </pivotArea>
    </format>
    <format dxfId="1032">
      <pivotArea dataOnly="0" labelOnly="1" grandCol="1" outline="0" fieldPosition="0"/>
    </format>
    <format dxfId="1031">
      <pivotArea outline="0" fieldPosition="0">
        <references count="2">
          <reference field="39" count="1" selected="0">
            <x v="1"/>
          </reference>
          <reference field="42" count="1" selected="0">
            <x v="4"/>
          </reference>
        </references>
      </pivotArea>
    </format>
    <format dxfId="1030">
      <pivotArea dataOnly="0" labelOnly="1" outline="0" offset="IV1" fieldPosition="0">
        <references count="1">
          <reference field="42" count="1">
            <x v="4"/>
          </reference>
        </references>
      </pivotArea>
    </format>
    <format dxfId="1029">
      <pivotArea dataOnly="0" labelOnly="1" outline="0" fieldPosition="0">
        <references count="2">
          <reference field="39" count="1">
            <x v="1"/>
          </reference>
          <reference field="42" count="1" selected="0">
            <x v="4"/>
          </reference>
        </references>
      </pivotArea>
    </format>
    <format dxfId="1028">
      <pivotArea outline="0" fieldPosition="0">
        <references count="2">
          <reference field="39" count="1" selected="0">
            <x v="1"/>
          </reference>
          <reference field="42" count="1" selected="0">
            <x v="4"/>
          </reference>
        </references>
      </pivotArea>
    </format>
    <format dxfId="1027">
      <pivotArea dataOnly="0" labelOnly="1" outline="0" fieldPosition="0">
        <references count="1">
          <reference field="42" count="1">
            <x v="4"/>
          </reference>
        </references>
      </pivotArea>
    </format>
    <format dxfId="1026">
      <pivotArea dataOnly="0" labelOnly="1" outline="0" fieldPosition="0">
        <references count="2">
          <reference field="39" count="1">
            <x v="1"/>
          </reference>
          <reference field="42" count="1" selected="0">
            <x v="4"/>
          </reference>
        </references>
      </pivotArea>
    </format>
    <format dxfId="1025">
      <pivotArea outline="0" fieldPosition="0">
        <references count="2">
          <reference field="39" count="1" selected="0">
            <x v="5"/>
          </reference>
          <reference field="42" count="1" selected="0">
            <x v="4"/>
          </reference>
        </references>
      </pivotArea>
    </format>
    <format dxfId="1024">
      <pivotArea dataOnly="0" labelOnly="1" outline="0" offset="IV2" fieldPosition="0">
        <references count="1">
          <reference field="42" count="1">
            <x v="4"/>
          </reference>
        </references>
      </pivotArea>
    </format>
    <format dxfId="1023">
      <pivotArea dataOnly="0" labelOnly="1" outline="0" fieldPosition="0">
        <references count="2">
          <reference field="39" count="1">
            <x v="5"/>
          </reference>
          <reference field="42" count="1" selected="0">
            <x v="4"/>
          </reference>
        </references>
      </pivotArea>
    </format>
    <format dxfId="1022">
      <pivotArea outline="0" fieldPosition="0">
        <references count="2">
          <reference field="39" count="1" selected="0">
            <x v="5"/>
          </reference>
          <reference field="42" count="1" selected="0">
            <x v="4"/>
          </reference>
        </references>
      </pivotArea>
    </format>
    <format dxfId="1021">
      <pivotArea outline="0" fieldPosition="0">
        <references count="2">
          <reference field="39" count="1" selected="0">
            <x v="2"/>
          </reference>
          <reference field="42" count="1" selected="0">
            <x v="4"/>
          </reference>
        </references>
      </pivotArea>
    </format>
    <format dxfId="1020">
      <pivotArea dataOnly="0" labelOnly="1" outline="0" offset="IV256" fieldPosition="0">
        <references count="1">
          <reference field="42" count="1">
            <x v="4"/>
          </reference>
        </references>
      </pivotArea>
    </format>
    <format dxfId="1019">
      <pivotArea dataOnly="0" labelOnly="1" outline="0" fieldPosition="0">
        <references count="2">
          <reference field="39" count="1">
            <x v="2"/>
          </reference>
          <reference field="42" count="1" selected="0">
            <x v="4"/>
          </reference>
        </references>
      </pivotArea>
    </format>
    <format dxfId="1018">
      <pivotArea outline="0" fieldPosition="0">
        <references count="2">
          <reference field="39" count="1" selected="0">
            <x v="2"/>
          </reference>
          <reference field="42" count="1" selected="0">
            <x v="4"/>
          </reference>
        </references>
      </pivotArea>
    </format>
    <format dxfId="1017">
      <pivotArea dataOnly="0" labelOnly="1" outline="0" fieldPosition="0">
        <references count="1">
          <reference field="42" count="1">
            <x v="4"/>
          </reference>
        </references>
      </pivotArea>
    </format>
    <format dxfId="1016">
      <pivotArea dataOnly="0" labelOnly="1" outline="0" fieldPosition="0">
        <references count="2">
          <reference field="39" count="1">
            <x v="2"/>
          </reference>
          <reference field="42" count="1" selected="0">
            <x v="4"/>
          </reference>
        </references>
      </pivotArea>
    </format>
    <format dxfId="1015">
      <pivotArea outline="0" fieldPosition="0">
        <references count="2">
          <reference field="39" count="1" selected="0">
            <x v="1"/>
          </reference>
          <reference field="42" count="1" selected="0">
            <x v="3"/>
          </reference>
        </references>
      </pivotArea>
    </format>
    <format dxfId="1014">
      <pivotArea dataOnly="0" labelOnly="1" outline="0" fieldPosition="0">
        <references count="1">
          <reference field="42" count="1">
            <x v="3"/>
          </reference>
        </references>
      </pivotArea>
    </format>
    <format dxfId="1013">
      <pivotArea dataOnly="0" labelOnly="1" outline="0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 dxfId="1012">
      <pivotArea outline="0" fieldPosition="0">
        <references count="2">
          <reference field="39" count="1" selected="0">
            <x v="1"/>
          </reference>
          <reference field="42" count="1" selected="0">
            <x v="3"/>
          </reference>
        </references>
      </pivotArea>
    </format>
    <format dxfId="1011">
      <pivotArea dataOnly="0" labelOnly="1" outline="0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 dxfId="1010">
      <pivotArea outline="0" fieldPosition="0">
        <references count="2">
          <reference field="39" count="1" selected="0">
            <x v="1"/>
          </reference>
          <reference field="42" count="1" selected="0">
            <x v="6"/>
          </reference>
        </references>
      </pivotArea>
    </format>
    <format dxfId="1009">
      <pivotArea dataOnly="0" labelOnly="1" outline="0" offset="IV1" fieldPosition="0">
        <references count="1">
          <reference field="42" count="1">
            <x v="6"/>
          </reference>
        </references>
      </pivotArea>
    </format>
    <format dxfId="1008">
      <pivotArea dataOnly="0" labelOnly="1" outline="0" fieldPosition="0">
        <references count="2">
          <reference field="39" count="1">
            <x v="1"/>
          </reference>
          <reference field="42" count="1" selected="0">
            <x v="6"/>
          </reference>
        </references>
      </pivotArea>
    </format>
    <format dxfId="1007">
      <pivotArea outline="0" fieldPosition="0">
        <references count="2">
          <reference field="39" count="1" selected="0">
            <x v="1"/>
          </reference>
          <reference field="42" count="1" selected="0">
            <x v="6"/>
          </reference>
        </references>
      </pivotArea>
    </format>
    <format dxfId="1006">
      <pivotArea dataOnly="0" labelOnly="1" outline="0" fieldPosition="0">
        <references count="1">
          <reference field="42" count="1">
            <x v="6"/>
          </reference>
        </references>
      </pivotArea>
    </format>
    <format dxfId="1005">
      <pivotArea dataOnly="0" labelOnly="1" outline="0" fieldPosition="0">
        <references count="2">
          <reference field="39" count="1">
            <x v="1"/>
          </reference>
          <reference field="42" count="1" selected="0">
            <x v="6"/>
          </reference>
        </references>
      </pivotArea>
    </format>
    <format dxfId="1004">
      <pivotArea outline="0" fieldPosition="0">
        <references count="2">
          <reference field="39" count="1" selected="0">
            <x v="5"/>
          </reference>
          <reference field="42" count="1" selected="0">
            <x v="6"/>
          </reference>
        </references>
      </pivotArea>
    </format>
    <format dxfId="1003">
      <pivotArea dataOnly="0" labelOnly="1" outline="0" offset="IV256" fieldPosition="0">
        <references count="1">
          <reference field="42" count="1">
            <x v="6"/>
          </reference>
        </references>
      </pivotArea>
    </format>
    <format dxfId="1002">
      <pivotArea dataOnly="0" labelOnly="1" outline="0" fieldPosition="0">
        <references count="2">
          <reference field="39" count="1">
            <x v="5"/>
          </reference>
          <reference field="42" count="1" selected="0">
            <x v="6"/>
          </reference>
        </references>
      </pivotArea>
    </format>
    <format dxfId="1001">
      <pivotArea outline="0" fieldPosition="0">
        <references count="2">
          <reference field="39" count="1" selected="0">
            <x v="5"/>
          </reference>
          <reference field="42" count="1" selected="0">
            <x v="6"/>
          </reference>
        </references>
      </pivotArea>
    </format>
    <format dxfId="1000">
      <pivotArea dataOnly="0" labelOnly="1" outline="0" fieldPosition="0">
        <references count="1">
          <reference field="42" count="1">
            <x v="6"/>
          </reference>
        </references>
      </pivotArea>
    </format>
    <format dxfId="999">
      <pivotArea dataOnly="0" labelOnly="1" outline="0" fieldPosition="0">
        <references count="2">
          <reference field="39" count="1">
            <x v="5"/>
          </reference>
          <reference field="42" count="1" selected="0">
            <x v="6"/>
          </reference>
        </references>
      </pivotArea>
    </format>
    <format dxfId="998">
      <pivotArea outline="0" fieldPosition="0">
        <references count="2">
          <reference field="39" count="1" selected="0">
            <x v="1"/>
          </reference>
          <reference field="42" count="1" selected="0">
            <x v="0"/>
          </reference>
        </references>
      </pivotArea>
    </format>
    <format dxfId="997">
      <pivotArea dataOnly="0" labelOnly="1" outline="0" offset="IV1" fieldPosition="0">
        <references count="1">
          <reference field="42" count="1">
            <x v="0"/>
          </reference>
        </references>
      </pivotArea>
    </format>
    <format dxfId="996">
      <pivotArea dataOnly="0" labelOnly="1" outline="0" fieldPosition="0">
        <references count="2">
          <reference field="39" count="1">
            <x v="1"/>
          </reference>
          <reference field="42" count="1" selected="0">
            <x v="0"/>
          </reference>
        </references>
      </pivotArea>
    </format>
    <format dxfId="995">
      <pivotArea outline="0" fieldPosition="0">
        <references count="2">
          <reference field="39" count="1" selected="0">
            <x v="1"/>
          </reference>
          <reference field="42" count="1" selected="0">
            <x v="0"/>
          </reference>
        </references>
      </pivotArea>
    </format>
    <format dxfId="994">
      <pivotArea dataOnly="0" labelOnly="1" outline="0" fieldPosition="0">
        <references count="1">
          <reference field="42" count="1">
            <x v="0"/>
          </reference>
        </references>
      </pivotArea>
    </format>
    <format dxfId="993">
      <pivotArea dataOnly="0" labelOnly="1" outline="0" fieldPosition="0">
        <references count="2">
          <reference field="39" count="1">
            <x v="1"/>
          </reference>
          <reference field="42" count="1" selected="0">
            <x v="0"/>
          </reference>
        </references>
      </pivotArea>
    </format>
    <format dxfId="992">
      <pivotArea outline="0" fieldPosition="0">
        <references count="2">
          <reference field="39" count="1" selected="0">
            <x v="5"/>
          </reference>
          <reference field="42" count="1" selected="0">
            <x v="0"/>
          </reference>
        </references>
      </pivotArea>
    </format>
    <format dxfId="991">
      <pivotArea dataOnly="0" labelOnly="1" outline="0" offset="IV256" fieldPosition="0">
        <references count="1">
          <reference field="42" count="1">
            <x v="0"/>
          </reference>
        </references>
      </pivotArea>
    </format>
    <format dxfId="990">
      <pivotArea dataOnly="0" labelOnly="1" outline="0" fieldPosition="0">
        <references count="2">
          <reference field="39" count="1">
            <x v="5"/>
          </reference>
          <reference field="42" count="1" selected="0">
            <x v="0"/>
          </reference>
        </references>
      </pivotArea>
    </format>
    <format dxfId="989">
      <pivotArea outline="0" fieldPosition="0">
        <references count="2">
          <reference field="39" count="1" selected="0">
            <x v="5"/>
          </reference>
          <reference field="42" count="1" selected="0">
            <x v="0"/>
          </reference>
        </references>
      </pivotArea>
    </format>
    <format dxfId="988">
      <pivotArea dataOnly="0" labelOnly="1" outline="0" fieldPosition="0">
        <references count="1">
          <reference field="42" count="1">
            <x v="0"/>
          </reference>
        </references>
      </pivotArea>
    </format>
    <format dxfId="987">
      <pivotArea dataOnly="0" labelOnly="1" outline="0" fieldPosition="0">
        <references count="2">
          <reference field="39" count="1">
            <x v="5"/>
          </reference>
          <reference field="42" count="1" selected="0">
            <x v="0"/>
          </reference>
        </references>
      </pivotArea>
    </format>
    <format dxfId="986">
      <pivotArea outline="0" fieldPosition="0">
        <references count="2">
          <reference field="39" count="1" selected="0">
            <x v="5"/>
          </reference>
          <reference field="42" count="1" selected="0">
            <x v="1"/>
          </reference>
        </references>
      </pivotArea>
    </format>
    <format dxfId="985">
      <pivotArea dataOnly="0" labelOnly="1" outline="0" offset="IV1" fieldPosition="0">
        <references count="1">
          <reference field="42" count="1">
            <x v="1"/>
          </reference>
        </references>
      </pivotArea>
    </format>
    <format dxfId="984">
      <pivotArea dataOnly="0" labelOnly="1" outline="0" fieldPosition="0">
        <references count="2">
          <reference field="39" count="1">
            <x v="5"/>
          </reference>
          <reference field="42" count="1" selected="0">
            <x v="1"/>
          </reference>
        </references>
      </pivotArea>
    </format>
    <format dxfId="983">
      <pivotArea outline="0" fieldPosition="0">
        <references count="2">
          <reference field="39" count="1" selected="0">
            <x v="5"/>
          </reference>
          <reference field="42" count="1" selected="0">
            <x v="1"/>
          </reference>
        </references>
      </pivotArea>
    </format>
    <format dxfId="982">
      <pivotArea dataOnly="0" labelOnly="1" outline="0" fieldPosition="0">
        <references count="1">
          <reference field="42" count="1">
            <x v="1"/>
          </reference>
        </references>
      </pivotArea>
    </format>
    <format dxfId="981">
      <pivotArea dataOnly="0" labelOnly="1" outline="0" fieldPosition="0">
        <references count="2">
          <reference field="39" count="1">
            <x v="5"/>
          </reference>
          <reference field="42" count="1" selected="0">
            <x v="1"/>
          </reference>
        </references>
      </pivotArea>
    </format>
    <format dxfId="980">
      <pivotArea outline="0" fieldPosition="0">
        <references count="2">
          <reference field="39" count="1" selected="0">
            <x v="4"/>
          </reference>
          <reference field="42" count="1" selected="0">
            <x v="1"/>
          </reference>
        </references>
      </pivotArea>
    </format>
    <format dxfId="979">
      <pivotArea dataOnly="0" labelOnly="1" outline="0" offset="IV256" fieldPosition="0">
        <references count="1">
          <reference field="42" count="1">
            <x v="1"/>
          </reference>
        </references>
      </pivotArea>
    </format>
    <format dxfId="978">
      <pivotArea dataOnly="0" labelOnly="1" outline="0" fieldPosition="0">
        <references count="2">
          <reference field="39" count="1">
            <x v="4"/>
          </reference>
          <reference field="42" count="1" selected="0">
            <x v="1"/>
          </reference>
        </references>
      </pivotArea>
    </format>
    <format dxfId="977">
      <pivotArea outline="0" fieldPosition="0">
        <references count="2">
          <reference field="39" count="1" selected="0">
            <x v="4"/>
          </reference>
          <reference field="42" count="1" selected="0">
            <x v="1"/>
          </reference>
        </references>
      </pivotArea>
    </format>
    <format dxfId="976">
      <pivotArea dataOnly="0" labelOnly="1" outline="0" fieldPosition="0">
        <references count="1">
          <reference field="42" count="1">
            <x v="1"/>
          </reference>
        </references>
      </pivotArea>
    </format>
    <format dxfId="975">
      <pivotArea dataOnly="0" labelOnly="1" outline="0" fieldPosition="0">
        <references count="2">
          <reference field="39" count="1">
            <x v="4"/>
          </reference>
          <reference field="42" count="1" selected="0">
            <x v="1"/>
          </reference>
        </references>
      </pivotArea>
    </format>
    <format dxfId="974">
      <pivotArea grandRow="1" outline="0" collapsedLevelsAreSubtotals="1" fieldPosition="0"/>
    </format>
    <format dxfId="973">
      <pivotArea dataOnly="0" labelOnly="1" grandRow="1" outline="0" fieldPosition="0"/>
    </format>
    <format dxfId="972">
      <pivotArea grandRow="1" outline="0" collapsedLevelsAreSubtotals="1" fieldPosition="0"/>
    </format>
    <format dxfId="971">
      <pivotArea dataOnly="0" labelOnly="1" grandRow="1" outline="0" fieldPosition="0"/>
    </format>
    <format dxfId="970">
      <pivotArea grandRow="1" outline="0" collapsedLevelsAreSubtotals="1" fieldPosition="0"/>
    </format>
    <format dxfId="969">
      <pivotArea dataOnly="0" labelOnly="1" grandRow="1" outline="0" fieldPosition="0"/>
    </format>
    <format>
      <pivotArea type="all" dataOnly="0" outline="0" fieldPosition="0"/>
    </format>
    <format>
      <pivotArea type="origin" dataOnly="0" labelOnly="1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grandRow="1" outline="0" fieldPosition="0"/>
    </format>
    <format dxfId="968">
      <pivotArea type="origin" dataOnly="0" labelOnly="1" outline="0" fieldPosition="0"/>
    </format>
    <format dxfId="967">
      <pivotArea field="36" type="button" dataOnly="0" labelOnly="1" outline="0" axis="axisCol" fieldPosition="0"/>
    </format>
    <format dxfId="966">
      <pivotArea type="topRight" dataOnly="0" labelOnly="1" outline="0" fieldPosition="0"/>
    </format>
    <format dxfId="965">
      <pivotArea type="origin" dataOnly="0" labelOnly="1" outline="0" fieldPosition="0"/>
    </format>
    <format dxfId="964">
      <pivotArea field="36" type="button" dataOnly="0" labelOnly="1" outline="0" axis="axisCol" fieldPosition="0"/>
    </format>
    <format dxfId="963">
      <pivotArea type="topRight" dataOnly="0" labelOnly="1" outline="0" fieldPosition="0"/>
    </format>
    <format dxfId="962">
      <pivotArea type="origin" dataOnly="0" labelOnly="1" outline="0" fieldPosition="0"/>
    </format>
    <format dxfId="961">
      <pivotArea field="36" type="button" dataOnly="0" labelOnly="1" outline="0" axis="axisCol" fieldPosition="0"/>
    </format>
    <format dxfId="960">
      <pivotArea type="topRight" dataOnly="0" labelOnly="1" outline="0" fieldPosition="0"/>
    </format>
    <format dxfId="959">
      <pivotArea grandRow="1" outline="0" collapsedLevelsAreSubtotals="1" fieldPosition="0"/>
    </format>
    <format dxfId="958">
      <pivotArea dataOnly="0" labelOnly="1" grandRow="1" outline="0" fieldPosition="0"/>
    </format>
    <format dxfId="957">
      <pivotArea grandRow="1" outline="0" collapsedLevelsAreSubtotals="1" fieldPosition="0"/>
    </format>
    <format dxfId="956">
      <pivotArea dataOnly="0" labelOnly="1" grandRow="1" outline="0" fieldPosition="0"/>
    </format>
    <format dxfId="955">
      <pivotArea grandRow="1" outline="0" collapsedLevelsAreSubtotals="1" fieldPosition="0"/>
    </format>
    <format dxfId="954">
      <pivotArea dataOnly="0" labelOnly="1" grandRow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type="origin" dataOnly="0" labelOnly="1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field="42" type="button" dataOnly="0" labelOnly="1" outline="0" axis="axisRow" fieldPosition="0"/>
    </format>
    <format>
      <pivotArea field="39" type="button" dataOnly="0" labelOnly="1" outline="0" axis="axisRow" fieldPosition="1"/>
    </format>
    <format>
      <pivotArea dataOnly="0" labelOnly="1" outline="0" fieldPosition="0">
        <references count="1">
          <reference field="42" count="0"/>
        </references>
      </pivotArea>
    </format>
    <format>
      <pivotArea dataOnly="0" labelOnly="1" grandRow="1" outline="0" fieldPosition="0"/>
    </format>
    <format>
      <pivotArea dataOnly="0" labelOnly="1" outline="0" fieldPosition="0">
        <references count="2">
          <reference field="39" count="3">
            <x v="1"/>
            <x v="2"/>
            <x v="5"/>
          </reference>
          <reference field="42" count="1" selected="0">
            <x v="4"/>
          </reference>
        </references>
      </pivotArea>
    </format>
    <format>
      <pivotArea dataOnly="0" labelOnly="1" outline="0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>
      <pivotArea dataOnly="0" labelOnly="1" outline="0" fieldPosition="0">
        <references count="2">
          <reference field="39" count="2">
            <x v="1"/>
            <x v="5"/>
          </reference>
          <reference field="42" count="1" selected="0">
            <x v="6"/>
          </reference>
        </references>
      </pivotArea>
    </format>
    <format>
      <pivotArea dataOnly="0" labelOnly="1" outline="0" fieldPosition="0">
        <references count="2">
          <reference field="39" count="2">
            <x v="1"/>
            <x v="5"/>
          </reference>
          <reference field="42" count="1" selected="0">
            <x v="0"/>
          </reference>
        </references>
      </pivotArea>
    </format>
    <format>
      <pivotArea dataOnly="0" labelOnly="1" outline="0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>
      <pivotArea dataOnly="0" labelOnly="1" outline="0" fieldPosition="0">
        <references count="1">
          <reference field="36" count="5">
            <x v="0"/>
            <x v="2"/>
            <x v="4"/>
            <x v="5"/>
            <x v="6"/>
          </reference>
        </references>
      </pivotArea>
    </format>
    <format>
      <pivotArea dataOnly="0" labelOnly="1" grandCol="1" outline="0" fieldPosition="0"/>
    </format>
    <format dxfId="953">
      <pivotArea dataOnly="0" labelOnly="1" outline="0" offset="IV1" fieldPosition="0">
        <references count="1">
          <reference field="42" count="1">
            <x v="4"/>
          </reference>
        </references>
      </pivotArea>
    </format>
    <format dxfId="952">
      <pivotArea dataOnly="0" labelOnly="1" outline="0" fieldPosition="0">
        <references count="1">
          <reference field="42" count="1">
            <x v="3"/>
          </reference>
        </references>
      </pivotArea>
    </format>
    <format dxfId="951">
      <pivotArea dataOnly="0" labelOnly="1" outline="0" offset="IV1" fieldPosition="0">
        <references count="1">
          <reference field="42" count="1">
            <x v="6"/>
          </reference>
        </references>
      </pivotArea>
    </format>
    <format dxfId="950">
      <pivotArea dataOnly="0" labelOnly="1" outline="0" offset="IV1" fieldPosition="0">
        <references count="1">
          <reference field="42" count="1">
            <x v="0"/>
          </reference>
        </references>
      </pivotArea>
    </format>
    <format dxfId="949">
      <pivotArea dataOnly="0" labelOnly="1" outline="0" offset="IV1" fieldPosition="0">
        <references count="1">
          <reference field="42" count="1">
            <x v="1"/>
          </reference>
        </references>
      </pivotArea>
    </format>
  </formats>
  <pivotTableStyleInfo name="Estilo de Tabela Dinâmica 1" showRowHeaders="1" showColHeaders="1" showRowStripes="1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Aging_Responsavel" cacheId="153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79:I88" firstHeaderRow="1" firstDataRow="2" firstDataCol="1"/>
  <pivotFields count="45">
    <pivotField compact="0" outline="0" showAll="0"/>
    <pivotField compact="0" outline="0" showAll="0"/>
    <pivotField compact="0" outline="0" showAll="0"/>
    <pivotField compact="0" outline="0" showAll="0">
      <items count="516">
        <item x="514"/>
        <item x="0"/>
        <item x="1"/>
        <item x="2"/>
        <item x="3"/>
        <item x="4"/>
        <item x="5"/>
        <item x="8"/>
        <item x="9"/>
        <item x="6"/>
        <item x="21"/>
        <item x="12"/>
        <item x="10"/>
        <item x="7"/>
        <item x="15"/>
        <item x="16"/>
        <item x="13"/>
        <item x="37"/>
        <item x="14"/>
        <item x="17"/>
        <item x="11"/>
        <item x="32"/>
        <item x="26"/>
        <item x="27"/>
        <item x="36"/>
        <item x="33"/>
        <item x="18"/>
        <item x="20"/>
        <item x="19"/>
        <item x="47"/>
        <item x="38"/>
        <item x="48"/>
        <item x="45"/>
        <item x="28"/>
        <item x="41"/>
        <item x="46"/>
        <item x="25"/>
        <item x="34"/>
        <item x="22"/>
        <item x="23"/>
        <item x="24"/>
        <item x="39"/>
        <item x="43"/>
        <item x="64"/>
        <item x="77"/>
        <item x="79"/>
        <item x="40"/>
        <item x="42"/>
        <item x="84"/>
        <item x="83"/>
        <item x="35"/>
        <item x="91"/>
        <item x="52"/>
        <item x="73"/>
        <item x="76"/>
        <item x="74"/>
        <item x="78"/>
        <item x="87"/>
        <item x="51"/>
        <item x="54"/>
        <item x="57"/>
        <item x="58"/>
        <item x="90"/>
        <item x="55"/>
        <item x="59"/>
        <item x="60"/>
        <item x="61"/>
        <item x="82"/>
        <item x="100"/>
        <item x="63"/>
        <item x="67"/>
        <item x="68"/>
        <item x="69"/>
        <item x="81"/>
        <item x="88"/>
        <item x="97"/>
        <item x="75"/>
        <item x="96"/>
        <item x="102"/>
        <item x="49"/>
        <item x="53"/>
        <item x="66"/>
        <item x="71"/>
        <item x="80"/>
        <item x="85"/>
        <item x="92"/>
        <item x="93"/>
        <item x="95"/>
        <item x="98"/>
        <item x="99"/>
        <item x="50"/>
        <item x="62"/>
        <item x="72"/>
        <item x="70"/>
        <item x="86"/>
        <item x="107"/>
        <item x="101"/>
        <item x="56"/>
        <item x="181"/>
        <item x="180"/>
        <item x="189"/>
        <item x="89"/>
        <item x="206"/>
        <item x="103"/>
        <item x="105"/>
        <item x="104"/>
        <item x="109"/>
        <item x="108"/>
        <item x="110"/>
        <item x="120"/>
        <item x="121"/>
        <item x="122"/>
        <item x="129"/>
        <item x="127"/>
        <item x="128"/>
        <item x="147"/>
        <item x="167"/>
        <item x="191"/>
        <item x="204"/>
        <item x="205"/>
        <item x="208"/>
        <item x="44"/>
        <item x="65"/>
        <item x="115"/>
        <item x="126"/>
        <item x="112"/>
        <item x="175"/>
        <item x="196"/>
        <item x="195"/>
        <item x="207"/>
        <item x="111"/>
        <item x="162"/>
        <item x="163"/>
        <item x="164"/>
        <item x="165"/>
        <item x="198"/>
        <item x="209"/>
        <item x="193"/>
        <item x="113"/>
        <item x="114"/>
        <item x="130"/>
        <item x="131"/>
        <item x="148"/>
        <item x="160"/>
        <item x="143"/>
        <item x="144"/>
        <item x="159"/>
        <item x="125"/>
        <item x="166"/>
        <item x="161"/>
        <item x="171"/>
        <item x="170"/>
        <item x="173"/>
        <item x="182"/>
        <item x="184"/>
        <item x="185"/>
        <item x="186"/>
        <item x="187"/>
        <item x="123"/>
        <item x="137"/>
        <item x="117"/>
        <item x="106"/>
        <item x="116"/>
        <item x="119"/>
        <item x="124"/>
        <item x="145"/>
        <item x="146"/>
        <item x="158"/>
        <item x="157"/>
        <item x="138"/>
        <item x="139"/>
        <item x="140"/>
        <item x="141"/>
        <item x="142"/>
        <item x="133"/>
        <item x="134"/>
        <item x="135"/>
        <item x="136"/>
        <item x="132"/>
        <item x="151"/>
        <item x="149"/>
        <item x="150"/>
        <item x="169"/>
        <item x="168"/>
        <item x="172"/>
        <item x="174"/>
        <item x="178"/>
        <item x="179"/>
        <item x="188"/>
        <item x="194"/>
        <item x="201"/>
        <item x="202"/>
        <item x="199"/>
        <item x="200"/>
        <item x="197"/>
        <item x="210"/>
        <item x="211"/>
        <item x="190"/>
        <item x="226"/>
        <item x="233"/>
        <item x="118"/>
        <item x="250"/>
        <item x="260"/>
        <item x="152"/>
        <item x="153"/>
        <item x="154"/>
        <item x="155"/>
        <item x="156"/>
        <item x="183"/>
        <item x="374"/>
        <item x="390"/>
        <item x="388"/>
        <item x="278"/>
        <item x="284"/>
        <item x="286"/>
        <item x="290"/>
        <item x="291"/>
        <item x="263"/>
        <item x="274"/>
        <item x="315"/>
        <item x="316"/>
        <item x="363"/>
        <item x="372"/>
        <item x="176"/>
        <item x="177"/>
        <item x="213"/>
        <item x="385"/>
        <item x="243"/>
        <item x="399"/>
        <item x="400"/>
        <item x="293"/>
        <item x="294"/>
        <item x="299"/>
        <item x="304"/>
        <item x="311"/>
        <item x="317"/>
        <item x="318"/>
        <item x="331"/>
        <item x="330"/>
        <item x="192"/>
        <item x="380"/>
        <item x="386"/>
        <item x="393"/>
        <item x="401"/>
        <item x="398"/>
        <item x="222"/>
        <item x="262"/>
        <item x="268"/>
        <item x="289"/>
        <item x="303"/>
        <item x="309"/>
        <item x="345"/>
        <item x="212"/>
        <item x="220"/>
        <item x="223"/>
        <item x="373"/>
        <item x="241"/>
        <item x="242"/>
        <item x="261"/>
        <item x="247"/>
        <item x="264"/>
        <item x="265"/>
        <item x="267"/>
        <item x="246"/>
        <item x="270"/>
        <item x="283"/>
        <item x="287"/>
        <item x="302"/>
        <item x="307"/>
        <item x="312"/>
        <item x="310"/>
        <item x="319"/>
        <item x="320"/>
        <item x="321"/>
        <item x="335"/>
        <item x="328"/>
        <item x="329"/>
        <item x="332"/>
        <item x="327"/>
        <item x="349"/>
        <item x="366"/>
        <item x="371"/>
        <item x="381"/>
        <item x="387"/>
        <item x="391"/>
        <item x="392"/>
        <item x="394"/>
        <item x="395"/>
        <item x="29"/>
        <item x="30"/>
        <item x="31"/>
        <item x="94"/>
        <item x="383"/>
        <item x="259"/>
        <item x="266"/>
        <item x="276"/>
        <item x="281"/>
        <item x="288"/>
        <item x="301"/>
        <item x="305"/>
        <item x="314"/>
        <item x="313"/>
        <item x="326"/>
        <item x="353"/>
        <item x="348"/>
        <item x="375"/>
        <item x="376"/>
        <item x="378"/>
        <item x="379"/>
        <item x="203"/>
        <item x="402"/>
        <item x="215"/>
        <item x="219"/>
        <item x="248"/>
        <item x="249"/>
        <item x="239"/>
        <item x="240"/>
        <item x="238"/>
        <item x="251"/>
        <item x="252"/>
        <item x="369"/>
        <item x="370"/>
        <item x="282"/>
        <item x="295"/>
        <item x="236"/>
        <item x="306"/>
        <item x="300"/>
        <item x="342"/>
        <item x="340"/>
        <item x="339"/>
        <item x="341"/>
        <item x="367"/>
        <item x="384"/>
        <item x="389"/>
        <item x="397"/>
        <item x="214"/>
        <item x="216"/>
        <item x="217"/>
        <item x="218"/>
        <item x="221"/>
        <item x="224"/>
        <item x="225"/>
        <item x="227"/>
        <item x="228"/>
        <item x="229"/>
        <item x="230"/>
        <item x="231"/>
        <item x="232"/>
        <item x="234"/>
        <item x="235"/>
        <item x="237"/>
        <item x="244"/>
        <item x="245"/>
        <item x="253"/>
        <item x="254"/>
        <item x="255"/>
        <item x="256"/>
        <item x="257"/>
        <item x="258"/>
        <item x="269"/>
        <item x="271"/>
        <item x="272"/>
        <item x="273"/>
        <item x="275"/>
        <item x="277"/>
        <item x="279"/>
        <item x="280"/>
        <item x="285"/>
        <item x="292"/>
        <item x="296"/>
        <item x="297"/>
        <item x="298"/>
        <item x="308"/>
        <item x="322"/>
        <item x="323"/>
        <item x="324"/>
        <item x="325"/>
        <item x="333"/>
        <item x="334"/>
        <item x="336"/>
        <item x="337"/>
        <item x="338"/>
        <item x="343"/>
        <item x="344"/>
        <item x="346"/>
        <item x="347"/>
        <item x="350"/>
        <item x="351"/>
        <item x="352"/>
        <item x="354"/>
        <item x="355"/>
        <item x="356"/>
        <item x="357"/>
        <item x="358"/>
        <item x="359"/>
        <item x="360"/>
        <item x="361"/>
        <item x="362"/>
        <item x="364"/>
        <item x="365"/>
        <item x="368"/>
        <item x="377"/>
        <item x="382"/>
        <item x="396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t="default"/>
      </items>
    </pivotField>
    <pivotField compact="0" outline="0" showAll="0"/>
    <pivotField axis="axisRow" compact="0" outline="0" showAll="0">
      <items count="9">
        <item x="2"/>
        <item x="1"/>
        <item x="6"/>
        <item x="4"/>
        <item x="5"/>
        <item x="3"/>
        <item x="0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dataField="1" compact="0" outline="0" showAll="0">
      <items count="12">
        <item x="0"/>
        <item m="1" x="9"/>
        <item m="1" x="8"/>
        <item x="2"/>
        <item x="5"/>
        <item x="6"/>
        <item m="1" x="10"/>
        <item x="1"/>
        <item x="4"/>
        <item h="1" x="7"/>
        <item x="3"/>
        <item t="default"/>
      </items>
    </pivotField>
    <pivotField compact="0" outline="0"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42"/>
  </colFields>
  <colItems count="8">
    <i>
      <x/>
    </i>
    <i>
      <x v="3"/>
    </i>
    <i>
      <x v="4"/>
    </i>
    <i>
      <x v="5"/>
    </i>
    <i>
      <x v="7"/>
    </i>
    <i>
      <x v="8"/>
    </i>
    <i>
      <x v="10"/>
    </i>
    <i t="grand">
      <x/>
    </i>
  </colItems>
  <dataFields count="1">
    <dataField name="Contagem de RESPONSÁVEL" fld="42" subtotal="count" baseField="0" baseItem="0"/>
  </dataFields>
  <formats count="155">
    <format dxfId="1446">
      <pivotArea outline="0" collapsedLevelsAreSubtotals="1" fieldPosition="0"/>
    </format>
    <format dxfId="1445">
      <pivotArea dataOnly="0" labelOnly="1" grandCol="1" outline="0" fieldPosition="0"/>
    </format>
    <format dxfId="1444">
      <pivotArea type="all" dataOnly="0" outline="0" fieldPosition="0"/>
    </format>
    <format dxfId="1443">
      <pivotArea outline="0" collapsedLevelsAreSubtotals="1" fieldPosition="0"/>
    </format>
    <format dxfId="1442">
      <pivotArea type="origin" dataOnly="0" labelOnly="1" outline="0" fieldPosition="0"/>
    </format>
    <format dxfId="1441">
      <pivotArea type="topRight" dataOnly="0" labelOnly="1" outline="0" fieldPosition="0"/>
    </format>
    <format dxfId="1440">
      <pivotArea dataOnly="0" labelOnly="1" grandRow="1" outline="0" fieldPosition="0"/>
    </format>
    <format dxfId="1439">
      <pivotArea dataOnly="0" labelOnly="1" grandCol="1" outline="0" fieldPosition="0"/>
    </format>
    <format dxfId="1438">
      <pivotArea type="all" dataOnly="0" outline="0" fieldPosition="0"/>
    </format>
    <format dxfId="1437">
      <pivotArea outline="0" collapsedLevelsAreSubtotals="1" fieldPosition="0"/>
    </format>
    <format dxfId="1436">
      <pivotArea type="origin" dataOnly="0" labelOnly="1" outline="0" fieldPosition="0"/>
    </format>
    <format dxfId="1435">
      <pivotArea type="topRight" dataOnly="0" labelOnly="1" outline="0" fieldPosition="0"/>
    </format>
    <format dxfId="1434">
      <pivotArea dataOnly="0" labelOnly="1" grandRow="1" outline="0" fieldPosition="0"/>
    </format>
    <format dxfId="1433">
      <pivotArea dataOnly="0" labelOnly="1" grandCol="1" outline="0" fieldPosition="0"/>
    </format>
    <format dxfId="1432">
      <pivotArea type="all" dataOnly="0" outline="0" fieldPosition="0"/>
    </format>
    <format dxfId="1431">
      <pivotArea outline="0" collapsedLevelsAreSubtotals="1" fieldPosition="0"/>
    </format>
    <format dxfId="1430">
      <pivotArea type="origin" dataOnly="0" labelOnly="1" outline="0" fieldPosition="0"/>
    </format>
    <format dxfId="1429">
      <pivotArea type="topRight" dataOnly="0" labelOnly="1" outline="0" fieldPosition="0"/>
    </format>
    <format dxfId="1428">
      <pivotArea dataOnly="0" labelOnly="1" grandRow="1" outline="0" fieldPosition="0"/>
    </format>
    <format dxfId="1427">
      <pivotArea dataOnly="0" labelOnly="1" grandCol="1" outline="0" fieldPosition="0"/>
    </format>
    <format dxfId="1426">
      <pivotArea type="all" dataOnly="0" outline="0" fieldPosition="0"/>
    </format>
    <format dxfId="1425">
      <pivotArea outline="0" collapsedLevelsAreSubtotals="1" fieldPosition="0"/>
    </format>
    <format dxfId="1424">
      <pivotArea type="origin" dataOnly="0" labelOnly="1" outline="0" fieldPosition="0"/>
    </format>
    <format dxfId="1423">
      <pivotArea type="topRight" dataOnly="0" labelOnly="1" outline="0" fieldPosition="0"/>
    </format>
    <format dxfId="1422">
      <pivotArea dataOnly="0" labelOnly="1" grandRow="1" outline="0" fieldPosition="0"/>
    </format>
    <format dxfId="1421">
      <pivotArea dataOnly="0" labelOnly="1" grandCol="1" outline="0" fieldPosition="0"/>
    </format>
    <format dxfId="1420">
      <pivotArea type="all" dataOnly="0" outline="0" fieldPosition="0"/>
    </format>
    <format dxfId="1419">
      <pivotArea outline="0" collapsedLevelsAreSubtotals="1" fieldPosition="0"/>
    </format>
    <format dxfId="1418">
      <pivotArea type="origin" dataOnly="0" labelOnly="1" outline="0" fieldPosition="0"/>
    </format>
    <format dxfId="1417">
      <pivotArea dataOnly="0" labelOnly="1" grandRow="1" outline="0" fieldPosition="0"/>
    </format>
    <format dxfId="1416">
      <pivotArea dataOnly="0" labelOnly="1" grandCol="1" outline="0" fieldPosition="0"/>
    </format>
    <format dxfId="1415">
      <pivotArea type="origin" dataOnly="0" labelOnly="1" outline="0" fieldPosition="0"/>
    </format>
    <format dxfId="1414">
      <pivotArea dataOnly="0" labelOnly="1" grandRow="1" outline="0" fieldPosition="0"/>
    </format>
    <format dxfId="1413">
      <pivotArea outline="0" collapsedLevelsAreSubtotals="1" fieldPosition="0"/>
    </format>
    <format dxfId="1412">
      <pivotArea dataOnly="0" labelOnly="1" grandCol="1" outline="0" fieldPosition="0"/>
    </format>
    <format dxfId="1411">
      <pivotArea outline="0" collapsedLevelsAreSubtotals="1" fieldPosition="0"/>
    </format>
    <format dxfId="1410">
      <pivotArea dataOnly="0" labelOnly="1" grandCol="1" outline="0" fieldPosition="0"/>
    </format>
    <format>
      <pivotArea dataOnly="0" labelOnly="1" grandCol="1" outline="0" fieldPosition="0"/>
    </format>
    <format dxfId="1409">
      <pivotArea dataOnly="0" labelOnly="1" grandCol="1" outline="0" fieldPosition="0"/>
    </format>
    <format dxfId="1408">
      <pivotArea outline="0" collapsedLevelsAreSubtotals="1" fieldPosition="0"/>
    </format>
    <format dxfId="1407">
      <pivotArea dataOnly="0" labelOnly="1" grandCol="1" outline="0" fieldPosition="0"/>
    </format>
    <format dxfId="1406">
      <pivotArea type="all" dataOnly="0" outline="0" fieldPosition="0"/>
    </format>
    <format dxfId="1405">
      <pivotArea outline="0" collapsedLevelsAreSubtotals="1" fieldPosition="0"/>
    </format>
    <format dxfId="1404">
      <pivotArea type="origin" dataOnly="0" labelOnly="1" outline="0" fieldPosition="0"/>
    </format>
    <format dxfId="1403">
      <pivotArea type="topRight" dataOnly="0" labelOnly="1" outline="0" fieldPosition="0"/>
    </format>
    <format dxfId="1402">
      <pivotArea dataOnly="0" labelOnly="1" grandRow="1" outline="0" fieldPosition="0"/>
    </format>
    <format dxfId="1401">
      <pivotArea dataOnly="0" labelOnly="1" grandCol="1" outline="0" fieldPosition="0"/>
    </format>
    <format dxfId="1400">
      <pivotArea type="all" dataOnly="0" outline="0" fieldPosition="0"/>
    </format>
    <format dxfId="1399">
      <pivotArea outline="0" collapsedLevelsAreSubtotals="1" fieldPosition="0"/>
    </format>
    <format dxfId="1398">
      <pivotArea type="topRight" dataOnly="0" labelOnly="1" outline="0" fieldPosition="0"/>
    </format>
    <format dxfId="1397">
      <pivotArea dataOnly="0" labelOnly="1" grandCol="1" outline="0" fieldPosition="0"/>
    </format>
    <format dxfId="1396">
      <pivotArea type="origin" dataOnly="0" labelOnly="1" outline="0" fieldPosition="0"/>
    </format>
    <format dxfId="1395">
      <pivotArea dataOnly="0" labelOnly="1" grandRow="1" outline="0" fieldPosition="0"/>
    </format>
    <format dxfId="1394">
      <pivotArea type="all" dataOnly="0" outline="0" fieldPosition="0"/>
    </format>
    <format dxfId="1393">
      <pivotArea outline="0" collapsedLevelsAreSubtotals="1" fieldPosition="0"/>
    </format>
    <format dxfId="1392">
      <pivotArea type="origin" dataOnly="0" labelOnly="1" outline="0" fieldPosition="0"/>
    </format>
    <format dxfId="1391">
      <pivotArea field="42" type="button" dataOnly="0" labelOnly="1" outline="0" axis="axisCol" fieldPosition="0"/>
    </format>
    <format dxfId="1390">
      <pivotArea type="topRight" dataOnly="0" labelOnly="1" outline="0" fieldPosition="0"/>
    </format>
    <format dxfId="1389">
      <pivotArea dataOnly="0" labelOnly="1" grandRow="1" outline="0" fieldPosition="0"/>
    </format>
    <format dxfId="1388"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 dxfId="1387">
      <pivotArea dataOnly="0" labelOnly="1" grandCol="1" outline="0" fieldPosition="0"/>
    </format>
    <format>
      <pivotArea type="all" dataOnly="0" outline="0" fieldPosition="0"/>
    </format>
    <format>
      <pivotArea dataOnly="0" labelOnly="1" outline="0" axis="axisValues" fieldPosition="0"/>
    </format>
    <format>
      <pivotArea type="all" dataOnly="0" outline="0" fieldPosition="0"/>
    </format>
    <format>
      <pivotArea dataOnly="0" labelOnly="1" outline="0" axis="axisValues" fieldPosition="0"/>
    </format>
    <format dxfId="1386">
      <pivotArea dataOnly="0" labelOnly="1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1385">
      <pivotArea collapsedLevelsAreSubtotals="1" fieldPosition="0">
        <references count="1">
          <reference field="5" count="2">
            <x v="5"/>
            <x v="6"/>
          </reference>
        </references>
      </pivotArea>
    </format>
    <format dxfId="1384">
      <pivotArea dataOnly="0" labelOnly="1" fieldPosition="0">
        <references count="1">
          <reference field="5" count="2">
            <x v="5"/>
            <x v="6"/>
          </reference>
        </references>
      </pivotArea>
    </format>
    <format dxfId="1383">
      <pivotArea collapsedLevelsAreSubtotals="1" fieldPosition="0">
        <references count="1">
          <reference field="5" count="1">
            <x v="4"/>
          </reference>
        </references>
      </pivotArea>
    </format>
    <format dxfId="1382">
      <pivotArea dataOnly="0" labelOnly="1" fieldPosition="0">
        <references count="1">
          <reference field="5" count="1">
            <x v="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0"/>
        </references>
      </pivotArea>
    </format>
    <format dxfId="1381">
      <pivotArea type="origin" dataOnly="0" labelOnly="1" outline="0" fieldPosition="0"/>
    </format>
    <format dxfId="1380">
      <pivotArea field="5" type="button" dataOnly="0" labelOnly="1" outline="0" axis="axisRow" fieldPosition="0"/>
    </format>
    <format dxfId="1379">
      <pivotArea dataOnly="0" labelOnly="1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1378">
      <pivotArea dataOnly="0" labelOnly="1" grandRow="1" outline="0" fieldPosition="0"/>
    </format>
    <format dxfId="1377">
      <pivotArea type="origin" dataOnly="0" labelOnly="1" outline="0" fieldPosition="0"/>
    </format>
    <format dxfId="1376">
      <pivotArea field="42" type="button" dataOnly="0" labelOnly="1" outline="0" axis="axisCol" fieldPosition="0"/>
    </format>
    <format dxfId="1375">
      <pivotArea type="topRight" dataOnly="0" labelOnly="1" outline="0" fieldPosition="0"/>
    </format>
    <format dxfId="1374">
      <pivotArea type="origin" dataOnly="0" labelOnly="1" outline="0" fieldPosition="0"/>
    </format>
    <format dxfId="1373">
      <pivotArea field="42" type="button" dataOnly="0" labelOnly="1" outline="0" axis="axisCol" fieldPosition="0"/>
    </format>
    <format dxfId="1372">
      <pivotArea type="topRight" dataOnly="0" labelOnly="1" outline="0" fieldPosition="0"/>
    </format>
    <format dxfId="1371">
      <pivotArea type="origin" dataOnly="0" labelOnly="1" outline="0" fieldPosition="0"/>
    </format>
    <format dxfId="1370">
      <pivotArea field="42" type="button" dataOnly="0" labelOnly="1" outline="0" axis="axisCol" fieldPosition="0"/>
    </format>
    <format dxfId="1369">
      <pivotArea type="topRight" dataOnly="0" labelOnly="1" outline="0" fieldPosition="0"/>
    </format>
    <format dxfId="1368">
      <pivotArea field="5" type="button" dataOnly="0" labelOnly="1" outline="0" axis="axisRow" fieldPosition="0"/>
    </format>
    <format dxfId="1367">
      <pivotArea dataOnly="0" labelOnly="1" outline="0" fieldPosition="0">
        <references count="1">
          <reference field="42" count="0"/>
        </references>
      </pivotArea>
    </format>
    <format dxfId="1366">
      <pivotArea dataOnly="0" labelOnly="1" grandCol="1" outline="0" fieldPosition="0"/>
    </format>
    <format dxfId="1365">
      <pivotArea field="5" type="button" dataOnly="0" labelOnly="1" outline="0" axis="axisRow" fieldPosition="0"/>
    </format>
    <format dxfId="1364">
      <pivotArea dataOnly="0" labelOnly="1" outline="0" fieldPosition="0">
        <references count="1">
          <reference field="42" count="0"/>
        </references>
      </pivotArea>
    </format>
    <format dxfId="1363">
      <pivotArea dataOnly="0" labelOnly="1" grandCol="1" outline="0" fieldPosition="0"/>
    </format>
    <format dxfId="1362">
      <pivotArea outline="0" fieldPosition="0">
        <references count="1">
          <reference field="5" count="1" selected="0">
            <x v="0"/>
          </reference>
        </references>
      </pivotArea>
    </format>
    <format dxfId="1361">
      <pivotArea dataOnly="0" labelOnly="1" outline="0" fieldPosition="0">
        <references count="1">
          <reference field="5" count="1">
            <x v="0"/>
          </reference>
        </references>
      </pivotArea>
    </format>
    <format dxfId="1360">
      <pivotArea outline="0" fieldPosition="0">
        <references count="1">
          <reference field="5" count="1" selected="0">
            <x v="0"/>
          </reference>
        </references>
      </pivotArea>
    </format>
    <format dxfId="1359">
      <pivotArea dataOnly="0" labelOnly="1" outline="0" fieldPosition="0">
        <references count="1">
          <reference field="5" count="1">
            <x v="0"/>
          </reference>
        </references>
      </pivotArea>
    </format>
    <format dxfId="1358">
      <pivotArea outline="0" fieldPosition="0">
        <references count="1">
          <reference field="5" count="1" selected="0">
            <x v="1"/>
          </reference>
        </references>
      </pivotArea>
    </format>
    <format dxfId="1357">
      <pivotArea dataOnly="0" labelOnly="1" outline="0" fieldPosition="0">
        <references count="1">
          <reference field="5" count="1">
            <x v="1"/>
          </reference>
        </references>
      </pivotArea>
    </format>
    <format dxfId="1356">
      <pivotArea outline="0" fieldPosition="0">
        <references count="1">
          <reference field="5" count="1" selected="0">
            <x v="1"/>
          </reference>
        </references>
      </pivotArea>
    </format>
    <format dxfId="1355">
      <pivotArea dataOnly="0" labelOnly="1" outline="0" fieldPosition="0">
        <references count="1">
          <reference field="5" count="1">
            <x v="1"/>
          </reference>
        </references>
      </pivotArea>
    </format>
    <format dxfId="1354">
      <pivotArea outline="0" fieldPosition="0">
        <references count="1">
          <reference field="5" count="1" selected="0">
            <x v="2"/>
          </reference>
        </references>
      </pivotArea>
    </format>
    <format dxfId="1353">
      <pivotArea dataOnly="0" labelOnly="1" outline="0" fieldPosition="0">
        <references count="1">
          <reference field="5" count="1">
            <x v="2"/>
          </reference>
        </references>
      </pivotArea>
    </format>
    <format dxfId="1352">
      <pivotArea outline="0" fieldPosition="0">
        <references count="1">
          <reference field="5" count="1" selected="0">
            <x v="2"/>
          </reference>
        </references>
      </pivotArea>
    </format>
    <format dxfId="1351">
      <pivotArea dataOnly="0" labelOnly="1" outline="0" fieldPosition="0">
        <references count="1">
          <reference field="5" count="1">
            <x v="2"/>
          </reference>
        </references>
      </pivotArea>
    </format>
    <format dxfId="1350">
      <pivotArea outline="0" fieldPosition="0">
        <references count="1">
          <reference field="5" count="1" selected="0">
            <x v="3"/>
          </reference>
        </references>
      </pivotArea>
    </format>
    <format dxfId="1349">
      <pivotArea dataOnly="0" labelOnly="1" outline="0" fieldPosition="0">
        <references count="1">
          <reference field="5" count="1">
            <x v="3"/>
          </reference>
        </references>
      </pivotArea>
    </format>
    <format dxfId="1348">
      <pivotArea outline="0" fieldPosition="0">
        <references count="1">
          <reference field="5" count="1" selected="0">
            <x v="3"/>
          </reference>
        </references>
      </pivotArea>
    </format>
    <format dxfId="1347">
      <pivotArea dataOnly="0" labelOnly="1" outline="0" fieldPosition="0">
        <references count="1">
          <reference field="5" count="1">
            <x v="3"/>
          </reference>
        </references>
      </pivotArea>
    </format>
    <format dxfId="1346">
      <pivotArea outline="0" fieldPosition="0">
        <references count="1">
          <reference field="5" count="1" selected="0">
            <x v="4"/>
          </reference>
        </references>
      </pivotArea>
    </format>
    <format dxfId="1345">
      <pivotArea dataOnly="0" labelOnly="1" outline="0" fieldPosition="0">
        <references count="1">
          <reference field="5" count="1">
            <x v="4"/>
          </reference>
        </references>
      </pivotArea>
    </format>
    <format dxfId="1344">
      <pivotArea outline="0" fieldPosition="0">
        <references count="1">
          <reference field="5" count="1" selected="0">
            <x v="4"/>
          </reference>
        </references>
      </pivotArea>
    </format>
    <format dxfId="1343">
      <pivotArea dataOnly="0" labelOnly="1" outline="0" fieldPosition="0">
        <references count="1">
          <reference field="5" count="1">
            <x v="4"/>
          </reference>
        </references>
      </pivotArea>
    </format>
    <format dxfId="1342">
      <pivotArea outline="0" fieldPosition="0">
        <references count="1">
          <reference field="5" count="1" selected="0">
            <x v="5"/>
          </reference>
        </references>
      </pivotArea>
    </format>
    <format dxfId="1341">
      <pivotArea dataOnly="0" labelOnly="1" outline="0" fieldPosition="0">
        <references count="1">
          <reference field="5" count="1">
            <x v="5"/>
          </reference>
        </references>
      </pivotArea>
    </format>
    <format dxfId="1340">
      <pivotArea outline="0" fieldPosition="0">
        <references count="1">
          <reference field="5" count="1" selected="0">
            <x v="5"/>
          </reference>
        </references>
      </pivotArea>
    </format>
    <format dxfId="1339">
      <pivotArea dataOnly="0" labelOnly="1" outline="0" fieldPosition="0">
        <references count="1">
          <reference field="5" count="1">
            <x v="5"/>
          </reference>
        </references>
      </pivotArea>
    </format>
    <format dxfId="1338">
      <pivotArea outline="0" fieldPosition="0">
        <references count="1">
          <reference field="5" count="1" selected="0">
            <x v="6"/>
          </reference>
        </references>
      </pivotArea>
    </format>
    <format dxfId="1337">
      <pivotArea dataOnly="0" labelOnly="1" outline="0" fieldPosition="0">
        <references count="1">
          <reference field="5" count="1">
            <x v="6"/>
          </reference>
        </references>
      </pivotArea>
    </format>
    <format dxfId="1336">
      <pivotArea outline="0" fieldPosition="0">
        <references count="1">
          <reference field="5" count="1" selected="0">
            <x v="6"/>
          </reference>
        </references>
      </pivotArea>
    </format>
    <format dxfId="1335">
      <pivotArea dataOnly="0" labelOnly="1" outline="0" fieldPosition="0">
        <references count="1">
          <reference field="5" count="1">
            <x v="6"/>
          </reference>
        </references>
      </pivotArea>
    </format>
    <format dxfId="1334">
      <pivotArea grandRow="1" outline="0" collapsedLevelsAreSubtotals="1" fieldPosition="0"/>
    </format>
    <format dxfId="1333">
      <pivotArea dataOnly="0" labelOnly="1" grandRow="1" outline="0" fieldPosition="0"/>
    </format>
    <format dxfId="1332">
      <pivotArea grandRow="1" outline="0" collapsedLevelsAreSubtotals="1" fieldPosition="0"/>
    </format>
    <format dxfId="1331">
      <pivotArea dataOnly="0" labelOnly="1" grandRow="1" outline="0" fieldPosition="0"/>
    </format>
    <format dxfId="1330">
      <pivotArea grandRow="1" outline="0" collapsedLevelsAreSubtotals="1" fieldPosition="0"/>
    </format>
    <format dxfId="1329">
      <pivotArea dataOnly="0" labelOnly="1" grandRow="1" outline="0" fieldPosition="0"/>
    </format>
    <format>
      <pivotArea type="all" dataOnly="0" outline="0" fieldPosition="0"/>
    </format>
    <format>
      <pivotArea type="origin" dataOnly="0" labelOnly="1" outline="0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grandRow="1" outline="0" fieldPosition="0"/>
    </format>
    <format dxfId="1328">
      <pivotArea type="origin" dataOnly="0" labelOnly="1" outline="0" fieldPosition="0"/>
    </format>
    <format dxfId="1327">
      <pivotArea field="42" type="button" dataOnly="0" labelOnly="1" outline="0" axis="axisCol" fieldPosition="0"/>
    </format>
    <format dxfId="1326">
      <pivotArea type="topRight" dataOnly="0" labelOnly="1" outline="0" fieldPosition="0"/>
    </format>
    <format dxfId="1325">
      <pivotArea type="origin" dataOnly="0" labelOnly="1" outline="0" fieldPosition="0"/>
    </format>
    <format dxfId="1324">
      <pivotArea field="42" type="button" dataOnly="0" labelOnly="1" outline="0" axis="axisCol" fieldPosition="0"/>
    </format>
    <format dxfId="1323">
      <pivotArea type="topRight" dataOnly="0" labelOnly="1" outline="0" fieldPosition="0"/>
    </format>
    <format dxfId="1322">
      <pivotArea type="origin" dataOnly="0" labelOnly="1" outline="0" fieldPosition="0"/>
    </format>
    <format dxfId="1321">
      <pivotArea field="42" type="button" dataOnly="0" labelOnly="1" outline="0" axis="axisCol" fieldPosition="0"/>
    </format>
    <format dxfId="1320">
      <pivotArea type="topRight" dataOnly="0" labelOnly="1" outline="0" fieldPosition="0"/>
    </format>
    <format dxfId="1319">
      <pivotArea grandRow="1" outline="0" collapsedLevelsAreSubtotals="1" fieldPosition="0"/>
    </format>
    <format dxfId="1318">
      <pivotArea dataOnly="0" labelOnly="1" grandRow="1" outline="0" fieldPosition="0"/>
    </format>
    <format dxfId="1317">
      <pivotArea grandRow="1" outline="0" collapsedLevelsAreSubtotals="1" fieldPosition="0"/>
    </format>
    <format dxfId="1316">
      <pivotArea dataOnly="0" labelOnly="1" grandRow="1" outline="0" fieldPosition="0"/>
    </format>
    <format dxfId="1315">
      <pivotArea grandRow="1" outline="0" collapsedLevelsAreSubtotals="1" fieldPosition="0"/>
    </format>
    <format dxfId="1314">
      <pivotArea dataOnly="0" labelOnly="1" grandRow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type="origin" dataOnly="0" labelOnly="1" outline="0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>
      <pivotArea field="5" type="button" dataOnly="0" labelOnly="1" outline="0" axis="axisRow" fieldPosition="0"/>
    </format>
    <format>
      <pivotArea dataOnly="0" labelOnly="1" outline="0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>
      <pivotArea dataOnly="0" labelOnly="1" grandRow="1" outline="0" fieldPosition="0"/>
    </format>
    <format>
      <pivotArea dataOnly="0" labelOnly="1" outline="0" fieldPosition="0">
        <references count="1">
          <reference field="42" count="0"/>
        </references>
      </pivotArea>
    </format>
    <format>
      <pivotArea dataOnly="0" labelOnly="1" grandCol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Ofensores_TipoErro_OBT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2:J38" firstHeaderRow="1" firstDataRow="2" firstDataCol="1"/>
  <pivotFields count="45">
    <pivotField showAll="0"/>
    <pivotField showAll="0"/>
    <pivotField showAll="0"/>
    <pivotField showAll="0">
      <items count="516">
        <item x="514"/>
        <item x="0"/>
        <item x="1"/>
        <item x="2"/>
        <item x="3"/>
        <item x="4"/>
        <item x="5"/>
        <item x="8"/>
        <item x="9"/>
        <item x="6"/>
        <item x="21"/>
        <item x="12"/>
        <item x="10"/>
        <item x="7"/>
        <item x="15"/>
        <item x="16"/>
        <item x="13"/>
        <item x="37"/>
        <item x="14"/>
        <item x="17"/>
        <item x="11"/>
        <item x="32"/>
        <item x="26"/>
        <item x="27"/>
        <item x="36"/>
        <item x="33"/>
        <item x="18"/>
        <item x="20"/>
        <item x="19"/>
        <item x="47"/>
        <item x="38"/>
        <item x="48"/>
        <item x="45"/>
        <item x="28"/>
        <item x="41"/>
        <item x="46"/>
        <item x="25"/>
        <item x="34"/>
        <item x="22"/>
        <item x="23"/>
        <item x="24"/>
        <item x="39"/>
        <item x="43"/>
        <item x="64"/>
        <item x="77"/>
        <item x="79"/>
        <item x="40"/>
        <item x="42"/>
        <item x="84"/>
        <item x="83"/>
        <item x="35"/>
        <item x="91"/>
        <item x="52"/>
        <item x="73"/>
        <item x="76"/>
        <item x="74"/>
        <item x="78"/>
        <item x="87"/>
        <item x="51"/>
        <item x="54"/>
        <item x="57"/>
        <item x="58"/>
        <item x="90"/>
        <item x="55"/>
        <item x="59"/>
        <item x="60"/>
        <item x="61"/>
        <item x="82"/>
        <item x="100"/>
        <item x="63"/>
        <item x="67"/>
        <item x="68"/>
        <item x="69"/>
        <item x="81"/>
        <item x="88"/>
        <item x="97"/>
        <item x="75"/>
        <item x="96"/>
        <item x="102"/>
        <item x="49"/>
        <item x="53"/>
        <item x="66"/>
        <item x="71"/>
        <item x="80"/>
        <item x="85"/>
        <item x="92"/>
        <item x="93"/>
        <item x="95"/>
        <item x="98"/>
        <item x="99"/>
        <item x="50"/>
        <item x="62"/>
        <item x="72"/>
        <item x="70"/>
        <item x="86"/>
        <item x="107"/>
        <item x="101"/>
        <item x="56"/>
        <item x="181"/>
        <item x="180"/>
        <item x="189"/>
        <item x="89"/>
        <item x="206"/>
        <item x="103"/>
        <item x="105"/>
        <item x="104"/>
        <item x="109"/>
        <item x="108"/>
        <item x="110"/>
        <item x="120"/>
        <item x="121"/>
        <item x="122"/>
        <item x="129"/>
        <item x="127"/>
        <item x="128"/>
        <item x="147"/>
        <item x="167"/>
        <item x="191"/>
        <item x="204"/>
        <item x="205"/>
        <item x="208"/>
        <item x="44"/>
        <item x="65"/>
        <item x="115"/>
        <item x="126"/>
        <item x="112"/>
        <item x="175"/>
        <item x="196"/>
        <item x="195"/>
        <item x="207"/>
        <item x="111"/>
        <item x="162"/>
        <item x="163"/>
        <item x="164"/>
        <item x="165"/>
        <item x="198"/>
        <item x="209"/>
        <item x="193"/>
        <item x="113"/>
        <item x="114"/>
        <item x="130"/>
        <item x="131"/>
        <item x="148"/>
        <item x="160"/>
        <item x="143"/>
        <item x="144"/>
        <item x="159"/>
        <item x="125"/>
        <item x="166"/>
        <item x="161"/>
        <item x="171"/>
        <item x="170"/>
        <item x="173"/>
        <item x="182"/>
        <item x="184"/>
        <item x="185"/>
        <item x="186"/>
        <item x="187"/>
        <item x="123"/>
        <item x="137"/>
        <item x="117"/>
        <item x="106"/>
        <item x="116"/>
        <item x="119"/>
        <item x="124"/>
        <item x="145"/>
        <item x="146"/>
        <item x="158"/>
        <item x="157"/>
        <item x="138"/>
        <item x="139"/>
        <item x="140"/>
        <item x="141"/>
        <item x="142"/>
        <item x="133"/>
        <item x="134"/>
        <item x="135"/>
        <item x="136"/>
        <item x="132"/>
        <item x="151"/>
        <item x="149"/>
        <item x="150"/>
        <item x="169"/>
        <item x="168"/>
        <item x="172"/>
        <item x="174"/>
        <item x="178"/>
        <item x="179"/>
        <item x="188"/>
        <item x="194"/>
        <item x="201"/>
        <item x="202"/>
        <item x="199"/>
        <item x="200"/>
        <item x="197"/>
        <item x="210"/>
        <item x="211"/>
        <item x="190"/>
        <item x="226"/>
        <item x="233"/>
        <item x="118"/>
        <item x="250"/>
        <item x="260"/>
        <item x="152"/>
        <item x="153"/>
        <item x="154"/>
        <item x="155"/>
        <item x="156"/>
        <item x="183"/>
        <item x="374"/>
        <item x="390"/>
        <item x="388"/>
        <item x="278"/>
        <item x="284"/>
        <item x="286"/>
        <item x="290"/>
        <item x="291"/>
        <item x="263"/>
        <item x="274"/>
        <item x="315"/>
        <item x="316"/>
        <item x="363"/>
        <item x="372"/>
        <item x="176"/>
        <item x="177"/>
        <item x="213"/>
        <item x="385"/>
        <item x="243"/>
        <item x="399"/>
        <item x="400"/>
        <item x="293"/>
        <item x="294"/>
        <item x="299"/>
        <item x="304"/>
        <item x="311"/>
        <item x="317"/>
        <item x="318"/>
        <item x="331"/>
        <item x="330"/>
        <item x="192"/>
        <item x="380"/>
        <item x="386"/>
        <item x="393"/>
        <item x="401"/>
        <item x="398"/>
        <item x="222"/>
        <item x="262"/>
        <item x="268"/>
        <item x="289"/>
        <item x="303"/>
        <item x="309"/>
        <item x="345"/>
        <item x="212"/>
        <item x="220"/>
        <item x="223"/>
        <item x="373"/>
        <item x="241"/>
        <item x="242"/>
        <item x="261"/>
        <item x="247"/>
        <item x="264"/>
        <item x="265"/>
        <item x="267"/>
        <item x="246"/>
        <item x="270"/>
        <item x="283"/>
        <item x="287"/>
        <item x="302"/>
        <item x="307"/>
        <item x="312"/>
        <item x="310"/>
        <item x="319"/>
        <item x="320"/>
        <item x="321"/>
        <item x="335"/>
        <item x="328"/>
        <item x="329"/>
        <item x="332"/>
        <item x="327"/>
        <item x="349"/>
        <item x="366"/>
        <item x="371"/>
        <item x="381"/>
        <item x="387"/>
        <item x="391"/>
        <item x="392"/>
        <item x="394"/>
        <item x="395"/>
        <item x="29"/>
        <item x="30"/>
        <item x="31"/>
        <item x="94"/>
        <item x="383"/>
        <item x="259"/>
        <item x="266"/>
        <item x="276"/>
        <item x="281"/>
        <item x="288"/>
        <item x="301"/>
        <item x="305"/>
        <item x="314"/>
        <item x="313"/>
        <item x="326"/>
        <item x="353"/>
        <item x="348"/>
        <item x="375"/>
        <item x="376"/>
        <item x="378"/>
        <item x="379"/>
        <item x="203"/>
        <item x="402"/>
        <item x="215"/>
        <item x="219"/>
        <item x="248"/>
        <item x="249"/>
        <item x="239"/>
        <item x="240"/>
        <item x="238"/>
        <item x="251"/>
        <item x="252"/>
        <item x="369"/>
        <item x="370"/>
        <item x="282"/>
        <item x="295"/>
        <item x="236"/>
        <item x="306"/>
        <item x="300"/>
        <item x="342"/>
        <item x="340"/>
        <item x="339"/>
        <item x="341"/>
        <item x="367"/>
        <item x="384"/>
        <item x="389"/>
        <item x="397"/>
        <item x="214"/>
        <item x="216"/>
        <item x="217"/>
        <item x="218"/>
        <item x="221"/>
        <item x="224"/>
        <item x="225"/>
        <item x="227"/>
        <item x="228"/>
        <item x="229"/>
        <item x="230"/>
        <item x="231"/>
        <item x="232"/>
        <item x="234"/>
        <item x="235"/>
        <item x="237"/>
        <item x="244"/>
        <item x="245"/>
        <item x="253"/>
        <item x="254"/>
        <item x="255"/>
        <item x="256"/>
        <item x="257"/>
        <item x="258"/>
        <item x="269"/>
        <item x="271"/>
        <item x="272"/>
        <item x="273"/>
        <item x="275"/>
        <item x="277"/>
        <item x="279"/>
        <item x="280"/>
        <item x="285"/>
        <item x="292"/>
        <item x="296"/>
        <item x="297"/>
        <item x="298"/>
        <item x="308"/>
        <item x="322"/>
        <item x="323"/>
        <item x="324"/>
        <item x="325"/>
        <item x="333"/>
        <item x="334"/>
        <item x="336"/>
        <item x="337"/>
        <item x="338"/>
        <item x="343"/>
        <item x="344"/>
        <item x="346"/>
        <item x="347"/>
        <item x="350"/>
        <item x="351"/>
        <item x="352"/>
        <item x="354"/>
        <item x="355"/>
        <item x="356"/>
        <item x="357"/>
        <item x="358"/>
        <item x="359"/>
        <item x="360"/>
        <item x="361"/>
        <item x="362"/>
        <item x="364"/>
        <item x="365"/>
        <item x="368"/>
        <item x="377"/>
        <item x="382"/>
        <item x="396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 sortType="ascending">
      <items count="11">
        <item x="0"/>
        <item h="1" m="1" x="9"/>
        <item x="3"/>
        <item x="4"/>
        <item x="5"/>
        <item x="2"/>
        <item x="1"/>
        <item x="6"/>
        <item x="7"/>
        <item h="1" x="8"/>
        <item t="default"/>
      </items>
    </pivotField>
    <pivotField showAll="0"/>
    <pivotField showAll="0"/>
    <pivotField axis="axisRow" dataField="1" showAll="0" sortType="descending">
      <items count="7">
        <item x="4"/>
        <item x="0"/>
        <item x="1"/>
        <item x="2"/>
        <item m="1" x="5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9"/>
  </rowFields>
  <rowItems count="5">
    <i>
      <x v="1"/>
    </i>
    <i>
      <x v="3"/>
    </i>
    <i>
      <x v="2"/>
    </i>
    <i>
      <x v="5"/>
    </i>
    <i t="grand">
      <x/>
    </i>
  </rowItems>
  <colFields count="1">
    <field x="36"/>
  </colFields>
  <colItems count="9">
    <i>
      <x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Contagem de TIPO DE ERRO" fld="39" subtotal="count" baseField="0" baseItem="0" numFmtId="3"/>
  </dataFields>
  <formats count="171">
    <format dxfId="1599">
      <pivotArea type="origin" dataOnly="0" labelOnly="1" outline="0" fieldPosition="0"/>
    </format>
    <format dxfId="1598">
      <pivotArea field="36" type="button" dataOnly="0" labelOnly="1" outline="0" axis="axisCol" fieldPosition="0"/>
    </format>
    <format dxfId="1597">
      <pivotArea type="topRight" dataOnly="0" labelOnly="1" outline="0" fieldPosition="0"/>
    </format>
    <format dxfId="1596">
      <pivotArea field="39" type="button" dataOnly="0" labelOnly="1" outline="0" axis="axisRow" fieldPosition="0"/>
    </format>
    <format dxfId="1595">
      <pivotArea dataOnly="0" labelOnly="1" fieldPosition="0">
        <references count="1">
          <reference field="36" count="0"/>
        </references>
      </pivotArea>
    </format>
    <format dxfId="1594">
      <pivotArea dataOnly="0" labelOnly="1" grandCol="1" outline="0" fieldPosition="0"/>
    </format>
    <format dxfId="1593">
      <pivotArea grandRow="1" outline="0" collapsedLevelsAreSubtotals="1" fieldPosition="0"/>
    </format>
    <format dxfId="1592">
      <pivotArea outline="0" collapsedLevelsAreSubtotals="1" fieldPosition="0"/>
    </format>
    <format dxfId="1591">
      <pivotArea dataOnly="0" labelOnly="1" fieldPosition="0">
        <references count="1">
          <reference field="36" count="0"/>
        </references>
      </pivotArea>
    </format>
    <format dxfId="1590">
      <pivotArea dataOnly="0" labelOnly="1" grandCol="1" outline="0" fieldPosition="0"/>
    </format>
    <format dxfId="1589">
      <pivotArea type="all" dataOnly="0" outline="0" fieldPosition="0"/>
    </format>
    <format dxfId="1588">
      <pivotArea outline="0" collapsedLevelsAreSubtotals="1" fieldPosition="0"/>
    </format>
    <format dxfId="1587">
      <pivotArea type="origin" dataOnly="0" labelOnly="1" outline="0" fieldPosition="0"/>
    </format>
    <format dxfId="1586">
      <pivotArea field="36" type="button" dataOnly="0" labelOnly="1" outline="0" axis="axisCol" fieldPosition="0"/>
    </format>
    <format dxfId="1585">
      <pivotArea type="topRight" dataOnly="0" labelOnly="1" outline="0" fieldPosition="0"/>
    </format>
    <format dxfId="1584">
      <pivotArea field="39" type="button" dataOnly="0" labelOnly="1" outline="0" axis="axisRow" fieldPosition="0"/>
    </format>
    <format dxfId="1583">
      <pivotArea dataOnly="0" labelOnly="1" grandRow="1" outline="0" fieldPosition="0"/>
    </format>
    <format dxfId="1582">
      <pivotArea dataOnly="0" labelOnly="1" fieldPosition="0">
        <references count="1">
          <reference field="36" count="0"/>
        </references>
      </pivotArea>
    </format>
    <format dxfId="1581">
      <pivotArea dataOnly="0" labelOnly="1" grandCol="1" outline="0" fieldPosition="0"/>
    </format>
    <format dxfId="1580">
      <pivotArea type="all" dataOnly="0" outline="0" fieldPosition="0"/>
    </format>
    <format dxfId="1579">
      <pivotArea outline="0" collapsedLevelsAreSubtotals="1" fieldPosition="0"/>
    </format>
    <format dxfId="1578">
      <pivotArea type="origin" dataOnly="0" labelOnly="1" outline="0" fieldPosition="0"/>
    </format>
    <format dxfId="1577">
      <pivotArea field="36" type="button" dataOnly="0" labelOnly="1" outline="0" axis="axisCol" fieldPosition="0"/>
    </format>
    <format dxfId="1576">
      <pivotArea type="topRight" dataOnly="0" labelOnly="1" outline="0" fieldPosition="0"/>
    </format>
    <format dxfId="1575">
      <pivotArea field="39" type="button" dataOnly="0" labelOnly="1" outline="0" axis="axisRow" fieldPosition="0"/>
    </format>
    <format dxfId="1574">
      <pivotArea dataOnly="0" labelOnly="1" grandRow="1" outline="0" fieldPosition="0"/>
    </format>
    <format dxfId="1573">
      <pivotArea dataOnly="0" labelOnly="1" fieldPosition="0">
        <references count="1">
          <reference field="36" count="0"/>
        </references>
      </pivotArea>
    </format>
    <format dxfId="1572">
      <pivotArea dataOnly="0" labelOnly="1" grandCol="1" outline="0" fieldPosition="0"/>
    </format>
    <format dxfId="1571">
      <pivotArea type="all" dataOnly="0" outline="0" fieldPosition="0"/>
    </format>
    <format dxfId="1570">
      <pivotArea outline="0" collapsedLevelsAreSubtotals="1" fieldPosition="0"/>
    </format>
    <format dxfId="1569">
      <pivotArea type="origin" dataOnly="0" labelOnly="1" outline="0" fieldPosition="0"/>
    </format>
    <format dxfId="1568">
      <pivotArea field="36" type="button" dataOnly="0" labelOnly="1" outline="0" axis="axisCol" fieldPosition="0"/>
    </format>
    <format dxfId="1567">
      <pivotArea type="topRight" dataOnly="0" labelOnly="1" outline="0" fieldPosition="0"/>
    </format>
    <format dxfId="1566">
      <pivotArea field="39" type="button" dataOnly="0" labelOnly="1" outline="0" axis="axisRow" fieldPosition="0"/>
    </format>
    <format dxfId="1565">
      <pivotArea dataOnly="0" labelOnly="1" grandRow="1" outline="0" fieldPosition="0"/>
    </format>
    <format dxfId="1564">
      <pivotArea dataOnly="0" labelOnly="1" fieldPosition="0">
        <references count="1">
          <reference field="36" count="0"/>
        </references>
      </pivotArea>
    </format>
    <format dxfId="1563">
      <pivotArea dataOnly="0" labelOnly="1" grandCol="1" outline="0" fieldPosition="0"/>
    </format>
    <format dxfId="1562">
      <pivotArea type="all" dataOnly="0" outline="0" fieldPosition="0"/>
    </format>
    <format dxfId="1561">
      <pivotArea outline="0" collapsedLevelsAreSubtotals="1" fieldPosition="0"/>
    </format>
    <format dxfId="1560">
      <pivotArea type="origin" dataOnly="0" labelOnly="1" outline="0" fieldPosition="0"/>
    </format>
    <format dxfId="1559">
      <pivotArea field="36" type="button" dataOnly="0" labelOnly="1" outline="0" axis="axisCol" fieldPosition="0"/>
    </format>
    <format dxfId="1558">
      <pivotArea type="topRight" dataOnly="0" labelOnly="1" outline="0" fieldPosition="0"/>
    </format>
    <format dxfId="1557">
      <pivotArea field="39" type="button" dataOnly="0" labelOnly="1" outline="0" axis="axisRow" fieldPosition="0"/>
    </format>
    <format dxfId="1556">
      <pivotArea dataOnly="0" labelOnly="1" grandRow="1" outline="0" fieldPosition="0"/>
    </format>
    <format dxfId="1555">
      <pivotArea dataOnly="0" labelOnly="1" fieldPosition="0">
        <references count="1">
          <reference field="36" count="0"/>
        </references>
      </pivotArea>
    </format>
    <format dxfId="1554">
      <pivotArea dataOnly="0" labelOnly="1" grandCol="1" outline="0" fieldPosition="0"/>
    </format>
    <format dxfId="1553">
      <pivotArea type="all" dataOnly="0" outline="0" fieldPosition="0"/>
    </format>
    <format dxfId="1552">
      <pivotArea outline="0" collapsedLevelsAreSubtotals="1" fieldPosition="0"/>
    </format>
    <format dxfId="1551">
      <pivotArea type="origin" dataOnly="0" labelOnly="1" outline="0" fieldPosition="0"/>
    </format>
    <format dxfId="1550">
      <pivotArea field="39" type="button" dataOnly="0" labelOnly="1" outline="0" axis="axisRow" fieldPosition="0"/>
    </format>
    <format dxfId="1549">
      <pivotArea dataOnly="0" labelOnly="1" grandRow="1" outline="0" fieldPosition="0"/>
    </format>
    <format dxfId="1548">
      <pivotArea dataOnly="0" labelOnly="1" fieldPosition="0">
        <references count="1">
          <reference field="36" count="0"/>
        </references>
      </pivotArea>
    </format>
    <format dxfId="1547">
      <pivotArea dataOnly="0" labelOnly="1" grandCol="1" outline="0" fieldPosition="0"/>
    </format>
    <format dxfId="1546">
      <pivotArea type="origin" dataOnly="0" labelOnly="1" outline="0" fieldPosition="0"/>
    </format>
    <format dxfId="1545">
      <pivotArea field="39" type="button" dataOnly="0" labelOnly="1" outline="0" axis="axisRow" fieldPosition="0"/>
    </format>
    <format dxfId="1544">
      <pivotArea dataOnly="0" labelOnly="1" grandRow="1" outline="0" fieldPosition="0"/>
    </format>
    <format dxfId="1543">
      <pivotArea outline="0" collapsedLevelsAreSubtotals="1" fieldPosition="0"/>
    </format>
    <format dxfId="1542">
      <pivotArea dataOnly="0" labelOnly="1" fieldPosition="0">
        <references count="1">
          <reference field="36" count="0"/>
        </references>
      </pivotArea>
    </format>
    <format dxfId="1541">
      <pivotArea dataOnly="0" labelOnly="1" grandCol="1" outline="0" fieldPosition="0"/>
    </format>
    <format dxfId="1540">
      <pivotArea outline="0" collapsedLevelsAreSubtotals="1" fieldPosition="0"/>
    </format>
    <format dxfId="1539">
      <pivotArea dataOnly="0" labelOnly="1" fieldPosition="0">
        <references count="1">
          <reference field="36" count="0"/>
        </references>
      </pivotArea>
    </format>
    <format dxfId="1538">
      <pivotArea dataOnly="0" labelOnly="1" grandCol="1" outline="0" fieldPosition="0"/>
    </format>
    <format dxfId="1537">
      <pivotArea type="all" dataOnly="0" outline="0" fieldPosition="0"/>
    </format>
    <format dxfId="1536">
      <pivotArea outline="0" collapsedLevelsAreSubtotals="1" fieldPosition="0"/>
    </format>
    <format dxfId="1535">
      <pivotArea type="origin" dataOnly="0" labelOnly="1" outline="0" fieldPosition="0"/>
    </format>
    <format dxfId="1534">
      <pivotArea field="36" type="button" dataOnly="0" labelOnly="1" outline="0" axis="axisCol" fieldPosition="0"/>
    </format>
    <format dxfId="1533">
      <pivotArea type="topRight" dataOnly="0" labelOnly="1" outline="0" fieldPosition="0"/>
    </format>
    <format dxfId="1532">
      <pivotArea field="39" type="button" dataOnly="0" labelOnly="1" outline="0" axis="axisRow" fieldPosition="0"/>
    </format>
    <format dxfId="1531">
      <pivotArea dataOnly="0" labelOnly="1" fieldPosition="0">
        <references count="1">
          <reference field="39" count="4">
            <x v="1"/>
            <x v="2"/>
            <x v="3"/>
            <x v="4"/>
          </reference>
        </references>
      </pivotArea>
    </format>
    <format dxfId="1530">
      <pivotArea dataOnly="0" labelOnly="1" grandRow="1" outline="0" fieldPosition="0"/>
    </format>
    <format dxfId="1529">
      <pivotArea dataOnly="0" labelOnly="1" fieldPosition="0">
        <references count="1">
          <reference field="36" count="0"/>
        </references>
      </pivotArea>
    </format>
    <format dxfId="1528">
      <pivotArea dataOnly="0" labelOnly="1" grandCol="1" outline="0" fieldPosition="0"/>
    </format>
    <format dxfId="1527">
      <pivotArea type="all" dataOnly="0" outline="0" fieldPosition="0"/>
    </format>
    <format dxfId="1526">
      <pivotArea outline="0" collapsedLevelsAreSubtotals="1" fieldPosition="0"/>
    </format>
    <format dxfId="1525">
      <pivotArea field="36" type="button" dataOnly="0" labelOnly="1" outline="0" axis="axisCol" fieldPosition="0"/>
    </format>
    <format dxfId="1524">
      <pivotArea type="topRight" dataOnly="0" labelOnly="1" outline="0" fieldPosition="0"/>
    </format>
    <format dxfId="1523">
      <pivotArea dataOnly="0" labelOnly="1" fieldPosition="0">
        <references count="1">
          <reference field="36" count="0"/>
        </references>
      </pivotArea>
    </format>
    <format dxfId="1522">
      <pivotArea dataOnly="0" labelOnly="1" grandCol="1" outline="0" fieldPosition="0"/>
    </format>
    <format dxfId="1521">
      <pivotArea type="origin" dataOnly="0" labelOnly="1" outline="0" fieldPosition="0"/>
    </format>
    <format dxfId="1520">
      <pivotArea field="39" type="button" dataOnly="0" labelOnly="1" outline="0" axis="axisRow" fieldPosition="0"/>
    </format>
    <format dxfId="1519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1518">
      <pivotArea dataOnly="0" labelOnly="1" grandRow="1" outline="0" fieldPosition="0"/>
    </format>
    <format dxfId="1517">
      <pivotArea type="all" dataOnly="0" outline="0" fieldPosition="0"/>
    </format>
    <format dxfId="1516">
      <pivotArea outline="0" collapsedLevelsAreSubtotals="1" fieldPosition="0"/>
    </format>
    <format dxfId="1515">
      <pivotArea type="origin" dataOnly="0" labelOnly="1" outline="0" fieldPosition="0"/>
    </format>
    <format dxfId="1514">
      <pivotArea field="36" type="button" dataOnly="0" labelOnly="1" outline="0" axis="axisCol" fieldPosition="0"/>
    </format>
    <format dxfId="1513">
      <pivotArea type="topRight" dataOnly="0" labelOnly="1" outline="0" fieldPosition="0"/>
    </format>
    <format dxfId="1512">
      <pivotArea field="39" type="button" dataOnly="0" labelOnly="1" outline="0" axis="axisRow" fieldPosition="0"/>
    </format>
    <format dxfId="1511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1510">
      <pivotArea dataOnly="0" labelOnly="1" grandRow="1" outline="0" fieldPosition="0"/>
    </format>
    <format dxfId="1509">
      <pivotArea dataOnly="0" labelOnly="1" fieldPosition="0">
        <references count="1">
          <reference field="36" count="0"/>
        </references>
      </pivotArea>
    </format>
    <format dxfId="1508">
      <pivotArea dataOnly="0" labelOnly="1" grandCol="1" outline="0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 dxfId="1507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1506">
      <pivotArea type="origin" dataOnly="0" labelOnly="1" outline="0" fieldPosition="0"/>
    </format>
    <format dxfId="1505">
      <pivotArea field="39" type="button" dataOnly="0" labelOnly="1" outline="0" axis="axisRow" fieldPosition="0"/>
    </format>
    <format dxfId="1504">
      <pivotArea dataOnly="0" labelOnly="1" fieldPosition="0">
        <references count="1">
          <reference field="39" count="4">
            <x v="1"/>
            <x v="2"/>
            <x v="3"/>
            <x v="5"/>
          </reference>
        </references>
      </pivotArea>
    </format>
    <format dxfId="1503">
      <pivotArea dataOnly="0" labelOnly="1" grandRow="1" outline="0" fieldPosition="0"/>
    </format>
    <format dxfId="1502">
      <pivotArea type="origin" dataOnly="0" labelOnly="1" outline="0" fieldPosition="0"/>
    </format>
    <format dxfId="1501">
      <pivotArea field="36" type="button" dataOnly="0" labelOnly="1" outline="0" axis="axisCol" fieldPosition="0"/>
    </format>
    <format dxfId="1500">
      <pivotArea type="topRight" dataOnly="0" labelOnly="1" outline="0" fieldPosition="0"/>
    </format>
    <format dxfId="1499">
      <pivotArea type="origin" dataOnly="0" labelOnly="1" outline="0" fieldPosition="0"/>
    </format>
    <format dxfId="1498">
      <pivotArea field="36" type="button" dataOnly="0" labelOnly="1" outline="0" axis="axisCol" fieldPosition="0"/>
    </format>
    <format dxfId="1497">
      <pivotArea type="topRight" dataOnly="0" labelOnly="1" outline="0" fieldPosition="0"/>
    </format>
    <format dxfId="1496">
      <pivotArea type="origin" dataOnly="0" labelOnly="1" outline="0" fieldPosition="0"/>
    </format>
    <format dxfId="1495">
      <pivotArea field="36" type="button" dataOnly="0" labelOnly="1" outline="0" axis="axisCol" fieldPosition="0"/>
    </format>
    <format dxfId="1494">
      <pivotArea type="topRight" dataOnly="0" labelOnly="1" outline="0" fieldPosition="0"/>
    </format>
    <format dxfId="1493">
      <pivotArea field="39" type="button" dataOnly="0" labelOnly="1" outline="0" axis="axisRow" fieldPosition="0"/>
    </format>
    <format dxfId="1492">
      <pivotArea dataOnly="0" labelOnly="1" fieldPosition="0">
        <references count="1">
          <reference field="36" count="0"/>
        </references>
      </pivotArea>
    </format>
    <format dxfId="1491">
      <pivotArea dataOnly="0" labelOnly="1" grandCol="1" outline="0" fieldPosition="0"/>
    </format>
    <format dxfId="1490">
      <pivotArea field="39" type="button" dataOnly="0" labelOnly="1" outline="0" axis="axisRow" fieldPosition="0"/>
    </format>
    <format dxfId="1489">
      <pivotArea dataOnly="0" labelOnly="1" fieldPosition="0">
        <references count="1">
          <reference field="36" count="0"/>
        </references>
      </pivotArea>
    </format>
    <format dxfId="1488">
      <pivotArea dataOnly="0" labelOnly="1" grandCol="1" outline="0" fieldPosition="0"/>
    </format>
    <format dxfId="1487">
      <pivotArea collapsedLevelsAreSubtotals="1" fieldPosition="0">
        <references count="1">
          <reference field="39" count="1">
            <x v="1"/>
          </reference>
        </references>
      </pivotArea>
    </format>
    <format dxfId="1486">
      <pivotArea dataOnly="0" labelOnly="1" fieldPosition="0">
        <references count="1">
          <reference field="39" count="1">
            <x v="1"/>
          </reference>
        </references>
      </pivotArea>
    </format>
    <format dxfId="1485">
      <pivotArea collapsedLevelsAreSubtotals="1" fieldPosition="0">
        <references count="1">
          <reference field="39" count="1">
            <x v="1"/>
          </reference>
        </references>
      </pivotArea>
    </format>
    <format dxfId="1484">
      <pivotArea dataOnly="0" labelOnly="1" fieldPosition="0">
        <references count="1">
          <reference field="39" count="1">
            <x v="1"/>
          </reference>
        </references>
      </pivotArea>
    </format>
    <format dxfId="1483">
      <pivotArea collapsedLevelsAreSubtotals="1" fieldPosition="0">
        <references count="1">
          <reference field="39" count="1">
            <x v="2"/>
          </reference>
        </references>
      </pivotArea>
    </format>
    <format dxfId="1482">
      <pivotArea dataOnly="0" labelOnly="1" fieldPosition="0">
        <references count="1">
          <reference field="39" count="1">
            <x v="2"/>
          </reference>
        </references>
      </pivotArea>
    </format>
    <format dxfId="1481">
      <pivotArea collapsedLevelsAreSubtotals="1" fieldPosition="0">
        <references count="1">
          <reference field="39" count="1">
            <x v="2"/>
          </reference>
        </references>
      </pivotArea>
    </format>
    <format dxfId="1480">
      <pivotArea dataOnly="0" labelOnly="1" fieldPosition="0">
        <references count="1">
          <reference field="39" count="1">
            <x v="2"/>
          </reference>
        </references>
      </pivotArea>
    </format>
    <format dxfId="1479">
      <pivotArea collapsedLevelsAreSubtotals="1" fieldPosition="0">
        <references count="1">
          <reference field="39" count="1">
            <x v="3"/>
          </reference>
        </references>
      </pivotArea>
    </format>
    <format dxfId="1478">
      <pivotArea dataOnly="0" labelOnly="1" fieldPosition="0">
        <references count="1">
          <reference field="39" count="1">
            <x v="3"/>
          </reference>
        </references>
      </pivotArea>
    </format>
    <format dxfId="1477">
      <pivotArea collapsedLevelsAreSubtotals="1" fieldPosition="0">
        <references count="1">
          <reference field="39" count="1">
            <x v="3"/>
          </reference>
        </references>
      </pivotArea>
    </format>
    <format dxfId="1476">
      <pivotArea dataOnly="0" labelOnly="1" fieldPosition="0">
        <references count="1">
          <reference field="39" count="1">
            <x v="3"/>
          </reference>
        </references>
      </pivotArea>
    </format>
    <format dxfId="1475">
      <pivotArea collapsedLevelsAreSubtotals="1" fieldPosition="0">
        <references count="1">
          <reference field="39" count="1">
            <x v="5"/>
          </reference>
        </references>
      </pivotArea>
    </format>
    <format dxfId="1474">
      <pivotArea dataOnly="0" labelOnly="1" fieldPosition="0">
        <references count="1">
          <reference field="39" count="1">
            <x v="5"/>
          </reference>
        </references>
      </pivotArea>
    </format>
    <format dxfId="1473">
      <pivotArea collapsedLevelsAreSubtotals="1" fieldPosition="0">
        <references count="1">
          <reference field="39" count="1">
            <x v="5"/>
          </reference>
        </references>
      </pivotArea>
    </format>
    <format dxfId="1472">
      <pivotArea dataOnly="0" labelOnly="1" fieldPosition="0">
        <references count="1">
          <reference field="39" count="1">
            <x v="5"/>
          </reference>
        </references>
      </pivotArea>
    </format>
    <format dxfId="1471">
      <pivotArea collapsedLevelsAreSubtotals="1" fieldPosition="0">
        <references count="1">
          <reference field="39" count="1">
            <x v="4"/>
          </reference>
        </references>
      </pivotArea>
    </format>
    <format dxfId="1470">
      <pivotArea dataOnly="0" labelOnly="1" fieldPosition="0">
        <references count="1">
          <reference field="39" count="1">
            <x v="4"/>
          </reference>
        </references>
      </pivotArea>
    </format>
    <format dxfId="1469">
      <pivotArea collapsedLevelsAreSubtotals="1" fieldPosition="0">
        <references count="1">
          <reference field="39" count="1">
            <x v="4"/>
          </reference>
        </references>
      </pivotArea>
    </format>
    <format dxfId="1468">
      <pivotArea dataOnly="0" labelOnly="1" fieldPosition="0">
        <references count="1">
          <reference field="39" count="1">
            <x v="4"/>
          </reference>
        </references>
      </pivotArea>
    </format>
    <format dxfId="1467">
      <pivotArea grandRow="1" outline="0" collapsedLevelsAreSubtotals="1" fieldPosition="0"/>
    </format>
    <format dxfId="1466">
      <pivotArea dataOnly="0" labelOnly="1" grandRow="1" outline="0" fieldPosition="0"/>
    </format>
    <format dxfId="1465">
      <pivotArea grandRow="1" outline="0" collapsedLevelsAreSubtotals="1" fieldPosition="0"/>
    </format>
    <format dxfId="1464">
      <pivotArea dataOnly="0" labelOnly="1" grandRow="1" outline="0" fieldPosition="0"/>
    </format>
    <format dxfId="1463">
      <pivotArea grandRow="1" outline="0" collapsedLevelsAreSubtotals="1" fieldPosition="0"/>
    </format>
    <format dxfId="1462">
      <pivotArea dataOnly="0" labelOnly="1" grandRow="1" outline="0" fieldPosition="0"/>
    </format>
    <format>
      <pivotArea type="all" dataOnly="0" outline="0" fieldPosition="0"/>
    </format>
    <format>
      <pivotArea type="origin" dataOnly="0" labelOnly="1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grandRow="1" outline="0" fieldPosition="0"/>
    </format>
    <format dxfId="1461">
      <pivotArea type="origin" dataOnly="0" labelOnly="1" outline="0" fieldPosition="0"/>
    </format>
    <format dxfId="1460">
      <pivotArea field="36" type="button" dataOnly="0" labelOnly="1" outline="0" axis="axisCol" fieldPosition="0"/>
    </format>
    <format dxfId="1459">
      <pivotArea type="topRight" dataOnly="0" labelOnly="1" outline="0" fieldPosition="0"/>
    </format>
    <format dxfId="1458">
      <pivotArea type="origin" dataOnly="0" labelOnly="1" outline="0" fieldPosition="0"/>
    </format>
    <format dxfId="1457">
      <pivotArea field="36" type="button" dataOnly="0" labelOnly="1" outline="0" axis="axisCol" fieldPosition="0"/>
    </format>
    <format dxfId="1456">
      <pivotArea type="topRight" dataOnly="0" labelOnly="1" outline="0" fieldPosition="0"/>
    </format>
    <format dxfId="1455">
      <pivotArea type="origin" dataOnly="0" labelOnly="1" outline="0" fieldPosition="0"/>
    </format>
    <format dxfId="1454">
      <pivotArea field="36" type="button" dataOnly="0" labelOnly="1" outline="0" axis="axisCol" fieldPosition="0"/>
    </format>
    <format dxfId="1453">
      <pivotArea type="topRight" dataOnly="0" labelOnly="1" outline="0" fieldPosition="0"/>
    </format>
    <format dxfId="1452">
      <pivotArea grandRow="1" outline="0" collapsedLevelsAreSubtotals="1" fieldPosition="0"/>
    </format>
    <format dxfId="1451">
      <pivotArea dataOnly="0" labelOnly="1" grandRow="1" outline="0" fieldPosition="0"/>
    </format>
    <format dxfId="1450">
      <pivotArea grandRow="1" outline="0" collapsedLevelsAreSubtotals="1" fieldPosition="0"/>
    </format>
    <format dxfId="1449">
      <pivotArea dataOnly="0" labelOnly="1" grandRow="1" outline="0" fieldPosition="0"/>
    </format>
    <format dxfId="1448">
      <pivotArea grandRow="1" outline="0" collapsedLevelsAreSubtotals="1" fieldPosition="0"/>
    </format>
    <format dxfId="1447">
      <pivotArea dataOnly="0" labelOnly="1" grandRow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type="origin" dataOnly="0" labelOnly="1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field="39" type="button" dataOnly="0" labelOnly="1" outline="0" axis="axisRow" fieldPosition="0"/>
    </format>
    <format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>
      <pivotArea dataOnly="0" labelOnly="1" grandRow="1" outline="0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Responsavel_Servico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91:I97" firstHeaderRow="1" firstDataRow="2" firstDataCol="1"/>
  <pivotFields count="45">
    <pivotField showAll="0"/>
    <pivotField showAll="0"/>
    <pivotField showAll="0"/>
    <pivotField numFmtId="164" showAll="0">
      <items count="516">
        <item x="514"/>
        <item x="0"/>
        <item x="1"/>
        <item x="2"/>
        <item x="3"/>
        <item x="4"/>
        <item x="5"/>
        <item x="8"/>
        <item x="9"/>
        <item x="6"/>
        <item x="21"/>
        <item x="12"/>
        <item x="10"/>
        <item x="7"/>
        <item x="15"/>
        <item x="16"/>
        <item x="13"/>
        <item x="37"/>
        <item x="14"/>
        <item x="17"/>
        <item x="11"/>
        <item x="32"/>
        <item x="26"/>
        <item x="27"/>
        <item x="36"/>
        <item x="33"/>
        <item x="18"/>
        <item x="20"/>
        <item x="19"/>
        <item x="47"/>
        <item x="38"/>
        <item x="48"/>
        <item x="45"/>
        <item x="28"/>
        <item x="41"/>
        <item x="46"/>
        <item x="25"/>
        <item x="34"/>
        <item x="22"/>
        <item x="23"/>
        <item x="24"/>
        <item x="39"/>
        <item x="43"/>
        <item x="64"/>
        <item x="77"/>
        <item x="79"/>
        <item x="40"/>
        <item x="42"/>
        <item x="84"/>
        <item x="83"/>
        <item x="35"/>
        <item x="91"/>
        <item x="52"/>
        <item x="73"/>
        <item x="76"/>
        <item x="74"/>
        <item x="78"/>
        <item x="87"/>
        <item x="51"/>
        <item x="54"/>
        <item x="57"/>
        <item x="58"/>
        <item x="90"/>
        <item x="55"/>
        <item x="59"/>
        <item x="60"/>
        <item x="61"/>
        <item x="82"/>
        <item x="100"/>
        <item x="63"/>
        <item x="67"/>
        <item x="68"/>
        <item x="69"/>
        <item x="81"/>
        <item x="88"/>
        <item x="97"/>
        <item x="75"/>
        <item x="96"/>
        <item x="102"/>
        <item x="49"/>
        <item x="53"/>
        <item x="66"/>
        <item x="71"/>
        <item x="80"/>
        <item x="85"/>
        <item x="92"/>
        <item x="93"/>
        <item x="95"/>
        <item x="98"/>
        <item x="99"/>
        <item x="50"/>
        <item x="62"/>
        <item x="72"/>
        <item x="70"/>
        <item x="86"/>
        <item x="107"/>
        <item x="101"/>
        <item x="56"/>
        <item x="181"/>
        <item x="180"/>
        <item x="189"/>
        <item x="89"/>
        <item x="206"/>
        <item x="103"/>
        <item x="105"/>
        <item x="104"/>
        <item x="109"/>
        <item x="108"/>
        <item x="110"/>
        <item x="120"/>
        <item x="121"/>
        <item x="122"/>
        <item x="129"/>
        <item x="127"/>
        <item x="128"/>
        <item x="147"/>
        <item x="167"/>
        <item x="191"/>
        <item x="204"/>
        <item x="205"/>
        <item x="208"/>
        <item x="44"/>
        <item x="65"/>
        <item x="115"/>
        <item x="126"/>
        <item x="112"/>
        <item x="175"/>
        <item x="196"/>
        <item x="195"/>
        <item x="207"/>
        <item x="111"/>
        <item x="162"/>
        <item x="163"/>
        <item x="164"/>
        <item x="165"/>
        <item x="198"/>
        <item x="209"/>
        <item x="193"/>
        <item x="113"/>
        <item x="114"/>
        <item x="130"/>
        <item x="131"/>
        <item x="148"/>
        <item x="160"/>
        <item x="143"/>
        <item x="144"/>
        <item x="159"/>
        <item x="125"/>
        <item x="166"/>
        <item x="161"/>
        <item x="171"/>
        <item x="170"/>
        <item x="173"/>
        <item x="182"/>
        <item x="184"/>
        <item x="185"/>
        <item x="186"/>
        <item x="187"/>
        <item x="123"/>
        <item x="137"/>
        <item x="117"/>
        <item x="106"/>
        <item x="116"/>
        <item x="119"/>
        <item x="124"/>
        <item x="145"/>
        <item x="146"/>
        <item x="158"/>
        <item x="157"/>
        <item x="138"/>
        <item x="139"/>
        <item x="140"/>
        <item x="141"/>
        <item x="142"/>
        <item x="133"/>
        <item x="134"/>
        <item x="135"/>
        <item x="136"/>
        <item x="132"/>
        <item x="151"/>
        <item x="149"/>
        <item x="150"/>
        <item x="169"/>
        <item x="168"/>
        <item x="172"/>
        <item x="174"/>
        <item x="178"/>
        <item x="179"/>
        <item x="188"/>
        <item x="194"/>
        <item x="201"/>
        <item x="202"/>
        <item x="199"/>
        <item x="200"/>
        <item x="197"/>
        <item x="210"/>
        <item x="211"/>
        <item x="190"/>
        <item x="226"/>
        <item x="233"/>
        <item x="118"/>
        <item x="250"/>
        <item x="260"/>
        <item x="152"/>
        <item x="153"/>
        <item x="154"/>
        <item x="155"/>
        <item x="156"/>
        <item x="183"/>
        <item x="374"/>
        <item x="390"/>
        <item x="388"/>
        <item x="278"/>
        <item x="284"/>
        <item x="286"/>
        <item x="290"/>
        <item x="291"/>
        <item x="263"/>
        <item x="274"/>
        <item x="315"/>
        <item x="316"/>
        <item x="363"/>
        <item x="372"/>
        <item x="176"/>
        <item x="177"/>
        <item x="213"/>
        <item x="385"/>
        <item x="243"/>
        <item x="399"/>
        <item x="400"/>
        <item x="293"/>
        <item x="294"/>
        <item x="299"/>
        <item x="304"/>
        <item x="311"/>
        <item x="317"/>
        <item x="318"/>
        <item x="331"/>
        <item x="330"/>
        <item x="192"/>
        <item x="380"/>
        <item x="386"/>
        <item x="393"/>
        <item x="401"/>
        <item x="398"/>
        <item x="222"/>
        <item x="262"/>
        <item x="268"/>
        <item x="289"/>
        <item x="303"/>
        <item x="309"/>
        <item x="345"/>
        <item x="212"/>
        <item x="220"/>
        <item x="223"/>
        <item x="373"/>
        <item x="241"/>
        <item x="242"/>
        <item x="261"/>
        <item x="247"/>
        <item x="264"/>
        <item x="265"/>
        <item x="267"/>
        <item x="246"/>
        <item x="270"/>
        <item x="283"/>
        <item x="287"/>
        <item x="302"/>
        <item x="307"/>
        <item x="312"/>
        <item x="310"/>
        <item x="319"/>
        <item x="320"/>
        <item x="321"/>
        <item x="335"/>
        <item x="328"/>
        <item x="329"/>
        <item x="332"/>
        <item x="327"/>
        <item x="349"/>
        <item x="366"/>
        <item x="371"/>
        <item x="381"/>
        <item x="387"/>
        <item x="391"/>
        <item x="392"/>
        <item x="394"/>
        <item x="395"/>
        <item x="29"/>
        <item x="30"/>
        <item x="31"/>
        <item x="94"/>
        <item x="383"/>
        <item x="259"/>
        <item x="266"/>
        <item x="276"/>
        <item x="281"/>
        <item x="288"/>
        <item x="301"/>
        <item x="305"/>
        <item x="314"/>
        <item x="313"/>
        <item x="326"/>
        <item x="353"/>
        <item x="348"/>
        <item x="375"/>
        <item x="376"/>
        <item x="378"/>
        <item x="379"/>
        <item x="203"/>
        <item x="402"/>
        <item x="215"/>
        <item x="219"/>
        <item x="248"/>
        <item x="249"/>
        <item x="239"/>
        <item x="240"/>
        <item x="238"/>
        <item x="251"/>
        <item x="252"/>
        <item x="369"/>
        <item x="370"/>
        <item x="282"/>
        <item x="295"/>
        <item x="236"/>
        <item x="306"/>
        <item x="300"/>
        <item x="342"/>
        <item x="340"/>
        <item x="339"/>
        <item x="341"/>
        <item x="367"/>
        <item x="384"/>
        <item x="389"/>
        <item x="397"/>
        <item x="214"/>
        <item x="216"/>
        <item x="217"/>
        <item x="218"/>
        <item x="221"/>
        <item x="224"/>
        <item x="225"/>
        <item x="227"/>
        <item x="228"/>
        <item x="229"/>
        <item x="230"/>
        <item x="231"/>
        <item x="232"/>
        <item x="234"/>
        <item x="235"/>
        <item x="237"/>
        <item x="244"/>
        <item x="245"/>
        <item x="253"/>
        <item x="254"/>
        <item x="255"/>
        <item x="256"/>
        <item x="257"/>
        <item x="258"/>
        <item x="269"/>
        <item x="271"/>
        <item x="272"/>
        <item x="273"/>
        <item x="275"/>
        <item x="277"/>
        <item x="279"/>
        <item x="280"/>
        <item x="285"/>
        <item x="292"/>
        <item x="296"/>
        <item x="297"/>
        <item x="298"/>
        <item x="308"/>
        <item x="322"/>
        <item x="323"/>
        <item x="324"/>
        <item x="325"/>
        <item x="333"/>
        <item x="334"/>
        <item x="336"/>
        <item x="337"/>
        <item x="338"/>
        <item x="343"/>
        <item x="344"/>
        <item x="346"/>
        <item x="347"/>
        <item x="350"/>
        <item x="351"/>
        <item x="352"/>
        <item x="354"/>
        <item x="355"/>
        <item x="356"/>
        <item x="357"/>
        <item x="358"/>
        <item x="359"/>
        <item x="360"/>
        <item x="361"/>
        <item x="362"/>
        <item x="364"/>
        <item x="365"/>
        <item x="368"/>
        <item x="377"/>
        <item x="382"/>
        <item x="396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axis="axisRow" showAll="0" sortType="descending">
      <items count="6">
        <item x="0"/>
        <item x="2"/>
        <item x="1"/>
        <item x="3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12">
        <item x="0"/>
        <item m="1" x="9"/>
        <item m="1" x="8"/>
        <item x="2"/>
        <item x="5"/>
        <item x="6"/>
        <item m="1" x="10"/>
        <item x="1"/>
        <item x="4"/>
        <item x="7"/>
        <item x="3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8"/>
  </rowFields>
  <rowItems count="5">
    <i>
      <x v="2"/>
    </i>
    <i>
      <x/>
    </i>
    <i>
      <x v="1"/>
    </i>
    <i>
      <x v="3"/>
    </i>
    <i t="grand">
      <x/>
    </i>
  </rowItems>
  <colFields count="1">
    <field x="42"/>
  </colFields>
  <colItems count="8">
    <i>
      <x/>
    </i>
    <i>
      <x v="3"/>
    </i>
    <i>
      <x v="4"/>
    </i>
    <i>
      <x v="5"/>
    </i>
    <i>
      <x v="7"/>
    </i>
    <i>
      <x v="8"/>
    </i>
    <i>
      <x v="10"/>
    </i>
    <i t="grand">
      <x/>
    </i>
  </colItems>
  <dataFields count="1">
    <dataField name="Contagem de RESPONSÁVEL" fld="42" subtotal="count" baseField="0" baseItem="0"/>
  </dataFields>
  <formats count="107">
    <format dxfId="1685">
      <pivotArea outline="0" collapsedLevelsAreSubtotals="1" fieldPosition="0"/>
    </format>
    <format dxfId="1684">
      <pivotArea dataOnly="0" labelOnly="1" grandCol="1" outline="0" fieldPosition="0"/>
    </format>
    <format dxfId="1683">
      <pivotArea outline="0" collapsedLevelsAreSubtotals="1" fieldPosition="0"/>
    </format>
    <format dxfId="1682">
      <pivotArea dataOnly="0" labelOnly="1" grandCol="1" outline="0" fieldPosition="0"/>
    </format>
    <format dxfId="1681">
      <pivotArea type="all" dataOnly="0" outline="0" fieldPosition="0"/>
    </format>
    <format dxfId="1680">
      <pivotArea outline="0" collapsedLevelsAreSubtotals="1" fieldPosition="0"/>
    </format>
    <format dxfId="1679">
      <pivotArea type="origin" dataOnly="0" labelOnly="1" outline="0" fieldPosition="0"/>
    </format>
    <format dxfId="1678">
      <pivotArea type="topRight" dataOnly="0" labelOnly="1" outline="0" fieldPosition="0"/>
    </format>
    <format dxfId="1677">
      <pivotArea field="18" type="button" dataOnly="0" labelOnly="1" outline="0" axis="axisRow" fieldPosition="0"/>
    </format>
    <format dxfId="1676">
      <pivotArea dataOnly="0" labelOnly="1" fieldPosition="0">
        <references count="1">
          <reference field="18" count="0"/>
        </references>
      </pivotArea>
    </format>
    <format dxfId="1675">
      <pivotArea dataOnly="0" labelOnly="1" grandRow="1" outline="0" fieldPosition="0"/>
    </format>
    <format dxfId="1674">
      <pivotArea dataOnly="0" labelOnly="1" grandCol="1" outline="0" fieldPosition="0"/>
    </format>
    <format dxfId="1673">
      <pivotArea type="all" dataOnly="0" outline="0" fieldPosition="0"/>
    </format>
    <format dxfId="1672">
      <pivotArea outline="0" collapsedLevelsAreSubtotals="1" fieldPosition="0"/>
    </format>
    <format dxfId="1671">
      <pivotArea type="topRight" dataOnly="0" labelOnly="1" outline="0" fieldPosition="0"/>
    </format>
    <format dxfId="1670">
      <pivotArea dataOnly="0" labelOnly="1" grandCol="1" outline="0" fieldPosition="0"/>
    </format>
    <format dxfId="1669">
      <pivotArea type="origin" dataOnly="0" labelOnly="1" outline="0" fieldPosition="0"/>
    </format>
    <format dxfId="1668">
      <pivotArea field="18" type="button" dataOnly="0" labelOnly="1" outline="0" axis="axisRow" fieldPosition="0"/>
    </format>
    <format dxfId="1667">
      <pivotArea dataOnly="0" labelOnly="1" fieldPosition="0">
        <references count="1">
          <reference field="18" count="0"/>
        </references>
      </pivotArea>
    </format>
    <format dxfId="1666">
      <pivotArea dataOnly="0" labelOnly="1" grandRow="1" outline="0" fieldPosition="0"/>
    </format>
    <format dxfId="1665">
      <pivotArea type="all" dataOnly="0" outline="0" fieldPosition="0"/>
    </format>
    <format dxfId="1664">
      <pivotArea outline="0" collapsedLevelsAreSubtotals="1" fieldPosition="0"/>
    </format>
    <format dxfId="1663">
      <pivotArea type="origin" dataOnly="0" labelOnly="1" outline="0" fieldPosition="0"/>
    </format>
    <format dxfId="1662">
      <pivotArea field="42" type="button" dataOnly="0" labelOnly="1" outline="0" axis="axisCol" fieldPosition="0"/>
    </format>
    <format dxfId="1661">
      <pivotArea type="topRight" dataOnly="0" labelOnly="1" outline="0" fieldPosition="0"/>
    </format>
    <format dxfId="1660">
      <pivotArea field="18" type="button" dataOnly="0" labelOnly="1" outline="0" axis="axisRow" fieldPosition="0"/>
    </format>
    <format dxfId="1659">
      <pivotArea dataOnly="0" labelOnly="1" fieldPosition="0">
        <references count="1">
          <reference field="18" count="0"/>
        </references>
      </pivotArea>
    </format>
    <format dxfId="1658">
      <pivotArea dataOnly="0" labelOnly="1" grandRow="1" outline="0" fieldPosition="0"/>
    </format>
    <format dxfId="1657"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 dxfId="1656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9">
            <x v="0"/>
            <x v="1"/>
            <x v="2"/>
            <x v="3"/>
            <x v="4"/>
            <x v="5"/>
            <x v="7"/>
            <x v="8"/>
            <x v="10"/>
          </reference>
        </references>
      </pivotArea>
    </format>
    <format dxfId="1655">
      <pivotArea type="origin" dataOnly="0" labelOnly="1" outline="0" fieldPosition="0"/>
    </format>
    <format dxfId="1654">
      <pivotArea field="18" type="button" dataOnly="0" labelOnly="1" outline="0" axis="axisRow" fieldPosition="0"/>
    </format>
    <format dxfId="1653">
      <pivotArea dataOnly="0" labelOnly="1" fieldPosition="0">
        <references count="1">
          <reference field="18" count="0"/>
        </references>
      </pivotArea>
    </format>
    <format dxfId="1652">
      <pivotArea dataOnly="0" labelOnly="1" grandRow="1" outline="0" fieldPosition="0"/>
    </format>
    <format dxfId="1651">
      <pivotArea type="origin" dataOnly="0" labelOnly="1" outline="0" fieldPosition="0"/>
    </format>
    <format dxfId="1650">
      <pivotArea field="42" type="button" dataOnly="0" labelOnly="1" outline="0" axis="axisCol" fieldPosition="0"/>
    </format>
    <format dxfId="1649">
      <pivotArea type="topRight" dataOnly="0" labelOnly="1" outline="0" fieldPosition="0"/>
    </format>
    <format dxfId="1648">
      <pivotArea type="origin" dataOnly="0" labelOnly="1" outline="0" fieldPosition="0"/>
    </format>
    <format dxfId="1647">
      <pivotArea field="42" type="button" dataOnly="0" labelOnly="1" outline="0" axis="axisCol" fieldPosition="0"/>
    </format>
    <format dxfId="1646">
      <pivotArea type="topRight" dataOnly="0" labelOnly="1" outline="0" fieldPosition="0"/>
    </format>
    <format dxfId="1645">
      <pivotArea type="origin" dataOnly="0" labelOnly="1" outline="0" fieldPosition="0"/>
    </format>
    <format dxfId="1644">
      <pivotArea field="42" type="button" dataOnly="0" labelOnly="1" outline="0" axis="axisCol" fieldPosition="0"/>
    </format>
    <format dxfId="1643">
      <pivotArea type="topRight" dataOnly="0" labelOnly="1" outline="0" fieldPosition="0"/>
    </format>
    <format dxfId="1642">
      <pivotArea field="18" type="button" dataOnly="0" labelOnly="1" outline="0" axis="axisRow" fieldPosition="0"/>
    </format>
    <format dxfId="1641">
      <pivotArea dataOnly="0" labelOnly="1" fieldPosition="0">
        <references count="1">
          <reference field="42" count="8">
            <x v="0"/>
            <x v="1"/>
            <x v="3"/>
            <x v="4"/>
            <x v="5"/>
            <x v="7"/>
            <x v="8"/>
            <x v="10"/>
          </reference>
        </references>
      </pivotArea>
    </format>
    <format dxfId="1640">
      <pivotArea dataOnly="0" labelOnly="1" grandCol="1" outline="0" fieldPosition="0"/>
    </format>
    <format dxfId="1639">
      <pivotArea field="18" type="button" dataOnly="0" labelOnly="1" outline="0" axis="axisRow" fieldPosition="0"/>
    </format>
    <format dxfId="1638">
      <pivotArea dataOnly="0" labelOnly="1" fieldPosition="0">
        <references count="1">
          <reference field="42" count="8">
            <x v="0"/>
            <x v="1"/>
            <x v="3"/>
            <x v="4"/>
            <x v="5"/>
            <x v="7"/>
            <x v="8"/>
            <x v="10"/>
          </reference>
        </references>
      </pivotArea>
    </format>
    <format dxfId="1637">
      <pivotArea dataOnly="0" labelOnly="1" grandCol="1" outline="0" fieldPosition="0"/>
    </format>
    <format dxfId="1636">
      <pivotArea collapsedLevelsAreSubtotals="1" fieldPosition="0">
        <references count="1">
          <reference field="18" count="1">
            <x v="2"/>
          </reference>
        </references>
      </pivotArea>
    </format>
    <format dxfId="1635">
      <pivotArea dataOnly="0" labelOnly="1" fieldPosition="0">
        <references count="1">
          <reference field="18" count="1">
            <x v="2"/>
          </reference>
        </references>
      </pivotArea>
    </format>
    <format dxfId="1634">
      <pivotArea collapsedLevelsAreSubtotals="1" fieldPosition="0">
        <references count="1">
          <reference field="18" count="1">
            <x v="2"/>
          </reference>
        </references>
      </pivotArea>
    </format>
    <format dxfId="1633">
      <pivotArea dataOnly="0" labelOnly="1" fieldPosition="0">
        <references count="1">
          <reference field="18" count="1">
            <x v="2"/>
          </reference>
        </references>
      </pivotArea>
    </format>
    <format dxfId="1632">
      <pivotArea collapsedLevelsAreSubtotals="1" fieldPosition="0">
        <references count="1">
          <reference field="18" count="1">
            <x v="0"/>
          </reference>
        </references>
      </pivotArea>
    </format>
    <format dxfId="1631">
      <pivotArea dataOnly="0" labelOnly="1" fieldPosition="0">
        <references count="1">
          <reference field="18" count="1">
            <x v="0"/>
          </reference>
        </references>
      </pivotArea>
    </format>
    <format dxfId="1630">
      <pivotArea collapsedLevelsAreSubtotals="1" fieldPosition="0">
        <references count="1">
          <reference field="18" count="1">
            <x v="0"/>
          </reference>
        </references>
      </pivotArea>
    </format>
    <format dxfId="1629">
      <pivotArea dataOnly="0" labelOnly="1" fieldPosition="0">
        <references count="1">
          <reference field="18" count="1">
            <x v="0"/>
          </reference>
        </references>
      </pivotArea>
    </format>
    <format dxfId="1628">
      <pivotArea collapsedLevelsAreSubtotals="1" fieldPosition="0">
        <references count="1">
          <reference field="18" count="1">
            <x v="1"/>
          </reference>
        </references>
      </pivotArea>
    </format>
    <format dxfId="1627">
      <pivotArea dataOnly="0" labelOnly="1" fieldPosition="0">
        <references count="1">
          <reference field="18" count="1">
            <x v="1"/>
          </reference>
        </references>
      </pivotArea>
    </format>
    <format dxfId="1626">
      <pivotArea collapsedLevelsAreSubtotals="1" fieldPosition="0">
        <references count="1">
          <reference field="18" count="1">
            <x v="1"/>
          </reference>
        </references>
      </pivotArea>
    </format>
    <format dxfId="1625">
      <pivotArea dataOnly="0" labelOnly="1" fieldPosition="0">
        <references count="1">
          <reference field="18" count="1">
            <x v="1"/>
          </reference>
        </references>
      </pivotArea>
    </format>
    <format dxfId="1624">
      <pivotArea collapsedLevelsAreSubtotals="1" fieldPosition="0">
        <references count="1">
          <reference field="18" count="1">
            <x v="3"/>
          </reference>
        </references>
      </pivotArea>
    </format>
    <format dxfId="1623">
      <pivotArea dataOnly="0" labelOnly="1" fieldPosition="0">
        <references count="1">
          <reference field="18" count="1">
            <x v="3"/>
          </reference>
        </references>
      </pivotArea>
    </format>
    <format dxfId="1622">
      <pivotArea collapsedLevelsAreSubtotals="1" fieldPosition="0">
        <references count="1">
          <reference field="18" count="1">
            <x v="3"/>
          </reference>
        </references>
      </pivotArea>
    </format>
    <format dxfId="1621">
      <pivotArea dataOnly="0" labelOnly="1" fieldPosition="0">
        <references count="1">
          <reference field="18" count="1">
            <x v="3"/>
          </reference>
        </references>
      </pivotArea>
    </format>
    <format dxfId="1620">
      <pivotArea grandRow="1" outline="0" collapsedLevelsAreSubtotals="1" fieldPosition="0"/>
    </format>
    <format dxfId="1619">
      <pivotArea dataOnly="0" labelOnly="1" grandRow="1" outline="0" fieldPosition="0"/>
    </format>
    <format dxfId="1618">
      <pivotArea grandRow="1" outline="0" collapsedLevelsAreSubtotals="1" fieldPosition="0"/>
    </format>
    <format dxfId="1617">
      <pivotArea dataOnly="0" labelOnly="1" grandRow="1" outline="0" fieldPosition="0"/>
    </format>
    <format dxfId="1616">
      <pivotArea grandRow="1" outline="0" collapsedLevelsAreSubtotals="1" fieldPosition="0"/>
    </format>
    <format dxfId="1615">
      <pivotArea dataOnly="0" labelOnly="1" grandRow="1" outline="0" fieldPosition="0"/>
    </format>
    <format>
      <pivotArea type="all" dataOnly="0" outline="0" fieldPosition="0"/>
    </format>
    <format>
      <pivotArea type="origin" dataOnly="0" labelOnly="1" outline="0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grandRow="1" outline="0" fieldPosition="0"/>
    </format>
    <format dxfId="1614">
      <pivotArea type="origin" dataOnly="0" labelOnly="1" outline="0" fieldPosition="0"/>
    </format>
    <format dxfId="1613">
      <pivotArea field="42" type="button" dataOnly="0" labelOnly="1" outline="0" axis="axisCol" fieldPosition="0"/>
    </format>
    <format dxfId="1612">
      <pivotArea type="topRight" dataOnly="0" labelOnly="1" outline="0" fieldPosition="0"/>
    </format>
    <format dxfId="1611">
      <pivotArea type="origin" dataOnly="0" labelOnly="1" outline="0" fieldPosition="0"/>
    </format>
    <format dxfId="1610">
      <pivotArea field="42" type="button" dataOnly="0" labelOnly="1" outline="0" axis="axisCol" fieldPosition="0"/>
    </format>
    <format dxfId="1609">
      <pivotArea type="topRight" dataOnly="0" labelOnly="1" outline="0" fieldPosition="0"/>
    </format>
    <format dxfId="1608">
      <pivotArea type="origin" dataOnly="0" labelOnly="1" outline="0" fieldPosition="0"/>
    </format>
    <format dxfId="1607">
      <pivotArea field="42" type="button" dataOnly="0" labelOnly="1" outline="0" axis="axisCol" fieldPosition="0"/>
    </format>
    <format dxfId="1606">
      <pivotArea type="topRight" dataOnly="0" labelOnly="1" outline="0" fieldPosition="0"/>
    </format>
    <format dxfId="1605">
      <pivotArea grandRow="1" outline="0" collapsedLevelsAreSubtotals="1" fieldPosition="0"/>
    </format>
    <format dxfId="1604">
      <pivotArea dataOnly="0" labelOnly="1" grandRow="1" outline="0" fieldPosition="0"/>
    </format>
    <format dxfId="1603">
      <pivotArea grandRow="1" outline="0" collapsedLevelsAreSubtotals="1" fieldPosition="0"/>
    </format>
    <format dxfId="1602">
      <pivotArea dataOnly="0" labelOnly="1" grandRow="1" outline="0" fieldPosition="0"/>
    </format>
    <format dxfId="1601">
      <pivotArea grandRow="1" outline="0" collapsedLevelsAreSubtotals="1" fieldPosition="0"/>
    </format>
    <format dxfId="1600">
      <pivotArea dataOnly="0" labelOnly="1" grandRow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type="origin" dataOnly="0" labelOnly="1" outline="0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>
      <pivotArea field="18" type="button" dataOnly="0" labelOnly="1" outline="0" axis="axisRow" fieldPosition="0"/>
    </format>
    <format>
      <pivotArea dataOnly="0" labelOnly="1" fieldPosition="0">
        <references count="1">
          <reference field="18" count="0"/>
        </references>
      </pivotArea>
    </format>
    <format>
      <pivotArea dataOnly="0" labelOnly="1" grandRow="1" outline="0" fieldPosition="0"/>
    </format>
    <format>
      <pivotArea dataOnly="0" labelOnly="1" fieldPosition="0">
        <references count="1">
          <reference field="42" count="8">
            <x v="0"/>
            <x v="1"/>
            <x v="3"/>
            <x v="4"/>
            <x v="5"/>
            <x v="7"/>
            <x v="8"/>
            <x v="10"/>
          </reference>
        </references>
      </pivotArea>
    </format>
    <format>
      <pivotArea dataOnly="0" labelOnly="1" grandCol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Canal_Venda_Top10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M27:V93" firstHeaderRow="1" firstDataRow="2" firstDataCol="1"/>
  <pivotFields count="45">
    <pivotField showAll="0"/>
    <pivotField showAll="0"/>
    <pivotField showAll="0"/>
    <pivotField showAll="0">
      <items count="516">
        <item x="514"/>
        <item x="0"/>
        <item x="1"/>
        <item x="2"/>
        <item x="3"/>
        <item x="4"/>
        <item x="5"/>
        <item x="8"/>
        <item x="9"/>
        <item x="6"/>
        <item x="21"/>
        <item x="12"/>
        <item x="10"/>
        <item x="7"/>
        <item x="15"/>
        <item x="16"/>
        <item x="13"/>
        <item x="37"/>
        <item x="14"/>
        <item x="17"/>
        <item x="11"/>
        <item x="32"/>
        <item x="26"/>
        <item x="27"/>
        <item x="36"/>
        <item x="33"/>
        <item x="18"/>
        <item x="20"/>
        <item x="19"/>
        <item x="47"/>
        <item x="38"/>
        <item x="48"/>
        <item x="45"/>
        <item x="28"/>
        <item x="41"/>
        <item x="46"/>
        <item x="25"/>
        <item x="34"/>
        <item x="22"/>
        <item x="23"/>
        <item x="24"/>
        <item x="39"/>
        <item x="43"/>
        <item x="64"/>
        <item x="77"/>
        <item x="79"/>
        <item x="40"/>
        <item x="42"/>
        <item x="84"/>
        <item x="83"/>
        <item x="35"/>
        <item x="91"/>
        <item x="52"/>
        <item x="73"/>
        <item x="76"/>
        <item x="74"/>
        <item x="78"/>
        <item x="87"/>
        <item x="51"/>
        <item x="54"/>
        <item x="57"/>
        <item x="58"/>
        <item x="90"/>
        <item x="55"/>
        <item x="59"/>
        <item x="60"/>
        <item x="61"/>
        <item x="82"/>
        <item x="100"/>
        <item x="63"/>
        <item x="67"/>
        <item x="68"/>
        <item x="69"/>
        <item x="81"/>
        <item x="88"/>
        <item x="97"/>
        <item x="75"/>
        <item x="96"/>
        <item x="102"/>
        <item x="49"/>
        <item x="53"/>
        <item x="66"/>
        <item x="71"/>
        <item x="80"/>
        <item x="85"/>
        <item x="92"/>
        <item x="93"/>
        <item x="95"/>
        <item x="98"/>
        <item x="99"/>
        <item x="50"/>
        <item x="62"/>
        <item x="72"/>
        <item x="70"/>
        <item x="86"/>
        <item x="107"/>
        <item x="101"/>
        <item x="56"/>
        <item x="181"/>
        <item x="180"/>
        <item x="189"/>
        <item x="89"/>
        <item x="206"/>
        <item x="103"/>
        <item x="105"/>
        <item x="104"/>
        <item x="109"/>
        <item x="108"/>
        <item x="110"/>
        <item x="120"/>
        <item x="121"/>
        <item x="122"/>
        <item x="129"/>
        <item x="127"/>
        <item x="128"/>
        <item x="147"/>
        <item x="167"/>
        <item x="191"/>
        <item x="204"/>
        <item x="205"/>
        <item x="208"/>
        <item x="44"/>
        <item x="65"/>
        <item x="115"/>
        <item x="126"/>
        <item x="112"/>
        <item x="175"/>
        <item x="196"/>
        <item x="195"/>
        <item x="207"/>
        <item x="111"/>
        <item x="162"/>
        <item x="163"/>
        <item x="164"/>
        <item x="165"/>
        <item x="198"/>
        <item x="209"/>
        <item x="193"/>
        <item x="113"/>
        <item x="114"/>
        <item x="130"/>
        <item x="131"/>
        <item x="148"/>
        <item x="160"/>
        <item x="143"/>
        <item x="144"/>
        <item x="159"/>
        <item x="125"/>
        <item x="166"/>
        <item x="161"/>
        <item x="171"/>
        <item x="170"/>
        <item x="173"/>
        <item x="182"/>
        <item x="184"/>
        <item x="185"/>
        <item x="186"/>
        <item x="187"/>
        <item x="123"/>
        <item x="137"/>
        <item x="117"/>
        <item x="106"/>
        <item x="116"/>
        <item x="119"/>
        <item x="124"/>
        <item x="145"/>
        <item x="146"/>
        <item x="158"/>
        <item x="157"/>
        <item x="138"/>
        <item x="139"/>
        <item x="140"/>
        <item x="141"/>
        <item x="142"/>
        <item x="133"/>
        <item x="134"/>
        <item x="135"/>
        <item x="136"/>
        <item x="132"/>
        <item x="151"/>
        <item x="149"/>
        <item x="150"/>
        <item x="169"/>
        <item x="168"/>
        <item x="172"/>
        <item x="174"/>
        <item x="178"/>
        <item x="179"/>
        <item x="188"/>
        <item x="194"/>
        <item x="201"/>
        <item x="202"/>
        <item x="199"/>
        <item x="200"/>
        <item x="197"/>
        <item x="210"/>
        <item x="211"/>
        <item x="190"/>
        <item x="226"/>
        <item x="233"/>
        <item x="118"/>
        <item x="250"/>
        <item x="260"/>
        <item x="152"/>
        <item x="153"/>
        <item x="154"/>
        <item x="155"/>
        <item x="156"/>
        <item x="183"/>
        <item x="374"/>
        <item x="390"/>
        <item x="388"/>
        <item x="278"/>
        <item x="284"/>
        <item x="286"/>
        <item x="290"/>
        <item x="291"/>
        <item x="263"/>
        <item x="274"/>
        <item x="315"/>
        <item x="316"/>
        <item x="363"/>
        <item x="372"/>
        <item x="176"/>
        <item x="177"/>
        <item x="213"/>
        <item x="385"/>
        <item x="243"/>
        <item x="399"/>
        <item x="400"/>
        <item x="293"/>
        <item x="294"/>
        <item x="299"/>
        <item x="304"/>
        <item x="311"/>
        <item x="317"/>
        <item x="318"/>
        <item x="331"/>
        <item x="330"/>
        <item x="192"/>
        <item x="380"/>
        <item x="386"/>
        <item x="393"/>
        <item x="401"/>
        <item x="398"/>
        <item x="222"/>
        <item x="262"/>
        <item x="268"/>
        <item x="289"/>
        <item x="303"/>
        <item x="309"/>
        <item x="345"/>
        <item x="212"/>
        <item x="220"/>
        <item x="223"/>
        <item x="373"/>
        <item x="241"/>
        <item x="242"/>
        <item x="261"/>
        <item x="247"/>
        <item x="264"/>
        <item x="265"/>
        <item x="267"/>
        <item x="246"/>
        <item x="270"/>
        <item x="283"/>
        <item x="287"/>
        <item x="302"/>
        <item x="307"/>
        <item x="312"/>
        <item x="310"/>
        <item x="319"/>
        <item x="320"/>
        <item x="321"/>
        <item x="335"/>
        <item x="328"/>
        <item x="329"/>
        <item x="332"/>
        <item x="327"/>
        <item x="349"/>
        <item x="366"/>
        <item x="371"/>
        <item x="381"/>
        <item x="387"/>
        <item x="391"/>
        <item x="392"/>
        <item x="394"/>
        <item x="395"/>
        <item x="29"/>
        <item x="30"/>
        <item x="31"/>
        <item x="94"/>
        <item x="383"/>
        <item x="259"/>
        <item x="266"/>
        <item x="276"/>
        <item x="281"/>
        <item x="288"/>
        <item x="301"/>
        <item x="305"/>
        <item x="314"/>
        <item x="313"/>
        <item x="326"/>
        <item x="353"/>
        <item x="348"/>
        <item x="375"/>
        <item x="376"/>
        <item x="378"/>
        <item x="379"/>
        <item x="203"/>
        <item x="402"/>
        <item x="215"/>
        <item x="219"/>
        <item x="248"/>
        <item x="249"/>
        <item x="239"/>
        <item x="240"/>
        <item x="238"/>
        <item x="251"/>
        <item x="252"/>
        <item x="369"/>
        <item x="370"/>
        <item x="282"/>
        <item x="295"/>
        <item x="236"/>
        <item x="306"/>
        <item x="300"/>
        <item x="342"/>
        <item x="340"/>
        <item x="339"/>
        <item x="341"/>
        <item x="367"/>
        <item x="384"/>
        <item x="389"/>
        <item x="397"/>
        <item x="214"/>
        <item x="216"/>
        <item x="217"/>
        <item x="218"/>
        <item x="221"/>
        <item x="224"/>
        <item x="225"/>
        <item x="227"/>
        <item x="228"/>
        <item x="229"/>
        <item x="230"/>
        <item x="231"/>
        <item x="232"/>
        <item x="234"/>
        <item x="235"/>
        <item x="237"/>
        <item x="244"/>
        <item x="245"/>
        <item x="253"/>
        <item x="254"/>
        <item x="255"/>
        <item x="256"/>
        <item x="257"/>
        <item x="258"/>
        <item x="269"/>
        <item x="271"/>
        <item x="272"/>
        <item x="273"/>
        <item x="275"/>
        <item x="277"/>
        <item x="279"/>
        <item x="280"/>
        <item x="285"/>
        <item x="292"/>
        <item x="296"/>
        <item x="297"/>
        <item x="298"/>
        <item x="308"/>
        <item x="322"/>
        <item x="323"/>
        <item x="324"/>
        <item x="325"/>
        <item x="333"/>
        <item x="334"/>
        <item x="336"/>
        <item x="337"/>
        <item x="338"/>
        <item x="343"/>
        <item x="344"/>
        <item x="346"/>
        <item x="347"/>
        <item x="350"/>
        <item x="351"/>
        <item x="352"/>
        <item x="354"/>
        <item x="355"/>
        <item x="356"/>
        <item x="357"/>
        <item x="358"/>
        <item x="359"/>
        <item x="360"/>
        <item x="361"/>
        <item x="362"/>
        <item x="364"/>
        <item x="365"/>
        <item x="368"/>
        <item x="377"/>
        <item x="382"/>
        <item x="396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19">
        <item x="9"/>
        <item x="3"/>
        <item x="7"/>
        <item x="1"/>
        <item x="17"/>
        <item m="1" x="73"/>
        <item m="1" x="107"/>
        <item m="1" x="85"/>
        <item x="50"/>
        <item m="1" x="72"/>
        <item m="1" x="104"/>
        <item m="1" x="82"/>
        <item x="36"/>
        <item m="1" x="115"/>
        <item x="39"/>
        <item x="2"/>
        <item x="27"/>
        <item x="13"/>
        <item x="35"/>
        <item x="63"/>
        <item x="64"/>
        <item x="0"/>
        <item x="51"/>
        <item x="48"/>
        <item m="1" x="80"/>
        <item m="1" x="97"/>
        <item m="1" x="90"/>
        <item x="21"/>
        <item x="20"/>
        <item x="31"/>
        <item x="16"/>
        <item x="32"/>
        <item m="1" x="84"/>
        <item x="10"/>
        <item m="1" x="93"/>
        <item m="1" x="87"/>
        <item x="59"/>
        <item x="34"/>
        <item x="62"/>
        <item m="1" x="65"/>
        <item m="1" x="94"/>
        <item x="5"/>
        <item x="22"/>
        <item x="43"/>
        <item x="30"/>
        <item x="49"/>
        <item x="42"/>
        <item x="33"/>
        <item x="15"/>
        <item x="4"/>
        <item x="8"/>
        <item x="45"/>
        <item m="1" x="98"/>
        <item x="23"/>
        <item x="11"/>
        <item x="60"/>
        <item x="40"/>
        <item m="1" x="95"/>
        <item m="1" x="74"/>
        <item x="18"/>
        <item m="1" x="96"/>
        <item x="19"/>
        <item m="1" x="83"/>
        <item m="1" x="99"/>
        <item m="1" x="77"/>
        <item m="1" x="75"/>
        <item m="1" x="102"/>
        <item m="1" x="86"/>
        <item x="37"/>
        <item x="24"/>
        <item x="38"/>
        <item m="1" x="103"/>
        <item m="1" x="117"/>
        <item x="44"/>
        <item m="1" x="78"/>
        <item m="1" x="89"/>
        <item m="1" x="69"/>
        <item x="61"/>
        <item m="1" x="114"/>
        <item m="1" x="109"/>
        <item m="1" x="76"/>
        <item x="6"/>
        <item m="1" x="81"/>
        <item m="1" x="113"/>
        <item x="28"/>
        <item m="1" x="100"/>
        <item m="1" x="101"/>
        <item m="1" x="116"/>
        <item x="47"/>
        <item x="29"/>
        <item m="1" x="111"/>
        <item m="1" x="112"/>
        <item m="1" x="79"/>
        <item m="1" x="66"/>
        <item x="25"/>
        <item m="1" x="110"/>
        <item m="1" x="105"/>
        <item x="52"/>
        <item m="1" x="108"/>
        <item m="1" x="67"/>
        <item x="46"/>
        <item m="1" x="106"/>
        <item x="54"/>
        <item x="12"/>
        <item m="1" x="71"/>
        <item x="53"/>
        <item x="55"/>
        <item x="56"/>
        <item x="41"/>
        <item m="1" x="91"/>
        <item m="1" x="92"/>
        <item m="1" x="88"/>
        <item x="26"/>
        <item m="1" x="70"/>
        <item x="14"/>
        <item m="1" x="68"/>
        <item x="58"/>
        <item x="5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1">
        <item x="3"/>
        <item x="4"/>
        <item x="5"/>
        <item x="7"/>
        <item h="1" x="8"/>
        <item x="0"/>
        <item x="2"/>
        <item x="1"/>
        <item m="1" x="9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5"/>
  </rowFields>
  <rowItems count="65">
    <i>
      <x v="69"/>
    </i>
    <i>
      <x v="1"/>
    </i>
    <i>
      <x v="15"/>
    </i>
    <i>
      <x v="2"/>
    </i>
    <i>
      <x v="94"/>
    </i>
    <i>
      <x v="41"/>
    </i>
    <i>
      <x v="31"/>
    </i>
    <i>
      <x v="18"/>
    </i>
    <i>
      <x v="56"/>
    </i>
    <i>
      <x v="19"/>
    </i>
    <i>
      <x v="3"/>
    </i>
    <i>
      <x v="28"/>
    </i>
    <i>
      <x v="14"/>
    </i>
    <i>
      <x v="42"/>
    </i>
    <i>
      <x v="12"/>
    </i>
    <i>
      <x/>
    </i>
    <i>
      <x v="17"/>
    </i>
    <i>
      <x v="30"/>
    </i>
    <i>
      <x v="59"/>
    </i>
    <i>
      <x v="44"/>
    </i>
    <i>
      <x v="46"/>
    </i>
    <i>
      <x v="70"/>
    </i>
    <i>
      <x v="105"/>
    </i>
    <i>
      <x v="22"/>
    </i>
    <i>
      <x v="54"/>
    </i>
    <i>
      <x v="97"/>
    </i>
    <i>
      <x v="37"/>
    </i>
    <i>
      <x v="68"/>
    </i>
    <i>
      <x v="27"/>
    </i>
    <i>
      <x v="8"/>
    </i>
    <i>
      <x v="81"/>
    </i>
    <i>
      <x v="21"/>
    </i>
    <i>
      <x v="117"/>
    </i>
    <i>
      <x v="49"/>
    </i>
    <i>
      <x v="4"/>
    </i>
    <i>
      <x v="108"/>
    </i>
    <i>
      <x v="102"/>
    </i>
    <i>
      <x v="107"/>
    </i>
    <i>
      <x v="103"/>
    </i>
    <i>
      <x v="53"/>
    </i>
    <i>
      <x v="50"/>
    </i>
    <i>
      <x v="33"/>
    </i>
    <i>
      <x v="100"/>
    </i>
    <i>
      <x v="51"/>
    </i>
    <i>
      <x v="43"/>
    </i>
    <i>
      <x v="47"/>
    </i>
    <i>
      <x v="45"/>
    </i>
    <i>
      <x v="29"/>
    </i>
    <i>
      <x v="23"/>
    </i>
    <i>
      <x v="106"/>
    </i>
    <i>
      <x v="112"/>
    </i>
    <i>
      <x v="16"/>
    </i>
    <i>
      <x v="38"/>
    </i>
    <i>
      <x v="84"/>
    </i>
    <i>
      <x v="61"/>
    </i>
    <i>
      <x v="88"/>
    </i>
    <i>
      <x v="73"/>
    </i>
    <i>
      <x v="116"/>
    </i>
    <i>
      <x v="89"/>
    </i>
    <i>
      <x v="114"/>
    </i>
    <i>
      <x v="55"/>
    </i>
    <i>
      <x v="36"/>
    </i>
    <i>
      <x v="77"/>
    </i>
    <i>
      <x v="48"/>
    </i>
    <i t="grand">
      <x/>
    </i>
  </rowItems>
  <colFields count="1">
    <field x="36"/>
  </colFields>
  <colItems count="9">
    <i>
      <x/>
    </i>
    <i>
      <x v="1"/>
    </i>
    <i>
      <x v="2"/>
    </i>
    <i>
      <x v="3"/>
    </i>
    <i>
      <x v="5"/>
    </i>
    <i>
      <x v="6"/>
    </i>
    <i>
      <x v="7"/>
    </i>
    <i>
      <x v="9"/>
    </i>
    <i t="grand">
      <x/>
    </i>
  </colItems>
  <dataFields count="1">
    <dataField name="Contagem de OBT" fld="8" subtotal="count" baseField="0" baseItem="0"/>
  </dataFields>
  <formats count="548">
    <format dxfId="2199">
      <pivotArea field="25" grandCol="1" collapsedLevelsAreSubtotals="1" axis="axisRow" fieldPosition="0">
        <references count="1">
          <reference field="25" count="0"/>
        </references>
      </pivotArea>
    </format>
    <format dxfId="2198">
      <pivotArea type="all" dataOnly="0" outline="0" fieldPosition="0"/>
    </format>
    <format dxfId="2197">
      <pivotArea outline="0" collapsedLevelsAreSubtotals="1" fieldPosition="0"/>
    </format>
    <format dxfId="2196">
      <pivotArea type="origin" dataOnly="0" labelOnly="1" outline="0" fieldPosition="0"/>
    </format>
    <format dxfId="2195">
      <pivotArea field="25" type="button" dataOnly="0" labelOnly="1" outline="0" axis="axisRow" fieldPosition="0"/>
    </format>
    <format dxfId="2194">
      <pivotArea dataOnly="0" labelOnly="1" fieldPosition="0">
        <references count="1">
          <reference field="25" count="0"/>
        </references>
      </pivotArea>
    </format>
    <format dxfId="2193">
      <pivotArea dataOnly="0" labelOnly="1" grandRow="1" outline="0" fieldPosition="0"/>
    </format>
    <format dxfId="2192">
      <pivotArea dataOnly="0" labelOnly="1" fieldPosition="0">
        <references count="1">
          <reference field="36" count="4">
            <x v="0"/>
            <x v="1"/>
            <x v="2"/>
            <x v="3"/>
          </reference>
        </references>
      </pivotArea>
    </format>
    <format dxfId="2191">
      <pivotArea dataOnly="0" labelOnly="1" grandCol="1" outline="0" fieldPosition="0"/>
    </format>
    <format dxfId="2190">
      <pivotArea outline="0" collapsedLevelsAreSubtotals="1" fieldPosition="0"/>
    </format>
    <format dxfId="2189">
      <pivotArea dataOnly="0" labelOnly="1" fieldPosition="0">
        <references count="1">
          <reference field="36" count="4">
            <x v="0"/>
            <x v="1"/>
            <x v="2"/>
            <x v="3"/>
          </reference>
        </references>
      </pivotArea>
    </format>
    <format dxfId="2188">
      <pivotArea dataOnly="0" labelOnly="1" grandCol="1" outline="0" fieldPosition="0"/>
    </format>
    <format dxfId="2187">
      <pivotArea field="25" grandCol="1" collapsedLevelsAreSubtotals="1" axis="axisRow" fieldPosition="0">
        <references count="1">
          <reference field="25" count="0"/>
        </references>
      </pivotArea>
    </format>
    <format dxfId="2186">
      <pivotArea type="origin" dataOnly="0" labelOnly="1" outline="0" fieldPosition="0"/>
    </format>
    <format dxfId="2185">
      <pivotArea field="25" type="button" dataOnly="0" labelOnly="1" outline="0" axis="axisRow" fieldPosition="0"/>
    </format>
    <format dxfId="2184">
      <pivotArea dataOnly="0" labelOnly="1" fieldPosition="0">
        <references count="1">
          <reference field="25" count="0"/>
        </references>
      </pivotArea>
    </format>
    <format dxfId="2183">
      <pivotArea dataOnly="0" labelOnly="1" grandRow="1" outline="0" fieldPosition="0"/>
    </format>
    <format>
      <pivotArea type="origin" dataOnly="0" labelOnly="1" outline="0" fieldPosition="0"/>
    </format>
    <format>
      <pivotArea field="25" type="button" dataOnly="0" labelOnly="1" outline="0" axis="axisRow" fieldPosition="0"/>
    </format>
    <format>
      <pivotArea dataOnly="0" labelOnly="1" fieldPosition="0">
        <references count="1">
          <reference field="25" count="0"/>
        </references>
      </pivotArea>
    </format>
    <format>
      <pivotArea dataOnly="0" labelOnly="1" grandRow="1" outline="0" fieldPosition="0"/>
    </format>
    <format dxfId="2182">
      <pivotArea type="origin" dataOnly="0" labelOnly="1" outline="0" fieldPosition="0"/>
    </format>
    <format dxfId="2181">
      <pivotArea field="25" type="button" dataOnly="0" labelOnly="1" outline="0" axis="axisRow" fieldPosition="0"/>
    </format>
    <format dxfId="2180">
      <pivotArea dataOnly="0" labelOnly="1" fieldPosition="0">
        <references count="1">
          <reference field="25" count="0"/>
        </references>
      </pivotArea>
    </format>
    <format dxfId="2179">
      <pivotArea dataOnly="0" labelOnly="1" grandRow="1" outline="0" fieldPosition="0"/>
    </format>
    <format dxfId="2178">
      <pivotArea type="all" dataOnly="0" outline="0" fieldPosition="0"/>
    </format>
    <format dxfId="2177">
      <pivotArea outline="0" collapsedLevelsAreSubtotals="1" fieldPosition="0"/>
    </format>
    <format dxfId="2176">
      <pivotArea type="origin" dataOnly="0" labelOnly="1" outline="0" fieldPosition="0"/>
    </format>
    <format dxfId="2175">
      <pivotArea field="36" type="button" dataOnly="0" labelOnly="1" outline="0" axis="axisCol" fieldPosition="0"/>
    </format>
    <format dxfId="2174">
      <pivotArea type="topRight" dataOnly="0" labelOnly="1" outline="0" fieldPosition="0"/>
    </format>
    <format dxfId="2173">
      <pivotArea field="25" type="button" dataOnly="0" labelOnly="1" outline="0" axis="axisRow" fieldPosition="0"/>
    </format>
    <format dxfId="2172">
      <pivotArea dataOnly="0" labelOnly="1" fieldPosition="0">
        <references count="1">
          <reference field="25" count="19">
            <x v="0"/>
            <x v="1"/>
            <x v="2"/>
            <x v="4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</reference>
        </references>
      </pivotArea>
    </format>
    <format dxfId="2171">
      <pivotArea dataOnly="0" labelOnly="1" grandRow="1" outline="0" fieldPosition="0"/>
    </format>
    <format dxfId="2170">
      <pivotArea dataOnly="0" labelOnly="1" fieldPosition="0">
        <references count="1">
          <reference field="36" count="0"/>
        </references>
      </pivotArea>
    </format>
    <format dxfId="2169">
      <pivotArea dataOnly="0" labelOnly="1" grandCol="1" outline="0" fieldPosition="0"/>
    </format>
    <format dxfId="2168">
      <pivotArea type="all" dataOnly="0" outline="0" fieldPosition="0"/>
    </format>
    <format dxfId="2167">
      <pivotArea outline="0" collapsedLevelsAreSubtotals="1" fieldPosition="0"/>
    </format>
    <format dxfId="2166">
      <pivotArea type="origin" dataOnly="0" labelOnly="1" outline="0" fieldPosition="0"/>
    </format>
    <format dxfId="2165">
      <pivotArea field="36" type="button" dataOnly="0" labelOnly="1" outline="0" axis="axisCol" fieldPosition="0"/>
    </format>
    <format dxfId="2164">
      <pivotArea type="topRight" dataOnly="0" labelOnly="1" outline="0" fieldPosition="0"/>
    </format>
    <format dxfId="2163">
      <pivotArea field="25" type="button" dataOnly="0" labelOnly="1" outline="0" axis="axisRow" fieldPosition="0"/>
    </format>
    <format dxfId="2162">
      <pivotArea dataOnly="0" labelOnly="1" fieldPosition="0">
        <references count="1">
          <reference field="25" count="19">
            <x v="0"/>
            <x v="1"/>
            <x v="2"/>
            <x v="4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</reference>
        </references>
      </pivotArea>
    </format>
    <format dxfId="2161">
      <pivotArea dataOnly="0" labelOnly="1" grandRow="1" outline="0" fieldPosition="0"/>
    </format>
    <format dxfId="2160">
      <pivotArea dataOnly="0" labelOnly="1" fieldPosition="0">
        <references count="1">
          <reference field="36" count="0"/>
        </references>
      </pivotArea>
    </format>
    <format dxfId="2159">
      <pivotArea dataOnly="0" labelOnly="1" grandCol="1" outline="0" fieldPosition="0"/>
    </format>
    <format dxfId="2158">
      <pivotArea type="all" dataOnly="0" outline="0" fieldPosition="0"/>
    </format>
    <format dxfId="2157">
      <pivotArea outline="0" collapsedLevelsAreSubtotals="1" fieldPosition="0"/>
    </format>
    <format dxfId="2156">
      <pivotArea type="origin" dataOnly="0" labelOnly="1" outline="0" fieldPosition="0"/>
    </format>
    <format dxfId="2155">
      <pivotArea field="36" type="button" dataOnly="0" labelOnly="1" outline="0" axis="axisCol" fieldPosition="0"/>
    </format>
    <format dxfId="2154">
      <pivotArea type="topRight" dataOnly="0" labelOnly="1" outline="0" fieldPosition="0"/>
    </format>
    <format dxfId="2153">
      <pivotArea field="25" type="button" dataOnly="0" labelOnly="1" outline="0" axis="axisRow" fieldPosition="0"/>
    </format>
    <format dxfId="2152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2151">
      <pivotArea dataOnly="0" labelOnly="1" grandRow="1" outline="0" fieldPosition="0"/>
    </format>
    <format dxfId="2150">
      <pivotArea dataOnly="0" labelOnly="1" fieldPosition="0">
        <references count="1">
          <reference field="36" count="0"/>
        </references>
      </pivotArea>
    </format>
    <format dxfId="2149">
      <pivotArea dataOnly="0" labelOnly="1" grandCol="1" outline="0" fieldPosition="0"/>
    </format>
    <format dxfId="2148">
      <pivotArea type="all" dataOnly="0" outline="0" fieldPosition="0"/>
    </format>
    <format dxfId="2147">
      <pivotArea outline="0" collapsedLevelsAreSubtotals="1" fieldPosition="0"/>
    </format>
    <format dxfId="2146">
      <pivotArea type="origin" dataOnly="0" labelOnly="1" outline="0" fieldPosition="0"/>
    </format>
    <format dxfId="2145">
      <pivotArea field="36" type="button" dataOnly="0" labelOnly="1" outline="0" axis="axisCol" fieldPosition="0"/>
    </format>
    <format dxfId="2144">
      <pivotArea type="topRight" dataOnly="0" labelOnly="1" outline="0" fieldPosition="0"/>
    </format>
    <format dxfId="2143">
      <pivotArea field="25" type="button" dataOnly="0" labelOnly="1" outline="0" axis="axisRow" fieldPosition="0"/>
    </format>
    <format dxfId="2142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2141">
      <pivotArea dataOnly="0" labelOnly="1" grandRow="1" outline="0" fieldPosition="0"/>
    </format>
    <format dxfId="2140">
      <pivotArea dataOnly="0" labelOnly="1" fieldPosition="0">
        <references count="1">
          <reference field="36" count="0"/>
        </references>
      </pivotArea>
    </format>
    <format dxfId="2139">
      <pivotArea dataOnly="0" labelOnly="1" grandCol="1" outline="0" fieldPosition="0"/>
    </format>
    <format dxfId="2138">
      <pivotArea type="all" dataOnly="0" outline="0" fieldPosition="0"/>
    </format>
    <format dxfId="2137">
      <pivotArea outline="0" collapsedLevelsAreSubtotals="1" fieldPosition="0"/>
    </format>
    <format dxfId="2136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2135">
      <pivotArea dataOnly="0" labelOnly="1" fieldPosition="0">
        <references count="1">
          <reference field="36" count="0"/>
        </references>
      </pivotArea>
    </format>
    <format dxfId="2134">
      <pivotArea dataOnly="0" labelOnly="1" grandCol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2133">
      <pivotArea field="25" grandCol="1" collapsedLevelsAreSubtotals="1" axis="axisRow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2132">
      <pivotArea outline="0" collapsedLevelsAreSubtotals="1" fieldPosition="0"/>
    </format>
    <format dxfId="2131">
      <pivotArea dataOnly="0" labelOnly="1" fieldPosition="0">
        <references count="1">
          <reference field="36" count="0"/>
        </references>
      </pivotArea>
    </format>
    <format dxfId="2130">
      <pivotArea dataOnly="0" labelOnly="1" grandCol="1" outline="0" fieldPosition="0"/>
    </format>
    <format dxfId="2129"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 dxfId="2128">
      <pivotArea field="25" grandCol="1" collapsedLevelsAreSubtotals="1" axis="axisRow" fieldPosition="0">
        <references count="1">
          <reference field="25" count="13">
            <x v="0"/>
            <x v="2"/>
            <x v="6"/>
            <x v="7"/>
            <x v="8"/>
            <x v="9"/>
            <x v="10"/>
            <x v="12"/>
            <x v="14"/>
            <x v="15"/>
            <x v="17"/>
            <x v="18"/>
            <x v="19"/>
          </reference>
        </references>
      </pivotArea>
    </format>
    <format dxfId="2127">
      <pivotArea field="25" grandCol="1" collapsedLevelsAreSubtotals="1" axis="axisRow" fieldPosition="0">
        <references count="1">
          <reference field="25" count="10">
            <x v="2"/>
            <x v="6"/>
            <x v="7"/>
            <x v="9"/>
            <x v="10"/>
            <x v="12"/>
            <x v="14"/>
            <x v="15"/>
            <x v="17"/>
            <x v="19"/>
          </reference>
        </references>
      </pivotArea>
    </format>
    <format dxfId="2126">
      <pivotArea field="25" grandCol="1" collapsedLevelsAreSubtotals="1" axis="axisRow" fieldPosition="0">
        <references count="1">
          <reference field="25" count="6">
            <x v="2"/>
            <x v="7"/>
            <x v="9"/>
            <x v="10"/>
            <x v="12"/>
            <x v="19"/>
          </reference>
        </references>
      </pivotArea>
    </format>
    <format dxfId="2125">
      <pivotArea field="25" grandCol="1" collapsedLevelsAreSubtotals="1" axis="axisRow" fieldPosition="0">
        <references count="1">
          <reference field="25" count="21">
            <x v="1"/>
            <x v="2"/>
            <x v="6"/>
            <x v="7"/>
            <x v="8"/>
            <x v="9"/>
            <x v="10"/>
            <x v="12"/>
            <x v="14"/>
            <x v="15"/>
            <x v="18"/>
            <x v="19"/>
            <x v="23"/>
            <x v="24"/>
            <x v="26"/>
            <x v="30"/>
            <x v="31"/>
            <x v="32"/>
            <x v="33"/>
            <x v="36"/>
            <x v="37"/>
          </reference>
        </references>
      </pivotArea>
    </format>
    <format dxfId="2124">
      <pivotArea field="25" grandCol="1" collapsedLevelsAreSubtotals="1" axis="axisRow" fieldPosition="0">
        <references count="1">
          <reference field="25" count="19">
            <x v="1"/>
            <x v="2"/>
            <x v="6"/>
            <x v="7"/>
            <x v="8"/>
            <x v="9"/>
            <x v="10"/>
            <x v="12"/>
            <x v="14"/>
            <x v="15"/>
            <x v="19"/>
            <x v="23"/>
            <x v="26"/>
            <x v="30"/>
            <x v="31"/>
            <x v="32"/>
            <x v="33"/>
            <x v="37"/>
            <x v="38"/>
          </reference>
        </references>
      </pivotArea>
    </format>
    <format dxfId="2123">
      <pivotArea field="25" grandCol="1" collapsedLevelsAreSubtotals="1" axis="axisRow" fieldPosition="0">
        <references count="1">
          <reference field="25" count="34">
            <x v="0"/>
            <x v="1"/>
            <x v="2"/>
            <x v="3"/>
            <x v="4"/>
            <x v="6"/>
            <x v="7"/>
            <x v="8"/>
            <x v="9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6"/>
            <x v="37"/>
            <x v="38"/>
            <x v="40"/>
          </reference>
        </references>
      </pivotArea>
    </format>
    <format dxfId="2122">
      <pivotArea field="25" grandCol="1" collapsedLevelsAreSubtotals="1" axis="axisRow" fieldPosition="0">
        <references count="1">
          <reference field="25" count="20">
            <x v="0"/>
            <x v="1"/>
            <x v="2"/>
            <x v="4"/>
            <x v="6"/>
            <x v="7"/>
            <x v="8"/>
            <x v="9"/>
            <x v="10"/>
            <x v="12"/>
            <x v="14"/>
            <x v="17"/>
            <x v="18"/>
            <x v="19"/>
            <x v="25"/>
            <x v="26"/>
            <x v="28"/>
            <x v="30"/>
            <x v="33"/>
            <x v="38"/>
          </reference>
        </references>
      </pivotArea>
    </format>
    <format dxfId="2121">
      <pivotArea field="25" grandCol="1" collapsedLevelsAreSubtotals="1" axis="axisRow" fieldPosition="0">
        <references count="1">
          <reference field="25" count="18">
            <x v="0"/>
            <x v="1"/>
            <x v="2"/>
            <x v="4"/>
            <x v="6"/>
            <x v="7"/>
            <x v="8"/>
            <x v="9"/>
            <x v="10"/>
            <x v="12"/>
            <x v="14"/>
            <x v="18"/>
            <x v="19"/>
            <x v="26"/>
            <x v="30"/>
            <x v="31"/>
            <x v="32"/>
            <x v="33"/>
          </reference>
        </references>
      </pivotArea>
    </format>
    <format dxfId="2120">
      <pivotArea field="25" grandCol="1" collapsedLevelsAreSubtotals="1" axis="axisRow" fieldPosition="0">
        <references count="1">
          <reference field="25" count="28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6"/>
            <x v="17"/>
            <x v="18"/>
            <x v="19"/>
            <x v="22"/>
            <x v="24"/>
            <x v="25"/>
            <x v="26"/>
            <x v="29"/>
            <x v="30"/>
            <x v="31"/>
            <x v="34"/>
            <x v="37"/>
            <x v="38"/>
            <x v="40"/>
          </reference>
        </references>
      </pivotArea>
    </format>
    <format dxfId="2119">
      <pivotArea outline="0" collapsedLevelsAreSubtotals="1" fieldPosition="0">
        <references count="1">
          <reference field="36" count="1" selected="0">
            <x v="1"/>
          </reference>
        </references>
      </pivotArea>
    </format>
    <format dxfId="2118">
      <pivotArea outline="0" collapsedLevelsAreSubtotals="1" fieldPosition="0">
        <references count="1">
          <reference field="36" count="1" selected="0">
            <x v="3"/>
          </reference>
        </references>
      </pivotArea>
    </format>
    <format dxfId="2117">
      <pivotArea field="25" grandCol="1" collapsedLevelsAreSubtotals="1" axis="axisRow" fieldPosition="0">
        <references count="1">
          <reference field="25" count="31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6"/>
            <x v="17"/>
            <x v="18"/>
            <x v="19"/>
            <x v="23"/>
            <x v="24"/>
            <x v="25"/>
            <x v="26"/>
            <x v="28"/>
            <x v="30"/>
            <x v="31"/>
            <x v="33"/>
            <x v="34"/>
            <x v="36"/>
            <x v="37"/>
            <x v="38"/>
            <x v="39"/>
            <x v="40"/>
          </reference>
        </references>
      </pivotArea>
    </format>
    <format dxfId="2116">
      <pivotArea field="25" grandCol="1" collapsedLevelsAreSubtotals="1" axis="axisRow" fieldPosition="0">
        <references count="1">
          <reference field="25" count="5">
            <x v="2"/>
            <x v="10"/>
            <x v="18"/>
            <x v="19"/>
            <x v="26"/>
          </reference>
        </references>
      </pivotArea>
    </format>
    <format dxfId="2115">
      <pivotArea field="25" grandCol="1" collapsedLevelsAreSubtotals="1" axis="axisRow" fieldPosition="0">
        <references count="1">
          <reference field="25" count="26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4"/>
            <x v="26"/>
            <x v="30"/>
            <x v="31"/>
            <x v="32"/>
            <x v="36"/>
            <x v="37"/>
            <x v="39"/>
            <x v="40"/>
          </reference>
        </references>
      </pivotArea>
    </format>
    <format dxfId="2114">
      <pivotArea field="25" grandCol="1" collapsedLevelsAreSubtotals="1" axis="axisRow" fieldPosition="0">
        <references count="1">
          <reference field="25" count="24">
            <x v="0"/>
            <x v="1"/>
            <x v="2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3"/>
            <x v="24"/>
            <x v="26"/>
            <x v="30"/>
            <x v="31"/>
            <x v="32"/>
            <x v="34"/>
            <x v="36"/>
          </reference>
        </references>
      </pivotArea>
    </format>
    <format dxfId="2113">
      <pivotArea field="25" grandCol="1" collapsedLevelsAreSubtotals="1" axis="axisRow" fieldPosition="0">
        <references count="1">
          <reference field="25" count="25">
            <x v="0"/>
            <x v="1"/>
            <x v="2"/>
            <x v="4"/>
            <x v="6"/>
            <x v="7"/>
            <x v="8"/>
            <x v="9"/>
            <x v="10"/>
            <x v="12"/>
            <x v="14"/>
            <x v="15"/>
            <x v="17"/>
            <x v="18"/>
            <x v="19"/>
            <x v="22"/>
            <x v="24"/>
            <x v="25"/>
            <x v="26"/>
            <x v="30"/>
            <x v="31"/>
            <x v="33"/>
            <x v="34"/>
            <x v="39"/>
            <x v="40"/>
          </reference>
        </references>
      </pivotArea>
    </format>
    <format dxfId="2112">
      <pivotArea field="25" grandCol="1" collapsedLevelsAreSubtotals="1" axis="axisRow" fieldPosition="0">
        <references count="1">
          <reference field="25" count="24">
            <x v="0"/>
            <x v="1"/>
            <x v="2"/>
            <x v="4"/>
            <x v="6"/>
            <x v="7"/>
            <x v="8"/>
            <x v="9"/>
            <x v="10"/>
            <x v="12"/>
            <x v="14"/>
            <x v="16"/>
            <x v="17"/>
            <x v="18"/>
            <x v="19"/>
            <x v="25"/>
            <x v="26"/>
            <x v="28"/>
            <x v="30"/>
            <x v="31"/>
            <x v="32"/>
            <x v="34"/>
            <x v="36"/>
            <x v="37"/>
          </reference>
        </references>
      </pivotArea>
    </format>
    <format dxfId="2111">
      <pivotArea field="25" grandCol="1" collapsedLevelsAreSubtotals="1" axis="axisRow" fieldPosition="0">
        <references count="1">
          <reference field="25" count="26">
            <x v="0"/>
            <x v="1"/>
            <x v="2"/>
            <x v="6"/>
            <x v="7"/>
            <x v="8"/>
            <x v="9"/>
            <x v="10"/>
            <x v="12"/>
            <x v="14"/>
            <x v="16"/>
            <x v="17"/>
            <x v="18"/>
            <x v="19"/>
            <x v="23"/>
            <x v="24"/>
            <x v="25"/>
            <x v="26"/>
            <x v="28"/>
            <x v="30"/>
            <x v="31"/>
            <x v="32"/>
            <x v="33"/>
            <x v="34"/>
            <x v="36"/>
            <x v="37"/>
          </reference>
        </references>
      </pivotArea>
    </format>
    <format dxfId="2110">
      <pivotArea type="all" dataOnly="0" outline="0" fieldPosition="0"/>
    </format>
    <format dxfId="2109">
      <pivotArea outline="0" collapsedLevelsAreSubtotals="1" fieldPosition="0"/>
    </format>
    <format dxfId="2108">
      <pivotArea type="origin" dataOnly="0" labelOnly="1" outline="0" fieldPosition="0"/>
    </format>
    <format dxfId="2107">
      <pivotArea field="36" type="button" dataOnly="0" labelOnly="1" outline="0" axis="axisCol" fieldPosition="0"/>
    </format>
    <format dxfId="2106">
      <pivotArea type="topRight" dataOnly="0" labelOnly="1" outline="0" fieldPosition="0"/>
    </format>
    <format dxfId="2105">
      <pivotArea field="25" type="button" dataOnly="0" labelOnly="1" outline="0" axis="axisRow" fieldPosition="0"/>
    </format>
    <format dxfId="2104">
      <pivotArea dataOnly="0" labelOnly="1" fieldPosition="0">
        <references count="1">
          <reference field="25" count="28">
            <x v="0"/>
            <x v="2"/>
            <x v="6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7"/>
          </reference>
        </references>
      </pivotArea>
    </format>
    <format dxfId="2103">
      <pivotArea dataOnly="0" labelOnly="1" grandRow="1" outline="0" fieldPosition="0"/>
    </format>
    <format dxfId="2102">
      <pivotArea dataOnly="0" labelOnly="1" fieldPosition="0">
        <references count="1">
          <reference field="36" count="0"/>
        </references>
      </pivotArea>
    </format>
    <format dxfId="2101">
      <pivotArea dataOnly="0" labelOnly="1" grandCol="1" outline="0" fieldPosition="0"/>
    </format>
    <format dxfId="2100">
      <pivotArea type="all" dataOnly="0" outline="0" fieldPosition="0"/>
    </format>
    <format dxfId="2099">
      <pivotArea outline="0" collapsedLevelsAreSubtotals="1" fieldPosition="0"/>
    </format>
    <format dxfId="2098">
      <pivotArea field="36" type="button" dataOnly="0" labelOnly="1" outline="0" axis="axisCol" fieldPosition="0"/>
    </format>
    <format dxfId="2097">
      <pivotArea type="topRight" dataOnly="0" labelOnly="1" outline="0" fieldPosition="0"/>
    </format>
    <format dxfId="2096">
      <pivotArea dataOnly="0" labelOnly="1" fieldPosition="0">
        <references count="1">
          <reference field="25" count="41">
            <x v="1"/>
            <x v="2"/>
            <x v="4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7"/>
            <x v="39"/>
            <x v="41"/>
            <x v="42"/>
            <x v="44"/>
            <x v="45"/>
            <x v="46"/>
            <x v="48"/>
            <x v="49"/>
            <x v="50"/>
            <x v="53"/>
            <x v="54"/>
            <x v="56"/>
            <x v="58"/>
            <x v="64"/>
          </reference>
        </references>
      </pivotArea>
    </format>
    <format dxfId="2095">
      <pivotArea dataOnly="0" labelOnly="1" fieldPosition="0">
        <references count="1">
          <reference field="25" count="14">
            <x v="0"/>
            <x v="3"/>
            <x v="5"/>
            <x v="6"/>
            <x v="21"/>
            <x v="27"/>
            <x v="29"/>
            <x v="35"/>
            <x v="43"/>
            <x v="52"/>
            <x v="55"/>
            <x v="57"/>
            <x v="61"/>
            <x v="62"/>
          </reference>
        </references>
      </pivotArea>
    </format>
    <format dxfId="2094">
      <pivotArea dataOnly="0" labelOnly="1" fieldPosition="0">
        <references count="1">
          <reference field="36" count="0"/>
        </references>
      </pivotArea>
    </format>
    <format dxfId="2093">
      <pivotArea dataOnly="0" labelOnly="1" grandCol="1" outline="0" fieldPosition="0"/>
    </format>
    <format dxfId="2092">
      <pivotArea dataOnly="0" labelOnly="1" fieldPosition="0">
        <references count="1">
          <reference field="25" count="47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6"/>
            <x v="37"/>
            <x v="38"/>
            <x v="41"/>
            <x v="42"/>
            <x v="43"/>
            <x v="44"/>
            <x v="46"/>
            <x v="47"/>
            <x v="48"/>
            <x v="49"/>
            <x v="50"/>
            <x v="52"/>
            <x v="53"/>
            <x v="54"/>
            <x v="56"/>
            <x v="58"/>
            <x v="64"/>
            <x v="65"/>
          </reference>
        </references>
      </pivotArea>
    </format>
    <format dxfId="2091">
      <pivotArea dataOnly="0" labelOnly="1" fieldPosition="0">
        <references count="1">
          <reference field="25" count="6">
            <x v="4"/>
            <x v="11"/>
            <x v="26"/>
            <x v="39"/>
            <x v="55"/>
            <x v="57"/>
          </reference>
        </references>
      </pivotArea>
    </format>
    <format dxfId="2090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6"/>
            <x v="47"/>
            <x v="48"/>
            <x v="49"/>
            <x v="53"/>
            <x v="54"/>
            <x v="56"/>
            <x v="58"/>
            <x v="60"/>
            <x v="64"/>
            <x v="65"/>
          </reference>
        </references>
      </pivotArea>
    </format>
    <format dxfId="2089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6"/>
            <x v="38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6"/>
            <x v="58"/>
            <x v="60"/>
            <x v="64"/>
          </reference>
        </references>
      </pivotArea>
    </format>
    <format dxfId="2088">
      <pivotArea dataOnly="0" labelOnly="1" fieldPosition="0">
        <references count="1">
          <reference field="25" count="45">
            <x v="0"/>
            <x v="1"/>
            <x v="2"/>
            <x v="3"/>
            <x v="4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8"/>
            <x v="30"/>
            <x v="31"/>
            <x v="32"/>
            <x v="33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2"/>
            <x v="53"/>
            <x v="54"/>
            <x v="55"/>
            <x v="56"/>
            <x v="58"/>
            <x v="64"/>
          </reference>
        </references>
      </pivotArea>
    </format>
    <format dxfId="2087">
      <pivotArea dataOnly="0" labelOnly="1" fieldPosition="0">
        <references count="1">
          <reference field="25" count="45">
            <x v="0"/>
            <x v="1"/>
            <x v="2"/>
            <x v="3"/>
            <x v="4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8"/>
            <x v="30"/>
            <x v="31"/>
            <x v="32"/>
            <x v="33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2"/>
            <x v="53"/>
            <x v="54"/>
            <x v="55"/>
            <x v="56"/>
            <x v="58"/>
            <x v="64"/>
          </reference>
        </references>
      </pivotArea>
    </format>
    <format dxfId="2086">
      <pivotArea dataOnly="0" labelOnly="1" fieldPosition="0">
        <references count="1">
          <reference field="25" count="45">
            <x v="0"/>
            <x v="1"/>
            <x v="2"/>
            <x v="3"/>
            <x v="6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5"/>
            <x v="56"/>
            <x v="58"/>
            <x v="60"/>
            <x v="64"/>
            <x v="66"/>
          </reference>
        </references>
      </pivotArea>
    </format>
    <format dxfId="2085">
      <pivotArea dataOnly="0" labelOnly="1" fieldPosition="0">
        <references count="1">
          <reference field="25" count="6">
            <x v="4"/>
            <x v="7"/>
            <x v="13"/>
            <x v="27"/>
            <x v="39"/>
            <x v="52"/>
          </reference>
        </references>
      </pivotArea>
    </format>
    <format dxfId="2084">
      <pivotArea dataOnly="0" labelOnly="1" fieldPosition="0">
        <references count="1">
          <reference field="25" count="45">
            <x v="0"/>
            <x v="1"/>
            <x v="2"/>
            <x v="3"/>
            <x v="6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5"/>
            <x v="56"/>
            <x v="58"/>
            <x v="60"/>
            <x v="64"/>
            <x v="66"/>
          </reference>
        </references>
      </pivotArea>
    </format>
    <format dxfId="2083">
      <pivotArea dataOnly="0" labelOnly="1" fieldPosition="0">
        <references count="1">
          <reference field="25" count="6">
            <x v="4"/>
            <x v="7"/>
            <x v="13"/>
            <x v="27"/>
            <x v="39"/>
            <x v="52"/>
          </reference>
        </references>
      </pivotArea>
    </format>
    <format dxfId="2082">
      <pivotArea dataOnly="0" labelOnly="1" fieldPosition="0">
        <references count="1">
          <reference field="25" count="43">
            <x v="1"/>
            <x v="2"/>
            <x v="3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5"/>
            <x v="56"/>
            <x v="58"/>
            <x v="61"/>
          </reference>
        </references>
      </pivotArea>
    </format>
    <format dxfId="2081">
      <pivotArea dataOnly="0" labelOnly="1" fieldPosition="0">
        <references count="1">
          <reference field="25" count="8">
            <x v="0"/>
            <x v="6"/>
            <x v="27"/>
            <x v="35"/>
            <x v="37"/>
            <x v="60"/>
            <x v="64"/>
            <x v="66"/>
          </reference>
        </references>
      </pivotArea>
    </format>
    <format dxfId="2080">
      <pivotArea dataOnly="0" labelOnly="1" fieldPosition="0">
        <references count="1">
          <reference field="25" count="43">
            <x v="1"/>
            <x v="2"/>
            <x v="3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5"/>
            <x v="56"/>
            <x v="58"/>
            <x v="61"/>
          </reference>
        </references>
      </pivotArea>
    </format>
    <format dxfId="2079">
      <pivotArea dataOnly="0" labelOnly="1" fieldPosition="0">
        <references count="1">
          <reference field="25" count="8">
            <x v="0"/>
            <x v="6"/>
            <x v="27"/>
            <x v="35"/>
            <x v="37"/>
            <x v="60"/>
            <x v="64"/>
            <x v="66"/>
          </reference>
        </references>
      </pivotArea>
    </format>
    <format dxfId="2078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6"/>
            <x v="58"/>
            <x v="61"/>
            <x v="64"/>
          </reference>
        </references>
      </pivotArea>
    </format>
    <format dxfId="2077">
      <pivotArea dataOnly="0" labelOnly="1" fieldPosition="0">
        <references count="1">
          <reference field="25" count="8">
            <x v="4"/>
            <x v="11"/>
            <x v="25"/>
            <x v="27"/>
            <x v="35"/>
            <x v="37"/>
            <x v="50"/>
            <x v="60"/>
          </reference>
        </references>
      </pivotArea>
    </format>
    <format dxfId="2076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6"/>
            <x v="58"/>
            <x v="61"/>
            <x v="64"/>
          </reference>
        </references>
      </pivotArea>
    </format>
    <format dxfId="2075">
      <pivotArea dataOnly="0" labelOnly="1" fieldPosition="0">
        <references count="1">
          <reference field="25" count="8">
            <x v="4"/>
            <x v="11"/>
            <x v="25"/>
            <x v="27"/>
            <x v="35"/>
            <x v="37"/>
            <x v="50"/>
            <x v="60"/>
          </reference>
        </references>
      </pivotArea>
    </format>
    <format dxfId="2074">
      <pivotArea dataOnly="0" labelOnly="1" fieldPosition="0">
        <references count="1">
          <reference field="25" count="44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41"/>
            <x v="42"/>
            <x v="44"/>
            <x v="45"/>
            <x v="47"/>
            <x v="48"/>
            <x v="53"/>
            <x v="54"/>
            <x v="55"/>
            <x v="56"/>
            <x v="57"/>
            <x v="62"/>
            <x v="64"/>
            <x v="65"/>
            <x v="67"/>
          </reference>
        </references>
      </pivotArea>
    </format>
    <format dxfId="2073">
      <pivotArea dataOnly="0" labelOnly="1" fieldPosition="0">
        <references count="1">
          <reference field="25" count="5">
            <x v="4"/>
            <x v="37"/>
            <x v="38"/>
            <x v="49"/>
            <x v="58"/>
          </reference>
        </references>
      </pivotArea>
    </format>
    <format dxfId="2072">
      <pivotArea dataOnly="0" labelOnly="1" fieldPosition="0">
        <references count="1">
          <reference field="25" count="44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41"/>
            <x v="42"/>
            <x v="44"/>
            <x v="45"/>
            <x v="47"/>
            <x v="48"/>
            <x v="53"/>
            <x v="54"/>
            <x v="55"/>
            <x v="56"/>
            <x v="57"/>
            <x v="62"/>
            <x v="64"/>
            <x v="65"/>
            <x v="67"/>
          </reference>
        </references>
      </pivotArea>
    </format>
    <format dxfId="2071">
      <pivotArea dataOnly="0" labelOnly="1" fieldPosition="0">
        <references count="1">
          <reference field="25" count="5">
            <x v="4"/>
            <x v="37"/>
            <x v="38"/>
            <x v="49"/>
            <x v="58"/>
          </reference>
        </references>
      </pivotArea>
    </format>
    <format dxfId="2070">
      <pivotArea dataOnly="0" labelOnly="1" fieldPosition="0">
        <references count="1">
          <reference field="25" count="45">
            <x v="0"/>
            <x v="1"/>
            <x v="2"/>
            <x v="3"/>
            <x v="4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6"/>
            <x v="47"/>
            <x v="49"/>
            <x v="51"/>
            <x v="52"/>
            <x v="53"/>
            <x v="54"/>
            <x v="56"/>
            <x v="58"/>
            <x v="64"/>
          </reference>
        </references>
      </pivotArea>
    </format>
    <format dxfId="2069">
      <pivotArea dataOnly="0" labelOnly="1" fieldPosition="0">
        <references count="1">
          <reference field="25" count="45">
            <x v="0"/>
            <x v="1"/>
            <x v="2"/>
            <x v="3"/>
            <x v="4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6"/>
            <x v="47"/>
            <x v="49"/>
            <x v="51"/>
            <x v="52"/>
            <x v="53"/>
            <x v="54"/>
            <x v="56"/>
            <x v="58"/>
            <x v="64"/>
          </reference>
        </references>
      </pivotArea>
    </format>
    <format dxfId="2068">
      <pivotArea dataOnly="0" labelOnly="1" fieldPosition="0">
        <references count="1">
          <reference field="25" count="39">
            <x v="0"/>
            <x v="1"/>
            <x v="2"/>
            <x v="3"/>
            <x v="4"/>
            <x v="5"/>
            <x v="6"/>
            <x v="7"/>
            <x v="8"/>
            <x v="10"/>
            <x v="12"/>
            <x v="14"/>
            <x v="15"/>
            <x v="17"/>
            <x v="18"/>
            <x v="19"/>
            <x v="21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0"/>
            <x v="41"/>
            <x v="42"/>
            <x v="44"/>
            <x v="45"/>
            <x v="47"/>
            <x v="48"/>
            <x v="49"/>
            <x v="53"/>
            <x v="56"/>
            <x v="58"/>
          </reference>
        </references>
      </pivotArea>
    </format>
    <format dxfId="2067">
      <pivotArea dataOnly="0" labelOnly="1" fieldPosition="0">
        <references count="1">
          <reference field="25" count="39">
            <x v="0"/>
            <x v="1"/>
            <x v="2"/>
            <x v="3"/>
            <x v="4"/>
            <x v="5"/>
            <x v="6"/>
            <x v="7"/>
            <x v="8"/>
            <x v="10"/>
            <x v="12"/>
            <x v="14"/>
            <x v="15"/>
            <x v="17"/>
            <x v="18"/>
            <x v="19"/>
            <x v="21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0"/>
            <x v="41"/>
            <x v="42"/>
            <x v="44"/>
            <x v="45"/>
            <x v="47"/>
            <x v="48"/>
            <x v="49"/>
            <x v="53"/>
            <x v="56"/>
            <x v="58"/>
          </reference>
        </references>
      </pivotArea>
    </format>
    <format dxfId="2066">
      <pivotArea dataOnly="0" labelOnly="1" fieldPosition="0">
        <references count="1">
          <reference field="25" count="45">
            <x v="0"/>
            <x v="1"/>
            <x v="2"/>
            <x v="3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2"/>
            <x v="33"/>
            <x v="35"/>
            <x v="36"/>
            <x v="38"/>
            <x v="40"/>
            <x v="41"/>
            <x v="42"/>
            <x v="43"/>
            <x v="45"/>
            <x v="46"/>
            <x v="47"/>
            <x v="49"/>
            <x v="51"/>
            <x v="53"/>
            <x v="54"/>
            <x v="56"/>
            <x v="65"/>
            <x v="68"/>
          </reference>
        </references>
      </pivotArea>
    </format>
    <format dxfId="2065">
      <pivotArea dataOnly="0" labelOnly="1" fieldPosition="0">
        <references count="1">
          <reference field="25" count="8">
            <x v="4"/>
            <x v="5"/>
            <x v="31"/>
            <x v="48"/>
            <x v="57"/>
            <x v="59"/>
            <x v="60"/>
            <x v="64"/>
          </reference>
        </references>
      </pivotArea>
    </format>
    <format dxfId="2064">
      <pivotArea dataOnly="0" labelOnly="1" fieldPosition="0">
        <references count="1">
          <reference field="25" count="45">
            <x v="0"/>
            <x v="1"/>
            <x v="2"/>
            <x v="3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2"/>
            <x v="33"/>
            <x v="35"/>
            <x v="36"/>
            <x v="38"/>
            <x v="40"/>
            <x v="41"/>
            <x v="42"/>
            <x v="43"/>
            <x v="45"/>
            <x v="46"/>
            <x v="47"/>
            <x v="49"/>
            <x v="51"/>
            <x v="53"/>
            <x v="54"/>
            <x v="56"/>
            <x v="65"/>
            <x v="68"/>
          </reference>
        </references>
      </pivotArea>
    </format>
    <format dxfId="2063">
      <pivotArea dataOnly="0" labelOnly="1" fieldPosition="0">
        <references count="1">
          <reference field="25" count="8">
            <x v="4"/>
            <x v="5"/>
            <x v="31"/>
            <x v="48"/>
            <x v="57"/>
            <x v="59"/>
            <x v="60"/>
            <x v="64"/>
          </reference>
        </references>
      </pivotArea>
    </format>
    <format dxfId="2062">
      <pivotArea dataOnly="0" labelOnly="1" fieldPosition="0">
        <references count="1">
          <reference field="25" count="41">
            <x v="0"/>
            <x v="2"/>
            <x v="3"/>
            <x v="5"/>
            <x v="6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8"/>
            <x v="39"/>
            <x v="41"/>
            <x v="42"/>
            <x v="43"/>
            <x v="45"/>
            <x v="48"/>
            <x v="50"/>
            <x v="51"/>
            <x v="53"/>
            <x v="56"/>
            <x v="68"/>
          </reference>
        </references>
      </pivotArea>
    </format>
    <format dxfId="2061">
      <pivotArea dataOnly="0" labelOnly="1" fieldPosition="0">
        <references count="1">
          <reference field="25" count="41">
            <x v="0"/>
            <x v="2"/>
            <x v="3"/>
            <x v="5"/>
            <x v="6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8"/>
            <x v="39"/>
            <x v="41"/>
            <x v="42"/>
            <x v="43"/>
            <x v="45"/>
            <x v="48"/>
            <x v="50"/>
            <x v="51"/>
            <x v="53"/>
            <x v="56"/>
            <x v="68"/>
          </reference>
        </references>
      </pivotArea>
    </format>
    <format dxfId="2060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6"/>
            <x v="40"/>
            <x v="41"/>
            <x v="42"/>
            <x v="43"/>
            <x v="45"/>
            <x v="47"/>
            <x v="49"/>
            <x v="50"/>
            <x v="51"/>
            <x v="53"/>
            <x v="54"/>
            <x v="56"/>
            <x v="59"/>
            <x v="60"/>
            <x v="64"/>
            <x v="68"/>
          </reference>
        </references>
      </pivotArea>
    </format>
    <format dxfId="2059">
      <pivotArea dataOnly="0" labelOnly="1" fieldPosition="0">
        <references count="1">
          <reference field="25" count="13">
            <x v="4"/>
            <x v="11"/>
            <x v="22"/>
            <x v="34"/>
            <x v="35"/>
            <x v="37"/>
            <x v="39"/>
            <x v="44"/>
            <x v="48"/>
            <x v="57"/>
            <x v="58"/>
            <x v="61"/>
            <x v="63"/>
          </reference>
        </references>
      </pivotArea>
    </format>
    <format dxfId="2058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6"/>
            <x v="40"/>
            <x v="41"/>
            <x v="42"/>
            <x v="43"/>
            <x v="45"/>
            <x v="47"/>
            <x v="49"/>
            <x v="50"/>
            <x v="51"/>
            <x v="53"/>
            <x v="54"/>
            <x v="56"/>
            <x v="59"/>
            <x v="60"/>
            <x v="64"/>
            <x v="68"/>
          </reference>
        </references>
      </pivotArea>
    </format>
    <format dxfId="2057">
      <pivotArea dataOnly="0" labelOnly="1" fieldPosition="0">
        <references count="1">
          <reference field="25" count="13">
            <x v="4"/>
            <x v="11"/>
            <x v="22"/>
            <x v="34"/>
            <x v="35"/>
            <x v="37"/>
            <x v="39"/>
            <x v="44"/>
            <x v="48"/>
            <x v="57"/>
            <x v="58"/>
            <x v="61"/>
            <x v="63"/>
          </reference>
        </references>
      </pivotArea>
    </format>
    <format dxfId="2056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9"/>
            <x v="51"/>
            <x v="52"/>
            <x v="53"/>
            <x v="54"/>
            <x v="56"/>
            <x v="58"/>
            <x v="59"/>
            <x v="60"/>
            <x v="64"/>
            <x v="68"/>
          </reference>
        </references>
      </pivotArea>
    </format>
    <format dxfId="2055">
      <pivotArea dataOnly="0" labelOnly="1" fieldPosition="0">
        <references count="1">
          <reference field="25" count="15">
            <x v="5"/>
            <x v="9"/>
            <x v="22"/>
            <x v="25"/>
            <x v="26"/>
            <x v="27"/>
            <x v="29"/>
            <x v="38"/>
            <x v="44"/>
            <x v="47"/>
            <x v="48"/>
            <x v="50"/>
            <x v="55"/>
            <x v="57"/>
            <x v="62"/>
          </reference>
        </references>
      </pivotArea>
    </format>
    <format dxfId="2054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9"/>
            <x v="51"/>
            <x v="52"/>
            <x v="53"/>
            <x v="54"/>
            <x v="56"/>
            <x v="58"/>
            <x v="59"/>
            <x v="60"/>
            <x v="64"/>
            <x v="68"/>
          </reference>
        </references>
      </pivotArea>
    </format>
    <format dxfId="2053">
      <pivotArea dataOnly="0" labelOnly="1" fieldPosition="0">
        <references count="1">
          <reference field="25" count="15">
            <x v="5"/>
            <x v="9"/>
            <x v="22"/>
            <x v="25"/>
            <x v="26"/>
            <x v="27"/>
            <x v="29"/>
            <x v="38"/>
            <x v="44"/>
            <x v="47"/>
            <x v="48"/>
            <x v="50"/>
            <x v="55"/>
            <x v="57"/>
            <x v="62"/>
          </reference>
        </references>
      </pivotArea>
    </format>
    <format dxfId="2052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1"/>
            <x v="12"/>
            <x v="14"/>
            <x v="15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2"/>
            <x v="33"/>
            <x v="35"/>
            <x v="36"/>
            <x v="37"/>
            <x v="38"/>
            <x v="41"/>
            <x v="42"/>
            <x v="43"/>
            <x v="44"/>
            <x v="47"/>
            <x v="49"/>
            <x v="50"/>
            <x v="51"/>
            <x v="53"/>
            <x v="56"/>
            <x v="58"/>
            <x v="59"/>
            <x v="60"/>
            <x v="64"/>
            <x v="68"/>
          </reference>
        </references>
      </pivotArea>
    </format>
    <format dxfId="2051">
      <pivotArea dataOnly="0" labelOnly="1" fieldPosition="0">
        <references count="1">
          <reference field="25" count="9">
            <x v="9"/>
            <x v="26"/>
            <x v="29"/>
            <x v="45"/>
            <x v="46"/>
            <x v="48"/>
            <x v="52"/>
            <x v="57"/>
            <x v="62"/>
          </reference>
        </references>
      </pivotArea>
    </format>
    <format dxfId="2050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1"/>
            <x v="12"/>
            <x v="14"/>
            <x v="15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2"/>
            <x v="33"/>
            <x v="35"/>
            <x v="36"/>
            <x v="37"/>
            <x v="38"/>
            <x v="41"/>
            <x v="42"/>
            <x v="43"/>
            <x v="44"/>
            <x v="47"/>
            <x v="49"/>
            <x v="50"/>
            <x v="51"/>
            <x v="53"/>
            <x v="56"/>
            <x v="58"/>
            <x v="59"/>
            <x v="60"/>
            <x v="64"/>
            <x v="68"/>
          </reference>
        </references>
      </pivotArea>
    </format>
    <format dxfId="2049">
      <pivotArea dataOnly="0" labelOnly="1" fieldPosition="0">
        <references count="1">
          <reference field="25" count="9">
            <x v="9"/>
            <x v="26"/>
            <x v="29"/>
            <x v="45"/>
            <x v="46"/>
            <x v="48"/>
            <x v="52"/>
            <x v="57"/>
            <x v="62"/>
          </reference>
        </references>
      </pivotArea>
    </format>
    <format dxfId="2048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8"/>
            <x v="40"/>
            <x v="41"/>
            <x v="42"/>
            <x v="43"/>
            <x v="48"/>
            <x v="51"/>
            <x v="52"/>
            <x v="53"/>
            <x v="54"/>
            <x v="56"/>
            <x v="57"/>
            <x v="64"/>
            <x v="65"/>
            <x v="68"/>
          </reference>
        </references>
      </pivotArea>
    </format>
    <format dxfId="2047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8"/>
            <x v="40"/>
            <x v="41"/>
            <x v="42"/>
            <x v="43"/>
            <x v="48"/>
            <x v="51"/>
            <x v="52"/>
            <x v="53"/>
            <x v="54"/>
            <x v="56"/>
            <x v="57"/>
            <x v="64"/>
            <x v="65"/>
            <x v="68"/>
          </reference>
        </references>
      </pivotArea>
    </format>
    <format dxfId="2046">
      <pivotArea dataOnly="0" labelOnly="1" fieldPosition="0">
        <references count="1">
          <reference field="25" count="46">
            <x v="0"/>
            <x v="2"/>
            <x v="3"/>
            <x v="6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7"/>
            <x v="39"/>
            <x v="41"/>
            <x v="42"/>
            <x v="43"/>
            <x v="44"/>
            <x v="46"/>
            <x v="47"/>
            <x v="48"/>
            <x v="49"/>
            <x v="51"/>
            <x v="52"/>
            <x v="53"/>
            <x v="54"/>
            <x v="55"/>
            <x v="56"/>
            <x v="65"/>
            <x v="68"/>
            <x v="69"/>
          </reference>
        </references>
      </pivotArea>
    </format>
    <format dxfId="2045">
      <pivotArea dataOnly="0" labelOnly="1" fieldPosition="0">
        <references count="1">
          <reference field="25" count="12">
            <x v="1"/>
            <x v="5"/>
            <x v="13"/>
            <x v="26"/>
            <x v="27"/>
            <x v="34"/>
            <x v="40"/>
            <x v="45"/>
            <x v="58"/>
            <x v="60"/>
            <x v="64"/>
            <x v="70"/>
          </reference>
        </references>
      </pivotArea>
    </format>
    <format dxfId="2044">
      <pivotArea dataOnly="0" labelOnly="1" fieldPosition="0">
        <references count="1">
          <reference field="25" count="46">
            <x v="0"/>
            <x v="2"/>
            <x v="3"/>
            <x v="6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7"/>
            <x v="39"/>
            <x v="41"/>
            <x v="42"/>
            <x v="43"/>
            <x v="44"/>
            <x v="46"/>
            <x v="47"/>
            <x v="48"/>
            <x v="49"/>
            <x v="51"/>
            <x v="52"/>
            <x v="53"/>
            <x v="54"/>
            <x v="55"/>
            <x v="56"/>
            <x v="65"/>
            <x v="68"/>
            <x v="69"/>
          </reference>
        </references>
      </pivotArea>
    </format>
    <format dxfId="2043">
      <pivotArea dataOnly="0" labelOnly="1" fieldPosition="0">
        <references count="1">
          <reference field="25" count="12">
            <x v="1"/>
            <x v="5"/>
            <x v="13"/>
            <x v="26"/>
            <x v="27"/>
            <x v="34"/>
            <x v="40"/>
            <x v="45"/>
            <x v="58"/>
            <x v="60"/>
            <x v="64"/>
            <x v="70"/>
          </reference>
        </references>
      </pivotArea>
    </format>
    <format dxfId="2042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40"/>
            <x v="41"/>
            <x v="42"/>
            <x v="43"/>
            <x v="44"/>
            <x v="45"/>
            <x v="50"/>
            <x v="51"/>
            <x v="53"/>
            <x v="54"/>
            <x v="55"/>
            <x v="56"/>
            <x v="58"/>
            <x v="60"/>
            <x v="64"/>
            <x v="65"/>
            <x v="67"/>
            <x v="68"/>
            <x v="69"/>
            <x v="70"/>
          </reference>
        </references>
      </pivotArea>
    </format>
    <format dxfId="2041">
      <pivotArea dataOnly="0" labelOnly="1" fieldPosition="0">
        <references count="1">
          <reference field="25" count="12">
            <x v="4"/>
            <x v="11"/>
            <x v="23"/>
            <x v="29"/>
            <x v="35"/>
            <x v="39"/>
            <x v="46"/>
            <x v="48"/>
            <x v="49"/>
            <x v="52"/>
            <x v="62"/>
            <x v="66"/>
          </reference>
        </references>
      </pivotArea>
    </format>
    <format dxfId="2040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40"/>
            <x v="41"/>
            <x v="42"/>
            <x v="43"/>
            <x v="44"/>
            <x v="45"/>
            <x v="50"/>
            <x v="51"/>
            <x v="53"/>
            <x v="54"/>
            <x v="55"/>
            <x v="56"/>
            <x v="58"/>
            <x v="60"/>
            <x v="64"/>
            <x v="65"/>
            <x v="67"/>
            <x v="68"/>
            <x v="69"/>
            <x v="70"/>
          </reference>
        </references>
      </pivotArea>
    </format>
    <format dxfId="2039">
      <pivotArea dataOnly="0" labelOnly="1" fieldPosition="0">
        <references count="1">
          <reference field="25" count="12">
            <x v="4"/>
            <x v="11"/>
            <x v="23"/>
            <x v="29"/>
            <x v="35"/>
            <x v="39"/>
            <x v="46"/>
            <x v="48"/>
            <x v="49"/>
            <x v="52"/>
            <x v="62"/>
            <x v="66"/>
          </reference>
        </references>
      </pivotArea>
    </format>
    <format dxfId="2038">
      <pivotArea type="origin" dataOnly="0" labelOnly="1" outline="0" fieldPosition="0"/>
    </format>
    <format dxfId="2037">
      <pivotArea field="25" type="button" dataOnly="0" labelOnly="1" outline="0" axis="axisRow" fieldPosition="0"/>
    </format>
    <format dxfId="2036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39"/>
            <x v="41"/>
            <x v="42"/>
            <x v="43"/>
            <x v="45"/>
            <x v="46"/>
            <x v="49"/>
            <x v="50"/>
            <x v="53"/>
            <x v="54"/>
            <x v="55"/>
            <x v="56"/>
            <x v="59"/>
            <x v="63"/>
            <x v="64"/>
            <x v="65"/>
            <x v="67"/>
            <x v="68"/>
            <x v="69"/>
            <x v="70"/>
            <x v="73"/>
          </reference>
        </references>
      </pivotArea>
    </format>
    <format dxfId="2035">
      <pivotArea dataOnly="0" labelOnly="1" fieldPosition="0">
        <references count="1">
          <reference field="25" count="21">
            <x v="4"/>
            <x v="21"/>
            <x v="23"/>
            <x v="27"/>
            <x v="34"/>
            <x v="35"/>
            <x v="40"/>
            <x v="44"/>
            <x v="47"/>
            <x v="51"/>
            <x v="52"/>
            <x v="57"/>
            <x v="58"/>
            <x v="60"/>
            <x v="61"/>
            <x v="62"/>
            <x v="66"/>
            <x v="71"/>
            <x v="72"/>
            <x v="74"/>
            <x v="75"/>
          </reference>
        </references>
      </pivotArea>
    </format>
    <format dxfId="2034">
      <pivotArea dataOnly="0" labelOnly="1" grandRow="1" outline="0" fieldPosition="0"/>
    </format>
    <format dxfId="2033">
      <pivotArea type="origin" dataOnly="0" labelOnly="1" outline="0" fieldPosition="0"/>
    </format>
    <format dxfId="2032">
      <pivotArea field="25" type="button" dataOnly="0" labelOnly="1" outline="0" axis="axisRow" fieldPosition="0"/>
    </format>
    <format dxfId="2031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39"/>
            <x v="41"/>
            <x v="42"/>
            <x v="43"/>
            <x v="45"/>
            <x v="46"/>
            <x v="49"/>
            <x v="50"/>
            <x v="53"/>
            <x v="54"/>
            <x v="55"/>
            <x v="56"/>
            <x v="59"/>
            <x v="63"/>
            <x v="64"/>
            <x v="65"/>
            <x v="67"/>
            <x v="68"/>
            <x v="69"/>
            <x v="70"/>
            <x v="73"/>
          </reference>
        </references>
      </pivotArea>
    </format>
    <format dxfId="2030">
      <pivotArea dataOnly="0" labelOnly="1" fieldPosition="0">
        <references count="1">
          <reference field="25" count="21">
            <x v="4"/>
            <x v="21"/>
            <x v="23"/>
            <x v="27"/>
            <x v="34"/>
            <x v="35"/>
            <x v="40"/>
            <x v="44"/>
            <x v="47"/>
            <x v="51"/>
            <x v="52"/>
            <x v="57"/>
            <x v="58"/>
            <x v="60"/>
            <x v="61"/>
            <x v="62"/>
            <x v="66"/>
            <x v="71"/>
            <x v="72"/>
            <x v="74"/>
            <x v="75"/>
          </reference>
        </references>
      </pivotArea>
    </format>
    <format dxfId="2029">
      <pivotArea dataOnly="0" labelOnly="1" grandRow="1" outline="0" fieldPosition="0"/>
    </format>
    <format dxfId="2028">
      <pivotArea type="all" dataOnly="0" outline="0" fieldPosition="0"/>
    </format>
    <format dxfId="2027">
      <pivotArea outline="0" collapsedLevelsAreSubtotals="1" fieldPosition="0"/>
    </format>
    <format dxfId="2026">
      <pivotArea type="origin" dataOnly="0" labelOnly="1" outline="0" fieldPosition="0"/>
    </format>
    <format dxfId="2025">
      <pivotArea field="36" type="button" dataOnly="0" labelOnly="1" outline="0" axis="axisCol" fieldPosition="0"/>
    </format>
    <format dxfId="2024">
      <pivotArea type="topRight" dataOnly="0" labelOnly="1" outline="0" fieldPosition="0"/>
    </format>
    <format dxfId="2023">
      <pivotArea field="25" type="button" dataOnly="0" labelOnly="1" outline="0" axis="axisRow" fieldPosition="0"/>
    </format>
    <format dxfId="2022"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 dxfId="2021"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 dxfId="2020">
      <pivotArea dataOnly="0" labelOnly="1" grandRow="1" outline="0" fieldPosition="0"/>
    </format>
    <format dxfId="2019">
      <pivotArea dataOnly="0" labelOnly="1" fieldPosition="0">
        <references count="1">
          <reference field="36" count="0"/>
        </references>
      </pivotArea>
    </format>
    <format dxfId="2018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 dxfId="2017"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2"/>
            <x v="33"/>
            <x v="36"/>
            <x v="37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59"/>
            <x v="64"/>
            <x v="65"/>
            <x v="68"/>
            <x v="69"/>
            <x v="74"/>
            <x v="75"/>
            <x v="81"/>
          </reference>
        </references>
      </pivotArea>
    </format>
    <format dxfId="2016">
      <pivotArea dataOnly="0" labelOnly="1" fieldPosition="0">
        <references count="1">
          <reference field="25" count="16">
            <x v="5"/>
            <x v="21"/>
            <x v="29"/>
            <x v="34"/>
            <x v="35"/>
            <x v="39"/>
            <x v="44"/>
            <x v="52"/>
            <x v="57"/>
            <x v="58"/>
            <x v="60"/>
            <x v="61"/>
            <x v="70"/>
            <x v="77"/>
            <x v="80"/>
            <x v="82"/>
          </reference>
        </references>
      </pivotArea>
    </format>
    <format dxfId="2015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6"/>
            <x v="49"/>
            <x v="52"/>
            <x v="53"/>
            <x v="54"/>
            <x v="55"/>
            <x v="56"/>
            <x v="58"/>
            <x v="60"/>
            <x v="64"/>
            <x v="65"/>
            <x v="68"/>
            <x v="69"/>
            <x v="70"/>
            <x v="75"/>
            <x v="81"/>
            <x v="84"/>
          </reference>
        </references>
      </pivotArea>
    </format>
    <format dxfId="2014">
      <pivotArea dataOnly="0" labelOnly="1" fieldPosition="0">
        <references count="1">
          <reference field="25" count="16">
            <x v="4"/>
            <x v="5"/>
            <x v="21"/>
            <x v="29"/>
            <x v="34"/>
            <x v="38"/>
            <x v="39"/>
            <x v="44"/>
            <x v="47"/>
            <x v="50"/>
            <x v="57"/>
            <x v="59"/>
            <x v="77"/>
            <x v="80"/>
            <x v="82"/>
            <x v="83"/>
          </reference>
        </references>
      </pivotArea>
    </format>
    <format dxfId="2013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5"/>
            <x v="36"/>
            <x v="37"/>
            <x v="41"/>
            <x v="42"/>
            <x v="45"/>
            <x v="46"/>
            <x v="51"/>
            <x v="52"/>
            <x v="53"/>
            <x v="54"/>
            <x v="55"/>
            <x v="56"/>
            <x v="57"/>
            <x v="58"/>
            <x v="60"/>
            <x v="64"/>
            <x v="65"/>
            <x v="68"/>
            <x v="69"/>
            <x v="70"/>
            <x v="73"/>
            <x v="75"/>
            <x v="80"/>
            <x v="81"/>
          </reference>
        </references>
      </pivotArea>
    </format>
    <format dxfId="2012">
      <pivotArea dataOnly="0" labelOnly="1" fieldPosition="0">
        <references count="1">
          <reference field="25" count="17">
            <x v="4"/>
            <x v="5"/>
            <x v="21"/>
            <x v="29"/>
            <x v="32"/>
            <x v="33"/>
            <x v="34"/>
            <x v="43"/>
            <x v="44"/>
            <x v="49"/>
            <x v="50"/>
            <x v="59"/>
            <x v="77"/>
            <x v="79"/>
            <x v="82"/>
            <x v="83"/>
            <x v="84"/>
          </reference>
        </references>
      </pivotArea>
    </format>
    <format dxfId="2011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5"/>
            <x v="36"/>
            <x v="37"/>
            <x v="41"/>
            <x v="42"/>
            <x v="45"/>
            <x v="46"/>
            <x v="51"/>
            <x v="52"/>
            <x v="53"/>
            <x v="54"/>
            <x v="55"/>
            <x v="56"/>
            <x v="57"/>
            <x v="58"/>
            <x v="60"/>
            <x v="64"/>
            <x v="65"/>
            <x v="68"/>
            <x v="69"/>
            <x v="70"/>
            <x v="73"/>
            <x v="75"/>
            <x v="80"/>
            <x v="81"/>
          </reference>
        </references>
      </pivotArea>
    </format>
    <format dxfId="2010">
      <pivotArea dataOnly="0" labelOnly="1" fieldPosition="0">
        <references count="1">
          <reference field="25" count="17">
            <x v="4"/>
            <x v="5"/>
            <x v="21"/>
            <x v="29"/>
            <x v="32"/>
            <x v="33"/>
            <x v="34"/>
            <x v="43"/>
            <x v="44"/>
            <x v="49"/>
            <x v="50"/>
            <x v="59"/>
            <x v="77"/>
            <x v="79"/>
            <x v="82"/>
            <x v="83"/>
            <x v="84"/>
          </reference>
        </references>
      </pivotArea>
    </format>
    <format dxfId="2009">
      <pivotArea dataOnly="0" labelOnly="1" fieldPosition="0">
        <references count="1">
          <reference field="25" count="50">
            <x v="0"/>
            <x v="1"/>
            <x v="2"/>
            <x v="4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6"/>
            <x v="28"/>
            <x v="29"/>
            <x v="30"/>
            <x v="31"/>
            <x v="32"/>
            <x v="33"/>
            <x v="36"/>
            <x v="37"/>
            <x v="39"/>
            <x v="41"/>
            <x v="43"/>
            <x v="44"/>
            <x v="45"/>
            <x v="46"/>
            <x v="52"/>
            <x v="53"/>
            <x v="54"/>
            <x v="55"/>
            <x v="56"/>
            <x v="57"/>
            <x v="58"/>
            <x v="59"/>
            <x v="64"/>
            <x v="65"/>
            <x v="68"/>
            <x v="69"/>
            <x v="73"/>
            <x v="75"/>
            <x v="83"/>
          </reference>
        </references>
      </pivotArea>
    </format>
    <format dxfId="2008">
      <pivotArea dataOnly="0" labelOnly="1" fieldPosition="0">
        <references count="1">
          <reference field="25" count="15">
            <x v="3"/>
            <x v="11"/>
            <x v="21"/>
            <x v="25"/>
            <x v="35"/>
            <x v="38"/>
            <x v="42"/>
            <x v="51"/>
            <x v="70"/>
            <x v="76"/>
            <x v="77"/>
            <x v="79"/>
            <x v="81"/>
            <x v="82"/>
            <x v="84"/>
          </reference>
        </references>
      </pivotArea>
    </format>
    <format dxfId="2007">
      <pivotArea dataOnly="0" labelOnly="1" fieldPosition="0">
        <references count="1">
          <reference field="25" count="50">
            <x v="0"/>
            <x v="1"/>
            <x v="2"/>
            <x v="4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6"/>
            <x v="28"/>
            <x v="29"/>
            <x v="30"/>
            <x v="31"/>
            <x v="32"/>
            <x v="33"/>
            <x v="36"/>
            <x v="37"/>
            <x v="39"/>
            <x v="41"/>
            <x v="43"/>
            <x v="44"/>
            <x v="45"/>
            <x v="46"/>
            <x v="52"/>
            <x v="53"/>
            <x v="54"/>
            <x v="55"/>
            <x v="56"/>
            <x v="57"/>
            <x v="58"/>
            <x v="59"/>
            <x v="64"/>
            <x v="65"/>
            <x v="68"/>
            <x v="69"/>
            <x v="73"/>
            <x v="75"/>
            <x v="83"/>
          </reference>
        </references>
      </pivotArea>
    </format>
    <format dxfId="2006">
      <pivotArea dataOnly="0" labelOnly="1" fieldPosition="0">
        <references count="1">
          <reference field="25" count="15">
            <x v="3"/>
            <x v="11"/>
            <x v="21"/>
            <x v="25"/>
            <x v="35"/>
            <x v="38"/>
            <x v="42"/>
            <x v="51"/>
            <x v="70"/>
            <x v="76"/>
            <x v="77"/>
            <x v="79"/>
            <x v="81"/>
            <x v="82"/>
            <x v="84"/>
          </reference>
        </references>
      </pivotArea>
    </format>
    <format dxfId="2005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9"/>
            <x v="30"/>
            <x v="31"/>
            <x v="36"/>
            <x v="37"/>
            <x v="39"/>
            <x v="41"/>
            <x v="42"/>
            <x v="44"/>
            <x v="45"/>
            <x v="46"/>
            <x v="49"/>
            <x v="50"/>
            <x v="51"/>
            <x v="52"/>
            <x v="53"/>
            <x v="54"/>
            <x v="55"/>
            <x v="56"/>
            <x v="59"/>
            <x v="63"/>
            <x v="64"/>
            <x v="65"/>
            <x v="68"/>
            <x v="69"/>
            <x v="73"/>
            <x v="78"/>
            <x v="80"/>
          </reference>
        </references>
      </pivotArea>
    </format>
    <format dxfId="2004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9"/>
            <x v="30"/>
            <x v="31"/>
            <x v="36"/>
            <x v="37"/>
            <x v="39"/>
            <x v="41"/>
            <x v="42"/>
            <x v="44"/>
            <x v="45"/>
            <x v="46"/>
            <x v="49"/>
            <x v="50"/>
            <x v="51"/>
            <x v="52"/>
            <x v="53"/>
            <x v="54"/>
            <x v="55"/>
            <x v="56"/>
            <x v="59"/>
            <x v="63"/>
            <x v="64"/>
            <x v="65"/>
            <x v="68"/>
            <x v="69"/>
            <x v="73"/>
            <x v="78"/>
            <x v="80"/>
          </reference>
        </references>
      </pivotArea>
    </format>
    <format dxfId="2003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30"/>
            <x v="31"/>
            <x v="33"/>
            <x v="34"/>
            <x v="35"/>
            <x v="36"/>
            <x v="41"/>
            <x v="42"/>
            <x v="43"/>
            <x v="44"/>
            <x v="45"/>
            <x v="47"/>
            <x v="49"/>
            <x v="50"/>
            <x v="51"/>
            <x v="52"/>
            <x v="53"/>
            <x v="54"/>
            <x v="56"/>
            <x v="58"/>
            <x v="59"/>
            <x v="64"/>
            <x v="65"/>
            <x v="68"/>
            <x v="69"/>
            <x v="70"/>
            <x v="73"/>
            <x v="74"/>
            <x v="75"/>
          </reference>
        </references>
      </pivotArea>
    </format>
    <format dxfId="2002">
      <pivotArea dataOnly="0" labelOnly="1" fieldPosition="0">
        <references count="1">
          <reference field="25" count="17">
            <x v="11"/>
            <x v="14"/>
            <x v="29"/>
            <x v="32"/>
            <x v="37"/>
            <x v="39"/>
            <x v="40"/>
            <x v="55"/>
            <x v="57"/>
            <x v="63"/>
            <x v="66"/>
            <x v="77"/>
            <x v="78"/>
            <x v="79"/>
            <x v="80"/>
            <x v="82"/>
            <x v="90"/>
          </reference>
        </references>
      </pivotArea>
    </format>
    <format dxfId="2001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30"/>
            <x v="31"/>
            <x v="33"/>
            <x v="34"/>
            <x v="35"/>
            <x v="36"/>
            <x v="41"/>
            <x v="42"/>
            <x v="43"/>
            <x v="44"/>
            <x v="45"/>
            <x v="47"/>
            <x v="49"/>
            <x v="50"/>
            <x v="51"/>
            <x v="52"/>
            <x v="53"/>
            <x v="54"/>
            <x v="56"/>
            <x v="58"/>
            <x v="59"/>
            <x v="64"/>
            <x v="65"/>
            <x v="68"/>
            <x v="69"/>
            <x v="70"/>
            <x v="73"/>
            <x v="74"/>
            <x v="75"/>
          </reference>
        </references>
      </pivotArea>
    </format>
    <format dxfId="2000">
      <pivotArea dataOnly="0" labelOnly="1" fieldPosition="0">
        <references count="1">
          <reference field="25" count="17">
            <x v="11"/>
            <x v="14"/>
            <x v="29"/>
            <x v="32"/>
            <x v="37"/>
            <x v="39"/>
            <x v="40"/>
            <x v="55"/>
            <x v="57"/>
            <x v="63"/>
            <x v="66"/>
            <x v="77"/>
            <x v="78"/>
            <x v="79"/>
            <x v="80"/>
            <x v="82"/>
            <x v="90"/>
          </reference>
        </references>
      </pivotArea>
    </format>
    <format dxfId="1999">
      <pivotArea dataOnly="0" labelOnly="1" fieldPosition="0">
        <references count="1">
          <reference field="25" count="49">
            <x v="0"/>
            <x v="1"/>
            <x v="2"/>
            <x v="3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8"/>
            <x v="30"/>
            <x v="31"/>
            <x v="33"/>
            <x v="35"/>
            <x v="36"/>
            <x v="37"/>
            <x v="39"/>
            <x v="41"/>
            <x v="42"/>
            <x v="44"/>
            <x v="45"/>
            <x v="46"/>
            <x v="49"/>
            <x v="51"/>
            <x v="53"/>
            <x v="54"/>
            <x v="56"/>
            <x v="57"/>
            <x v="58"/>
            <x v="60"/>
            <x v="61"/>
            <x v="64"/>
            <x v="65"/>
            <x v="68"/>
            <x v="69"/>
            <x v="70"/>
            <x v="73"/>
            <x v="83"/>
            <x v="88"/>
            <x v="91"/>
            <x v="92"/>
          </reference>
        </references>
      </pivotArea>
    </format>
    <format dxfId="1998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8"/>
            <x v="39"/>
            <x v="41"/>
            <x v="42"/>
            <x v="45"/>
            <x v="49"/>
            <x v="51"/>
            <x v="53"/>
            <x v="54"/>
            <x v="55"/>
            <x v="56"/>
            <x v="60"/>
            <x v="63"/>
            <x v="64"/>
            <x v="65"/>
            <x v="68"/>
            <x v="69"/>
            <x v="70"/>
            <x v="73"/>
            <x v="75"/>
            <x v="82"/>
            <x v="94"/>
            <x v="97"/>
          </reference>
        </references>
      </pivotArea>
    </format>
    <format dxfId="1997">
      <pivotArea dataOnly="0" labelOnly="1" fieldPosition="0">
        <references count="1">
          <reference field="25" count="8">
            <x v="37"/>
            <x v="44"/>
            <x v="46"/>
            <x v="47"/>
            <x v="74"/>
            <x v="80"/>
            <x v="92"/>
            <x v="96"/>
          </reference>
        </references>
      </pivotArea>
    </format>
    <format dxfId="1996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8"/>
            <x v="39"/>
            <x v="41"/>
            <x v="42"/>
            <x v="45"/>
            <x v="49"/>
            <x v="51"/>
            <x v="53"/>
            <x v="54"/>
            <x v="55"/>
            <x v="56"/>
            <x v="60"/>
            <x v="63"/>
            <x v="64"/>
            <x v="65"/>
            <x v="68"/>
            <x v="69"/>
            <x v="70"/>
            <x v="73"/>
            <x v="75"/>
            <x v="82"/>
            <x v="94"/>
            <x v="97"/>
          </reference>
        </references>
      </pivotArea>
    </format>
    <format dxfId="1995">
      <pivotArea dataOnly="0" labelOnly="1" fieldPosition="0">
        <references count="1">
          <reference field="25" count="8">
            <x v="37"/>
            <x v="44"/>
            <x v="46"/>
            <x v="47"/>
            <x v="74"/>
            <x v="80"/>
            <x v="92"/>
            <x v="96"/>
          </reference>
        </references>
      </pivotArea>
    </format>
    <format dxfId="1994">
      <pivotArea dataOnly="0" labelOnly="1" fieldPosition="0">
        <references count="1">
          <reference field="25" count="50">
            <x v="0"/>
            <x v="1"/>
            <x v="2"/>
            <x v="3"/>
            <x v="4"/>
            <x v="5"/>
            <x v="7"/>
            <x v="8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7"/>
            <x v="41"/>
            <x v="42"/>
            <x v="43"/>
            <x v="45"/>
            <x v="46"/>
            <x v="49"/>
            <x v="53"/>
            <x v="54"/>
            <x v="55"/>
            <x v="56"/>
            <x v="65"/>
            <x v="68"/>
            <x v="69"/>
            <x v="70"/>
            <x v="73"/>
            <x v="75"/>
            <x v="82"/>
            <x v="94"/>
            <x v="97"/>
            <x v="99"/>
          </reference>
        </references>
      </pivotArea>
    </format>
    <format dxfId="1993">
      <pivotArea dataOnly="0" labelOnly="1" fieldPosition="0">
        <references count="1">
          <reference field="25" count="12">
            <x v="39"/>
            <x v="44"/>
            <x v="47"/>
            <x v="50"/>
            <x v="63"/>
            <x v="64"/>
            <x v="74"/>
            <x v="76"/>
            <x v="77"/>
            <x v="81"/>
            <x v="96"/>
            <x v="98"/>
          </reference>
        </references>
      </pivotArea>
    </format>
    <format dxfId="1992">
      <pivotArea dataOnly="0" labelOnly="1" fieldPosition="0">
        <references count="1">
          <reference field="25" count="50">
            <x v="0"/>
            <x v="1"/>
            <x v="2"/>
            <x v="3"/>
            <x v="4"/>
            <x v="5"/>
            <x v="7"/>
            <x v="8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7"/>
            <x v="41"/>
            <x v="42"/>
            <x v="43"/>
            <x v="45"/>
            <x v="46"/>
            <x v="49"/>
            <x v="53"/>
            <x v="54"/>
            <x v="55"/>
            <x v="56"/>
            <x v="65"/>
            <x v="68"/>
            <x v="69"/>
            <x v="70"/>
            <x v="73"/>
            <x v="75"/>
            <x v="82"/>
            <x v="94"/>
            <x v="97"/>
            <x v="99"/>
          </reference>
        </references>
      </pivotArea>
    </format>
    <format dxfId="1991">
      <pivotArea dataOnly="0" labelOnly="1" fieldPosition="0">
        <references count="1">
          <reference field="25" count="12">
            <x v="39"/>
            <x v="44"/>
            <x v="47"/>
            <x v="50"/>
            <x v="63"/>
            <x v="64"/>
            <x v="74"/>
            <x v="76"/>
            <x v="77"/>
            <x v="81"/>
            <x v="96"/>
            <x v="98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28"/>
            <x v="30"/>
            <x v="31"/>
            <x v="33"/>
            <x v="35"/>
            <x v="36"/>
            <x v="37"/>
            <x v="39"/>
            <x v="41"/>
            <x v="42"/>
            <x v="43"/>
            <x v="44"/>
            <x v="46"/>
            <x v="49"/>
            <x v="50"/>
            <x v="53"/>
            <x v="54"/>
            <x v="55"/>
            <x v="56"/>
            <x v="65"/>
            <x v="68"/>
            <x v="69"/>
            <x v="70"/>
            <x v="73"/>
            <x v="75"/>
            <x v="81"/>
            <x v="94"/>
            <x v="97"/>
            <x v="99"/>
          </reference>
        </references>
      </pivotArea>
    </format>
    <format>
      <pivotArea dataOnly="0" labelOnly="1" fieldPosition="0">
        <references count="1">
          <reference field="25" count="13">
            <x v="5"/>
            <x v="11"/>
            <x v="29"/>
            <x v="47"/>
            <x v="51"/>
            <x v="58"/>
            <x v="63"/>
            <x v="64"/>
            <x v="74"/>
            <x v="76"/>
            <x v="92"/>
            <x v="96"/>
            <x v="98"/>
          </reference>
        </references>
      </pivotArea>
    </format>
    <format dxfId="1990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50"/>
            <x v="51"/>
            <x v="53"/>
            <x v="54"/>
            <x v="55"/>
            <x v="56"/>
            <x v="59"/>
            <x v="63"/>
            <x v="65"/>
            <x v="68"/>
            <x v="69"/>
            <x v="70"/>
            <x v="73"/>
            <x v="77"/>
            <x v="94"/>
            <x v="97"/>
            <x v="99"/>
          </reference>
        </references>
      </pivotArea>
    </format>
    <format dxfId="1989">
      <pivotArea dataOnly="0" labelOnly="1" fieldPosition="0">
        <references count="1">
          <reference field="25" count="20">
            <x v="5"/>
            <x v="11"/>
            <x v="26"/>
            <x v="27"/>
            <x v="29"/>
            <x v="39"/>
            <x v="40"/>
            <x v="45"/>
            <x v="46"/>
            <x v="47"/>
            <x v="49"/>
            <x v="58"/>
            <x v="60"/>
            <x v="64"/>
            <x v="71"/>
            <x v="74"/>
            <x v="75"/>
            <x v="81"/>
            <x v="96"/>
            <x v="101"/>
          </reference>
        </references>
      </pivotArea>
    </format>
    <format dxfId="1988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50"/>
            <x v="51"/>
            <x v="53"/>
            <x v="54"/>
            <x v="55"/>
            <x v="56"/>
            <x v="59"/>
            <x v="63"/>
            <x v="65"/>
            <x v="68"/>
            <x v="69"/>
            <x v="70"/>
            <x v="73"/>
            <x v="77"/>
            <x v="94"/>
            <x v="97"/>
            <x v="99"/>
          </reference>
        </references>
      </pivotArea>
    </format>
    <format dxfId="1987">
      <pivotArea dataOnly="0" labelOnly="1" fieldPosition="0">
        <references count="1">
          <reference field="25" count="20">
            <x v="5"/>
            <x v="11"/>
            <x v="26"/>
            <x v="27"/>
            <x v="29"/>
            <x v="39"/>
            <x v="40"/>
            <x v="45"/>
            <x v="46"/>
            <x v="47"/>
            <x v="49"/>
            <x v="58"/>
            <x v="60"/>
            <x v="64"/>
            <x v="71"/>
            <x v="74"/>
            <x v="75"/>
            <x v="81"/>
            <x v="96"/>
            <x v="101"/>
          </reference>
        </references>
      </pivotArea>
    </format>
    <format dxfId="1986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45"/>
            <x v="47"/>
            <x v="50"/>
            <x v="51"/>
            <x v="54"/>
            <x v="55"/>
            <x v="56"/>
            <x v="58"/>
            <x v="59"/>
            <x v="65"/>
            <x v="68"/>
            <x v="69"/>
            <x v="70"/>
            <x v="73"/>
            <x v="94"/>
            <x v="97"/>
            <x v="100"/>
          </reference>
        </references>
      </pivotArea>
    </format>
    <format dxfId="1985">
      <pivotArea dataOnly="0" labelOnly="1" fieldPosition="0">
        <references count="1">
          <reference field="25" count="23">
            <x v="5"/>
            <x v="10"/>
            <x v="11"/>
            <x v="26"/>
            <x v="27"/>
            <x v="39"/>
            <x v="40"/>
            <x v="46"/>
            <x v="49"/>
            <x v="53"/>
            <x v="60"/>
            <x v="63"/>
            <x v="64"/>
            <x v="71"/>
            <x v="74"/>
            <x v="75"/>
            <x v="77"/>
            <x v="81"/>
            <x v="88"/>
            <x v="89"/>
            <x v="96"/>
            <x v="99"/>
            <x v="101"/>
          </reference>
        </references>
      </pivotArea>
    </format>
    <format dxfId="1984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45"/>
            <x v="47"/>
            <x v="50"/>
            <x v="51"/>
            <x v="54"/>
            <x v="55"/>
            <x v="56"/>
            <x v="58"/>
            <x v="59"/>
            <x v="65"/>
            <x v="68"/>
            <x v="69"/>
            <x v="70"/>
            <x v="73"/>
            <x v="94"/>
            <x v="97"/>
            <x v="100"/>
          </reference>
        </references>
      </pivotArea>
    </format>
    <format dxfId="1983">
      <pivotArea dataOnly="0" labelOnly="1" fieldPosition="0">
        <references count="1">
          <reference field="25" count="23">
            <x v="5"/>
            <x v="10"/>
            <x v="11"/>
            <x v="26"/>
            <x v="27"/>
            <x v="39"/>
            <x v="40"/>
            <x v="46"/>
            <x v="49"/>
            <x v="53"/>
            <x v="60"/>
            <x v="63"/>
            <x v="64"/>
            <x v="71"/>
            <x v="74"/>
            <x v="75"/>
            <x v="77"/>
            <x v="81"/>
            <x v="88"/>
            <x v="89"/>
            <x v="96"/>
            <x v="99"/>
            <x v="101"/>
          </reference>
        </references>
      </pivotArea>
    </format>
    <format dxfId="1982">
      <pivotArea dataOnly="0" labelOnly="1" fieldPosition="0">
        <references count="1">
          <reference field="25" count="50">
            <x v="0"/>
            <x v="1"/>
            <x v="2"/>
            <x v="3"/>
            <x v="7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3"/>
            <x v="35"/>
            <x v="36"/>
            <x v="37"/>
            <x v="41"/>
            <x v="42"/>
            <x v="43"/>
            <x v="44"/>
            <x v="45"/>
            <x v="46"/>
            <x v="51"/>
            <x v="53"/>
            <x v="54"/>
            <x v="55"/>
            <x v="56"/>
            <x v="57"/>
            <x v="59"/>
            <x v="60"/>
            <x v="61"/>
            <x v="62"/>
            <x v="67"/>
            <x v="68"/>
            <x v="69"/>
            <x v="77"/>
            <x v="82"/>
            <x v="94"/>
            <x v="97"/>
            <x v="99"/>
            <x v="104"/>
          </reference>
        </references>
      </pivotArea>
    </format>
    <format dxfId="1981">
      <pivotArea dataOnly="0" labelOnly="1" fieldPosition="0">
        <references count="1">
          <reference field="25" count="1">
            <x v="38"/>
          </reference>
        </references>
      </pivotArea>
    </format>
    <format dxfId="1980">
      <pivotArea dataOnly="0" labelOnly="1" fieldPosition="0">
        <references count="1">
          <reference field="25" count="50">
            <x v="0"/>
            <x v="1"/>
            <x v="2"/>
            <x v="3"/>
            <x v="7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3"/>
            <x v="35"/>
            <x v="36"/>
            <x v="37"/>
            <x v="41"/>
            <x v="42"/>
            <x v="43"/>
            <x v="44"/>
            <x v="45"/>
            <x v="46"/>
            <x v="51"/>
            <x v="53"/>
            <x v="54"/>
            <x v="55"/>
            <x v="56"/>
            <x v="57"/>
            <x v="59"/>
            <x v="60"/>
            <x v="61"/>
            <x v="62"/>
            <x v="67"/>
            <x v="68"/>
            <x v="69"/>
            <x v="77"/>
            <x v="82"/>
            <x v="94"/>
            <x v="97"/>
            <x v="99"/>
            <x v="104"/>
          </reference>
        </references>
      </pivotArea>
    </format>
    <format dxfId="1979">
      <pivotArea dataOnly="0" labelOnly="1" fieldPosition="0">
        <references count="1">
          <reference field="25" count="1">
            <x v="38"/>
          </reference>
        </references>
      </pivotArea>
    </format>
    <format dxfId="1978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12"/>
            <x v="14"/>
            <x v="15"/>
            <x v="16"/>
            <x v="17"/>
            <x v="18"/>
            <x v="19"/>
            <x v="21"/>
            <x v="22"/>
            <x v="24"/>
            <x v="27"/>
            <x v="30"/>
            <x v="31"/>
            <x v="33"/>
            <x v="35"/>
            <x v="36"/>
            <x v="37"/>
            <x v="41"/>
            <x v="42"/>
            <x v="44"/>
            <x v="45"/>
            <x v="46"/>
            <x v="49"/>
            <x v="50"/>
            <x v="51"/>
            <x v="54"/>
            <x v="55"/>
            <x v="56"/>
            <x v="57"/>
            <x v="59"/>
            <x v="65"/>
            <x v="68"/>
            <x v="69"/>
            <x v="70"/>
            <x v="80"/>
            <x v="81"/>
            <x v="82"/>
            <x v="88"/>
            <x v="93"/>
            <x v="94"/>
            <x v="97"/>
            <x v="100"/>
            <x v="103"/>
            <x v="105"/>
          </reference>
        </references>
      </pivotArea>
    </format>
    <format dxfId="1977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12"/>
            <x v="14"/>
            <x v="15"/>
            <x v="16"/>
            <x v="17"/>
            <x v="18"/>
            <x v="19"/>
            <x v="21"/>
            <x v="22"/>
            <x v="24"/>
            <x v="27"/>
            <x v="30"/>
            <x v="31"/>
            <x v="33"/>
            <x v="35"/>
            <x v="36"/>
            <x v="37"/>
            <x v="41"/>
            <x v="42"/>
            <x v="44"/>
            <x v="45"/>
            <x v="46"/>
            <x v="49"/>
            <x v="50"/>
            <x v="51"/>
            <x v="54"/>
            <x v="55"/>
            <x v="56"/>
            <x v="57"/>
            <x v="59"/>
            <x v="65"/>
            <x v="68"/>
            <x v="69"/>
            <x v="70"/>
            <x v="80"/>
            <x v="81"/>
            <x v="82"/>
            <x v="88"/>
            <x v="93"/>
            <x v="94"/>
            <x v="97"/>
            <x v="100"/>
            <x v="103"/>
            <x v="105"/>
          </reference>
        </references>
      </pivotArea>
    </format>
    <format dxfId="1976">
      <pivotArea dataOnly="0" labelOnly="1" fieldPosition="0">
        <references count="1">
          <reference field="25" count="50">
            <x v="0"/>
            <x v="1"/>
            <x v="2"/>
            <x v="3"/>
            <x v="7"/>
            <x v="8"/>
            <x v="9"/>
            <x v="12"/>
            <x v="14"/>
            <x v="15"/>
            <x v="16"/>
            <x v="17"/>
            <x v="18"/>
            <x v="19"/>
            <x v="21"/>
            <x v="22"/>
            <x v="27"/>
            <x v="30"/>
            <x v="31"/>
            <x v="32"/>
            <x v="35"/>
            <x v="36"/>
            <x v="37"/>
            <x v="39"/>
            <x v="41"/>
            <x v="42"/>
            <x v="43"/>
            <x v="44"/>
            <x v="45"/>
            <x v="49"/>
            <x v="51"/>
            <x v="53"/>
            <x v="54"/>
            <x v="55"/>
            <x v="56"/>
            <x v="58"/>
            <x v="65"/>
            <x v="68"/>
            <x v="69"/>
            <x v="77"/>
            <x v="81"/>
            <x v="82"/>
            <x v="94"/>
            <x v="97"/>
            <x v="99"/>
            <x v="103"/>
            <x v="105"/>
            <x v="106"/>
            <x v="107"/>
            <x v="108"/>
          </reference>
        </references>
      </pivotArea>
    </format>
    <format dxfId="1975">
      <pivotArea dataOnly="0" labelOnly="1" fieldPosition="0">
        <references count="1">
          <reference field="25" count="3">
            <x v="28"/>
            <x v="29"/>
            <x v="59"/>
          </reference>
        </references>
      </pivotArea>
    </format>
    <format dxfId="1974">
      <pivotArea dataOnly="0" labelOnly="1" fieldPosition="0">
        <references count="1">
          <reference field="25" count="50">
            <x v="0"/>
            <x v="1"/>
            <x v="2"/>
            <x v="3"/>
            <x v="7"/>
            <x v="8"/>
            <x v="9"/>
            <x v="12"/>
            <x v="14"/>
            <x v="15"/>
            <x v="16"/>
            <x v="17"/>
            <x v="18"/>
            <x v="19"/>
            <x v="21"/>
            <x v="22"/>
            <x v="27"/>
            <x v="30"/>
            <x v="31"/>
            <x v="32"/>
            <x v="35"/>
            <x v="36"/>
            <x v="37"/>
            <x v="39"/>
            <x v="41"/>
            <x v="42"/>
            <x v="43"/>
            <x v="44"/>
            <x v="45"/>
            <x v="49"/>
            <x v="51"/>
            <x v="53"/>
            <x v="54"/>
            <x v="55"/>
            <x v="56"/>
            <x v="58"/>
            <x v="65"/>
            <x v="68"/>
            <x v="69"/>
            <x v="77"/>
            <x v="81"/>
            <x v="82"/>
            <x v="94"/>
            <x v="97"/>
            <x v="99"/>
            <x v="103"/>
            <x v="105"/>
            <x v="106"/>
            <x v="107"/>
            <x v="108"/>
          </reference>
        </references>
      </pivotArea>
    </format>
    <format dxfId="1973">
      <pivotArea dataOnly="0" labelOnly="1" fieldPosition="0">
        <references count="1">
          <reference field="25" count="3">
            <x v="28"/>
            <x v="29"/>
            <x v="59"/>
          </reference>
        </references>
      </pivotArea>
    </format>
    <format dxfId="1972">
      <pivotArea type="origin" dataOnly="0" labelOnly="1" outline="0" fieldPosition="0"/>
    </format>
    <format dxfId="1971">
      <pivotArea field="25" type="button" dataOnly="0" labelOnly="1" outline="0" axis="axisRow" fieldPosition="0"/>
    </format>
    <format dxfId="1970">
      <pivotArea dataOnly="0" labelOnly="1" fieldPosition="0">
        <references count="1">
          <reference field="25" count="50">
            <x v="0"/>
            <x v="1"/>
            <x v="2"/>
            <x v="3"/>
            <x v="5"/>
            <x v="7"/>
            <x v="8"/>
            <x v="9"/>
            <x v="12"/>
            <x v="14"/>
            <x v="15"/>
            <x v="17"/>
            <x v="18"/>
            <x v="19"/>
            <x v="21"/>
            <x v="22"/>
            <x v="23"/>
            <x v="27"/>
            <x v="30"/>
            <x v="31"/>
            <x v="33"/>
            <x v="36"/>
            <x v="37"/>
            <x v="39"/>
            <x v="41"/>
            <x v="42"/>
            <x v="43"/>
            <x v="44"/>
            <x v="45"/>
            <x v="46"/>
            <x v="49"/>
            <x v="50"/>
            <x v="53"/>
            <x v="54"/>
            <x v="56"/>
            <x v="58"/>
            <x v="59"/>
            <x v="68"/>
            <x v="69"/>
            <x v="80"/>
            <x v="89"/>
            <x v="94"/>
            <x v="97"/>
            <x v="99"/>
            <x v="100"/>
            <x v="102"/>
            <x v="103"/>
            <x v="105"/>
            <x v="107"/>
            <x v="108"/>
          </reference>
        </references>
      </pivotArea>
    </format>
    <format dxfId="1969">
      <pivotArea dataOnly="0" labelOnly="1" fieldPosition="0">
        <references count="1">
          <reference field="25" count="12">
            <x v="4"/>
            <x v="28"/>
            <x v="29"/>
            <x v="55"/>
            <x v="65"/>
            <x v="73"/>
            <x v="74"/>
            <x v="75"/>
            <x v="76"/>
            <x v="81"/>
            <x v="82"/>
            <x v="106"/>
          </reference>
        </references>
      </pivotArea>
    </format>
    <format dxfId="1968">
      <pivotArea dataOnly="0" labelOnly="1" grandRow="1" outline="0" fieldPosition="0"/>
    </format>
    <format dxfId="1967">
      <pivotArea type="origin" dataOnly="0" labelOnly="1" outline="0" fieldPosition="0"/>
    </format>
    <format dxfId="1966">
      <pivotArea field="36" type="button" dataOnly="0" labelOnly="1" outline="0" axis="axisCol" fieldPosition="0"/>
    </format>
    <format dxfId="1965">
      <pivotArea type="topRight" dataOnly="0" labelOnly="1" outline="0" fieldPosition="0"/>
    </format>
    <format dxfId="1964">
      <pivotArea type="origin" dataOnly="0" labelOnly="1" outline="0" fieldPosition="0"/>
    </format>
    <format dxfId="1963">
      <pivotArea field="36" type="button" dataOnly="0" labelOnly="1" outline="0" axis="axisCol" fieldPosition="0"/>
    </format>
    <format dxfId="1962">
      <pivotArea type="topRight" dataOnly="0" labelOnly="1" outline="0" fieldPosition="0"/>
    </format>
    <format dxfId="1961">
      <pivotArea type="origin" dataOnly="0" labelOnly="1" outline="0" fieldPosition="0"/>
    </format>
    <format dxfId="1960">
      <pivotArea field="36" type="button" dataOnly="0" labelOnly="1" outline="0" axis="axisCol" fieldPosition="0"/>
    </format>
    <format dxfId="1959">
      <pivotArea type="topRight" dataOnly="0" labelOnly="1" outline="0" fieldPosition="0"/>
    </format>
    <format dxfId="1958">
      <pivotArea field="25" type="button" dataOnly="0" labelOnly="1" outline="0" axis="axisRow" fieldPosition="0"/>
    </format>
    <format dxfId="1957">
      <pivotArea dataOnly="0" labelOnly="1" fieldPosition="0">
        <references count="1">
          <reference field="36" count="0"/>
        </references>
      </pivotArea>
    </format>
    <format dxfId="1956">
      <pivotArea dataOnly="0" labelOnly="1" grandCol="1" outline="0" fieldPosition="0"/>
    </format>
    <format dxfId="1955">
      <pivotArea field="25" type="button" dataOnly="0" labelOnly="1" outline="0" axis="axisRow" fieldPosition="0"/>
    </format>
    <format dxfId="1954">
      <pivotArea dataOnly="0" labelOnly="1" fieldPosition="0">
        <references count="1">
          <reference field="36" count="0"/>
        </references>
      </pivotArea>
    </format>
    <format dxfId="1953">
      <pivotArea dataOnly="0" labelOnly="1" grandCol="1" outline="0" fieldPosition="0"/>
    </format>
    <format dxfId="1952">
      <pivotArea collapsedLevelsAreSubtotals="1" fieldPosition="0">
        <references count="1">
          <reference field="25" count="1">
            <x v="69"/>
          </reference>
        </references>
      </pivotArea>
    </format>
    <format dxfId="1951">
      <pivotArea dataOnly="0" labelOnly="1" fieldPosition="0">
        <references count="1">
          <reference field="25" count="1">
            <x v="69"/>
          </reference>
        </references>
      </pivotArea>
    </format>
    <format dxfId="1950">
      <pivotArea collapsedLevelsAreSubtotals="1" fieldPosition="0">
        <references count="1">
          <reference field="25" count="1">
            <x v="69"/>
          </reference>
        </references>
      </pivotArea>
    </format>
    <format dxfId="1949">
      <pivotArea dataOnly="0" labelOnly="1" fieldPosition="0">
        <references count="1">
          <reference field="25" count="1">
            <x v="69"/>
          </reference>
        </references>
      </pivotArea>
    </format>
    <format dxfId="1948">
      <pivotArea collapsedLevelsAreSubtotals="1" fieldPosition="0">
        <references count="1">
          <reference field="25" count="1">
            <x v="42"/>
          </reference>
        </references>
      </pivotArea>
    </format>
    <format dxfId="1947">
      <pivotArea dataOnly="0" labelOnly="1" fieldPosition="0">
        <references count="1">
          <reference field="25" count="1">
            <x v="42"/>
          </reference>
        </references>
      </pivotArea>
    </format>
    <format dxfId="1946">
      <pivotArea collapsedLevelsAreSubtotals="1" fieldPosition="0">
        <references count="1">
          <reference field="25" count="1">
            <x v="42"/>
          </reference>
        </references>
      </pivotArea>
    </format>
    <format dxfId="1945">
      <pivotArea dataOnly="0" labelOnly="1" fieldPosition="0">
        <references count="1">
          <reference field="25" count="1">
            <x v="42"/>
          </reference>
        </references>
      </pivotArea>
    </format>
    <format dxfId="1944">
      <pivotArea collapsedLevelsAreSubtotals="1" fieldPosition="0">
        <references count="1">
          <reference field="25" count="1">
            <x v="19"/>
          </reference>
        </references>
      </pivotArea>
    </format>
    <format dxfId="1943">
      <pivotArea dataOnly="0" labelOnly="1" fieldPosition="0">
        <references count="1">
          <reference field="25" count="1">
            <x v="19"/>
          </reference>
        </references>
      </pivotArea>
    </format>
    <format dxfId="1942">
      <pivotArea collapsedLevelsAreSubtotals="1" fieldPosition="0">
        <references count="1">
          <reference field="25" count="1">
            <x v="19"/>
          </reference>
        </references>
      </pivotArea>
    </format>
    <format dxfId="1941">
      <pivotArea dataOnly="0" labelOnly="1" fieldPosition="0">
        <references count="1">
          <reference field="25" count="1">
            <x v="19"/>
          </reference>
        </references>
      </pivotArea>
    </format>
    <format dxfId="1940">
      <pivotArea collapsedLevelsAreSubtotals="1" fieldPosition="0">
        <references count="1">
          <reference field="25" count="1">
            <x v="36"/>
          </reference>
        </references>
      </pivotArea>
    </format>
    <format dxfId="1939">
      <pivotArea dataOnly="0" labelOnly="1" fieldPosition="0">
        <references count="1">
          <reference field="25" count="1">
            <x v="36"/>
          </reference>
        </references>
      </pivotArea>
    </format>
    <format dxfId="1938">
      <pivotArea collapsedLevelsAreSubtotals="1" fieldPosition="0">
        <references count="1">
          <reference field="25" count="1">
            <x v="36"/>
          </reference>
        </references>
      </pivotArea>
    </format>
    <format dxfId="1937">
      <pivotArea dataOnly="0" labelOnly="1" fieldPosition="0">
        <references count="1">
          <reference field="25" count="1">
            <x v="36"/>
          </reference>
        </references>
      </pivotArea>
    </format>
    <format dxfId="1936">
      <pivotArea collapsedLevelsAreSubtotals="1" fieldPosition="0">
        <references count="1">
          <reference field="25" count="1">
            <x v="2"/>
          </reference>
        </references>
      </pivotArea>
    </format>
    <format dxfId="1935">
      <pivotArea dataOnly="0" labelOnly="1" fieldPosition="0">
        <references count="1">
          <reference field="25" count="1">
            <x v="2"/>
          </reference>
        </references>
      </pivotArea>
    </format>
    <format dxfId="1934">
      <pivotArea collapsedLevelsAreSubtotals="1" fieldPosition="0">
        <references count="1">
          <reference field="25" count="1">
            <x v="2"/>
          </reference>
        </references>
      </pivotArea>
    </format>
    <format dxfId="1933">
      <pivotArea dataOnly="0" labelOnly="1" fieldPosition="0">
        <references count="1">
          <reference field="25" count="1">
            <x v="2"/>
          </reference>
        </references>
      </pivotArea>
    </format>
    <format dxfId="1932">
      <pivotArea collapsedLevelsAreSubtotals="1" fieldPosition="0">
        <references count="1">
          <reference field="25" count="1">
            <x v="18"/>
          </reference>
        </references>
      </pivotArea>
    </format>
    <format dxfId="1931">
      <pivotArea dataOnly="0" labelOnly="1" fieldPosition="0">
        <references count="1">
          <reference field="25" count="1">
            <x v="18"/>
          </reference>
        </references>
      </pivotArea>
    </format>
    <format dxfId="1930">
      <pivotArea collapsedLevelsAreSubtotals="1" fieldPosition="0">
        <references count="1">
          <reference field="25" count="1">
            <x v="18"/>
          </reference>
        </references>
      </pivotArea>
    </format>
    <format dxfId="1929">
      <pivotArea dataOnly="0" labelOnly="1" fieldPosition="0">
        <references count="1">
          <reference field="25" count="1">
            <x v="18"/>
          </reference>
        </references>
      </pivotArea>
    </format>
    <format dxfId="1928">
      <pivotArea collapsedLevelsAreSubtotals="1" fieldPosition="0">
        <references count="1">
          <reference field="25" count="1">
            <x v="14"/>
          </reference>
        </references>
      </pivotArea>
    </format>
    <format dxfId="1927">
      <pivotArea dataOnly="0" labelOnly="1" fieldPosition="0">
        <references count="1">
          <reference field="25" count="1">
            <x v="14"/>
          </reference>
        </references>
      </pivotArea>
    </format>
    <format dxfId="1926">
      <pivotArea collapsedLevelsAreSubtotals="1" fieldPosition="0">
        <references count="1">
          <reference field="25" count="1">
            <x v="14"/>
          </reference>
        </references>
      </pivotArea>
    </format>
    <format dxfId="1925">
      <pivotArea dataOnly="0" labelOnly="1" fieldPosition="0">
        <references count="1">
          <reference field="25" count="1">
            <x v="14"/>
          </reference>
        </references>
      </pivotArea>
    </format>
    <format dxfId="1924">
      <pivotArea collapsedLevelsAreSubtotals="1" fieldPosition="0">
        <references count="1">
          <reference field="25" count="1">
            <x v="92"/>
          </reference>
        </references>
      </pivotArea>
    </format>
    <format dxfId="1923">
      <pivotArea dataOnly="0" labelOnly="1" fieldPosition="0">
        <references count="1">
          <reference field="25" count="1">
            <x v="92"/>
          </reference>
        </references>
      </pivotArea>
    </format>
    <format dxfId="1922">
      <pivotArea collapsedLevelsAreSubtotals="1" fieldPosition="0">
        <references count="1">
          <reference field="25" count="1">
            <x v="92"/>
          </reference>
        </references>
      </pivotArea>
    </format>
    <format dxfId="1921">
      <pivotArea dataOnly="0" labelOnly="1" fieldPosition="0">
        <references count="1">
          <reference field="25" count="1">
            <x v="92"/>
          </reference>
        </references>
      </pivotArea>
    </format>
    <format dxfId="1920">
      <pivotArea collapsedLevelsAreSubtotals="1" fieldPosition="0">
        <references count="1">
          <reference field="25" count="1">
            <x v="41"/>
          </reference>
        </references>
      </pivotArea>
    </format>
    <format dxfId="1919">
      <pivotArea dataOnly="0" labelOnly="1" fieldPosition="0">
        <references count="1">
          <reference field="25" count="1">
            <x v="41"/>
          </reference>
        </references>
      </pivotArea>
    </format>
    <format dxfId="1918">
      <pivotArea collapsedLevelsAreSubtotals="1" fieldPosition="0">
        <references count="1">
          <reference field="25" count="1">
            <x v="41"/>
          </reference>
        </references>
      </pivotArea>
    </format>
    <format dxfId="1917">
      <pivotArea dataOnly="0" labelOnly="1" fieldPosition="0">
        <references count="1">
          <reference field="25" count="1">
            <x v="41"/>
          </reference>
        </references>
      </pivotArea>
    </format>
    <format dxfId="1916">
      <pivotArea collapsedLevelsAreSubtotals="1" fieldPosition="0">
        <references count="1">
          <reference field="25" count="1">
            <x v="39"/>
          </reference>
        </references>
      </pivotArea>
    </format>
    <format dxfId="1915">
      <pivotArea dataOnly="0" labelOnly="1" fieldPosition="0">
        <references count="1">
          <reference field="25" count="1">
            <x v="39"/>
          </reference>
        </references>
      </pivotArea>
    </format>
    <format dxfId="1914">
      <pivotArea collapsedLevelsAreSubtotals="1" fieldPosition="0">
        <references count="1">
          <reference field="25" count="1">
            <x v="39"/>
          </reference>
        </references>
      </pivotArea>
    </format>
    <format dxfId="1913">
      <pivotArea dataOnly="0" labelOnly="1" fieldPosition="0">
        <references count="1">
          <reference field="25" count="1">
            <x v="39"/>
          </reference>
        </references>
      </pivotArea>
    </format>
    <format dxfId="1912">
      <pivotArea collapsedLevelsAreSubtotals="1" fieldPosition="0">
        <references count="1">
          <reference field="25" count="1">
            <x v="94"/>
          </reference>
        </references>
      </pivotArea>
    </format>
    <format dxfId="1911">
      <pivotArea dataOnly="0" labelOnly="1" fieldPosition="0">
        <references count="1">
          <reference field="25" count="1">
            <x v="94"/>
          </reference>
        </references>
      </pivotArea>
    </format>
    <format dxfId="1910">
      <pivotArea collapsedLevelsAreSubtotals="1" fieldPosition="0">
        <references count="1">
          <reference field="25" count="1">
            <x v="94"/>
          </reference>
        </references>
      </pivotArea>
    </format>
    <format dxfId="1909">
      <pivotArea dataOnly="0" labelOnly="1" fieldPosition="0">
        <references count="1">
          <reference field="25" count="1">
            <x v="94"/>
          </reference>
        </references>
      </pivotArea>
    </format>
    <format dxfId="1908">
      <pivotArea collapsedLevelsAreSubtotals="1" fieldPosition="0">
        <references count="1">
          <reference field="25" count="1">
            <x v="15"/>
          </reference>
        </references>
      </pivotArea>
    </format>
    <format dxfId="1907">
      <pivotArea dataOnly="0" labelOnly="1" fieldPosition="0">
        <references count="1">
          <reference field="25" count="1">
            <x v="15"/>
          </reference>
        </references>
      </pivotArea>
    </format>
    <format dxfId="1906">
      <pivotArea collapsedLevelsAreSubtotals="1" fieldPosition="0">
        <references count="1">
          <reference field="25" count="1">
            <x v="15"/>
          </reference>
        </references>
      </pivotArea>
    </format>
    <format dxfId="1905">
      <pivotArea dataOnly="0" labelOnly="1" fieldPosition="0">
        <references count="1">
          <reference field="25" count="1">
            <x v="15"/>
          </reference>
        </references>
      </pivotArea>
    </format>
    <format dxfId="1904">
      <pivotArea collapsedLevelsAreSubtotals="1" fieldPosition="0">
        <references count="1">
          <reference field="25" count="1">
            <x v="1"/>
          </reference>
        </references>
      </pivotArea>
    </format>
    <format dxfId="1903">
      <pivotArea dataOnly="0" labelOnly="1" fieldPosition="0">
        <references count="1">
          <reference field="25" count="1">
            <x v="1"/>
          </reference>
        </references>
      </pivotArea>
    </format>
    <format dxfId="1902">
      <pivotArea collapsedLevelsAreSubtotals="1" fieldPosition="0">
        <references count="1">
          <reference field="25" count="1">
            <x v="1"/>
          </reference>
        </references>
      </pivotArea>
    </format>
    <format dxfId="1901">
      <pivotArea dataOnly="0" labelOnly="1" fieldPosition="0">
        <references count="1">
          <reference field="25" count="1">
            <x v="1"/>
          </reference>
        </references>
      </pivotArea>
    </format>
    <format dxfId="1900">
      <pivotArea collapsedLevelsAreSubtotals="1" fieldPosition="0">
        <references count="1">
          <reference field="25" count="1">
            <x v="105"/>
          </reference>
        </references>
      </pivotArea>
    </format>
    <format dxfId="1899">
      <pivotArea dataOnly="0" labelOnly="1" fieldPosition="0">
        <references count="1">
          <reference field="25" count="1">
            <x v="105"/>
          </reference>
        </references>
      </pivotArea>
    </format>
    <format dxfId="1898">
      <pivotArea collapsedLevelsAreSubtotals="1" fieldPosition="0">
        <references count="1">
          <reference field="25" count="1">
            <x v="105"/>
          </reference>
        </references>
      </pivotArea>
    </format>
    <format dxfId="1897">
      <pivotArea dataOnly="0" labelOnly="1" fieldPosition="0">
        <references count="1">
          <reference field="25" count="1">
            <x v="105"/>
          </reference>
        </references>
      </pivotArea>
    </format>
    <format dxfId="1896">
      <pivotArea collapsedLevelsAreSubtotals="1" fieldPosition="0">
        <references count="1">
          <reference field="25" count="1">
            <x v="12"/>
          </reference>
        </references>
      </pivotArea>
    </format>
    <format dxfId="1895">
      <pivotArea dataOnly="0" labelOnly="1" fieldPosition="0">
        <references count="1">
          <reference field="25" count="1">
            <x v="12"/>
          </reference>
        </references>
      </pivotArea>
    </format>
    <format dxfId="1894">
      <pivotArea collapsedLevelsAreSubtotals="1" fieldPosition="0">
        <references count="1">
          <reference field="25" count="1">
            <x v="12"/>
          </reference>
        </references>
      </pivotArea>
    </format>
    <format dxfId="1893">
      <pivotArea dataOnly="0" labelOnly="1" fieldPosition="0">
        <references count="1">
          <reference field="25" count="1">
            <x v="12"/>
          </reference>
        </references>
      </pivotArea>
    </format>
    <format dxfId="1892">
      <pivotArea collapsedLevelsAreSubtotals="1" fieldPosition="0">
        <references count="1">
          <reference field="25" count="1">
            <x v="46"/>
          </reference>
        </references>
      </pivotArea>
    </format>
    <format dxfId="1891">
      <pivotArea dataOnly="0" labelOnly="1" fieldPosition="0">
        <references count="1">
          <reference field="25" count="1">
            <x v="46"/>
          </reference>
        </references>
      </pivotArea>
    </format>
    <format dxfId="1890">
      <pivotArea collapsedLevelsAreSubtotals="1" fieldPosition="0">
        <references count="1">
          <reference field="25" count="1">
            <x v="46"/>
          </reference>
        </references>
      </pivotArea>
    </format>
    <format dxfId="1889">
      <pivotArea dataOnly="0" labelOnly="1" fieldPosition="0">
        <references count="1">
          <reference field="25" count="1">
            <x v="46"/>
          </reference>
        </references>
      </pivotArea>
    </format>
    <format dxfId="1888">
      <pivotArea collapsedLevelsAreSubtotals="1" fieldPosition="0">
        <references count="1">
          <reference field="25" count="1">
            <x v="53"/>
          </reference>
        </references>
      </pivotArea>
    </format>
    <format dxfId="1887">
      <pivotArea dataOnly="0" labelOnly="1" fieldPosition="0">
        <references count="1">
          <reference field="25" count="1">
            <x v="53"/>
          </reference>
        </references>
      </pivotArea>
    </format>
    <format dxfId="1886">
      <pivotArea collapsedLevelsAreSubtotals="1" fieldPosition="0">
        <references count="1">
          <reference field="25" count="1">
            <x v="53"/>
          </reference>
        </references>
      </pivotArea>
    </format>
    <format dxfId="1885">
      <pivotArea dataOnly="0" labelOnly="1" fieldPosition="0">
        <references count="1">
          <reference field="25" count="1">
            <x v="53"/>
          </reference>
        </references>
      </pivotArea>
    </format>
    <format dxfId="1884">
      <pivotArea collapsedLevelsAreSubtotals="1" fieldPosition="0">
        <references count="1">
          <reference field="25" count="1">
            <x v="54"/>
          </reference>
        </references>
      </pivotArea>
    </format>
    <format dxfId="1883">
      <pivotArea dataOnly="0" labelOnly="1" fieldPosition="0">
        <references count="1">
          <reference field="25" count="1">
            <x v="54"/>
          </reference>
        </references>
      </pivotArea>
    </format>
    <format dxfId="1882">
      <pivotArea collapsedLevelsAreSubtotals="1" fieldPosition="0">
        <references count="1">
          <reference field="25" count="1">
            <x v="54"/>
          </reference>
        </references>
      </pivotArea>
    </format>
    <format dxfId="1881">
      <pivotArea dataOnly="0" labelOnly="1" fieldPosition="0">
        <references count="1">
          <reference field="25" count="1">
            <x v="54"/>
          </reference>
        </references>
      </pivotArea>
    </format>
    <format dxfId="1880">
      <pivotArea collapsedLevelsAreSubtotals="1" fieldPosition="0">
        <references count="1">
          <reference field="25" count="1">
            <x v="107"/>
          </reference>
        </references>
      </pivotArea>
    </format>
    <format dxfId="1879">
      <pivotArea dataOnly="0" labelOnly="1" fieldPosition="0">
        <references count="1">
          <reference field="25" count="1">
            <x v="107"/>
          </reference>
        </references>
      </pivotArea>
    </format>
    <format dxfId="1878">
      <pivotArea collapsedLevelsAreSubtotals="1" fieldPosition="0">
        <references count="1">
          <reference field="25" count="1">
            <x v="107"/>
          </reference>
        </references>
      </pivotArea>
    </format>
    <format dxfId="1877">
      <pivotArea dataOnly="0" labelOnly="1" fieldPosition="0">
        <references count="1">
          <reference field="25" count="1">
            <x v="107"/>
          </reference>
        </references>
      </pivotArea>
    </format>
    <format dxfId="1876">
      <pivotArea collapsedLevelsAreSubtotals="1" fieldPosition="0">
        <references count="1">
          <reference field="25" count="1">
            <x v="23"/>
          </reference>
        </references>
      </pivotArea>
    </format>
    <format dxfId="1875">
      <pivotArea dataOnly="0" labelOnly="1" fieldPosition="0">
        <references count="1">
          <reference field="25" count="1">
            <x v="23"/>
          </reference>
        </references>
      </pivotArea>
    </format>
    <format dxfId="1874">
      <pivotArea collapsedLevelsAreSubtotals="1" fieldPosition="0">
        <references count="1">
          <reference field="25" count="1">
            <x v="23"/>
          </reference>
        </references>
      </pivotArea>
    </format>
    <format dxfId="1873">
      <pivotArea dataOnly="0" labelOnly="1" fieldPosition="0">
        <references count="1">
          <reference field="25" count="1">
            <x v="23"/>
          </reference>
        </references>
      </pivotArea>
    </format>
    <format dxfId="1872">
      <pivotArea collapsedLevelsAreSubtotals="1" fieldPosition="0">
        <references count="1">
          <reference field="25" count="1">
            <x v="3"/>
          </reference>
        </references>
      </pivotArea>
    </format>
    <format dxfId="1871">
      <pivotArea dataOnly="0" labelOnly="1" fieldPosition="0">
        <references count="1">
          <reference field="25" count="1">
            <x v="3"/>
          </reference>
        </references>
      </pivotArea>
    </format>
    <format dxfId="1870">
      <pivotArea collapsedLevelsAreSubtotals="1" fieldPosition="0">
        <references count="1">
          <reference field="25" count="1">
            <x v="3"/>
          </reference>
        </references>
      </pivotArea>
    </format>
    <format dxfId="1869">
      <pivotArea dataOnly="0" labelOnly="1" fieldPosition="0">
        <references count="1">
          <reference field="25" count="1">
            <x v="3"/>
          </reference>
        </references>
      </pivotArea>
    </format>
    <format dxfId="1868">
      <pivotArea collapsedLevelsAreSubtotals="1" fieldPosition="0">
        <references count="1">
          <reference field="25" count="1">
            <x v="81"/>
          </reference>
        </references>
      </pivotArea>
    </format>
    <format dxfId="1867">
      <pivotArea dataOnly="0" labelOnly="1" fieldPosition="0">
        <references count="1">
          <reference field="25" count="1">
            <x v="81"/>
          </reference>
        </references>
      </pivotArea>
    </format>
    <format dxfId="1866">
      <pivotArea collapsedLevelsAreSubtotals="1" fieldPosition="0">
        <references count="1">
          <reference field="25" count="1">
            <x v="81"/>
          </reference>
        </references>
      </pivotArea>
    </format>
    <format dxfId="1865">
      <pivotArea dataOnly="0" labelOnly="1" fieldPosition="0">
        <references count="1">
          <reference field="25" count="1">
            <x v="81"/>
          </reference>
        </references>
      </pivotArea>
    </format>
    <format dxfId="1864">
      <pivotArea collapsedLevelsAreSubtotals="1" fieldPosition="0">
        <references count="1">
          <reference field="25" count="1">
            <x v="50"/>
          </reference>
        </references>
      </pivotArea>
    </format>
    <format dxfId="1863">
      <pivotArea dataOnly="0" labelOnly="1" fieldPosition="0">
        <references count="1">
          <reference field="25" count="1">
            <x v="50"/>
          </reference>
        </references>
      </pivotArea>
    </format>
    <format dxfId="1862">
      <pivotArea collapsedLevelsAreSubtotals="1" fieldPosition="0">
        <references count="1">
          <reference field="25" count="1">
            <x v="50"/>
          </reference>
        </references>
      </pivotArea>
    </format>
    <format dxfId="1861">
      <pivotArea dataOnly="0" labelOnly="1" fieldPosition="0">
        <references count="1">
          <reference field="25" count="1">
            <x v="50"/>
          </reference>
        </references>
      </pivotArea>
    </format>
    <format dxfId="1860">
      <pivotArea collapsedLevelsAreSubtotals="1" fieldPosition="0">
        <references count="1">
          <reference field="25" count="1">
            <x v="43"/>
          </reference>
        </references>
      </pivotArea>
    </format>
    <format dxfId="1859">
      <pivotArea dataOnly="0" labelOnly="1" fieldPosition="0">
        <references count="1">
          <reference field="25" count="1">
            <x v="43"/>
          </reference>
        </references>
      </pivotArea>
    </format>
    <format dxfId="1858">
      <pivotArea collapsedLevelsAreSubtotals="1" fieldPosition="0">
        <references count="1">
          <reference field="25" count="1">
            <x v="43"/>
          </reference>
        </references>
      </pivotArea>
    </format>
    <format dxfId="1857">
      <pivotArea dataOnly="0" labelOnly="1" fieldPosition="0">
        <references count="1">
          <reference field="25" count="1">
            <x v="43"/>
          </reference>
        </references>
      </pivotArea>
    </format>
    <format dxfId="1856">
      <pivotArea collapsedLevelsAreSubtotals="1" fieldPosition="0">
        <references count="1">
          <reference field="25" count="1">
            <x v="22"/>
          </reference>
        </references>
      </pivotArea>
    </format>
    <format dxfId="1855">
      <pivotArea dataOnly="0" labelOnly="1" fieldPosition="0">
        <references count="1">
          <reference field="25" count="1">
            <x v="22"/>
          </reference>
        </references>
      </pivotArea>
    </format>
    <format dxfId="1854">
      <pivotArea collapsedLevelsAreSubtotals="1" fieldPosition="0">
        <references count="1">
          <reference field="25" count="1">
            <x v="22"/>
          </reference>
        </references>
      </pivotArea>
    </format>
    <format dxfId="1853">
      <pivotArea dataOnly="0" labelOnly="1" fieldPosition="0">
        <references count="1">
          <reference field="25" count="1">
            <x v="22"/>
          </reference>
        </references>
      </pivotArea>
    </format>
    <format dxfId="1852">
      <pivotArea collapsedLevelsAreSubtotals="1" fieldPosition="0">
        <references count="1">
          <reference field="25" count="1">
            <x v="106"/>
          </reference>
        </references>
      </pivotArea>
    </format>
    <format dxfId="1851">
      <pivotArea dataOnly="0" labelOnly="1" fieldPosition="0">
        <references count="1">
          <reference field="25" count="1">
            <x v="106"/>
          </reference>
        </references>
      </pivotArea>
    </format>
    <format dxfId="1850">
      <pivotArea collapsedLevelsAreSubtotals="1" fieldPosition="0">
        <references count="1">
          <reference field="25" count="1">
            <x v="106"/>
          </reference>
        </references>
      </pivotArea>
    </format>
    <format dxfId="1849">
      <pivotArea dataOnly="0" labelOnly="1" fieldPosition="0">
        <references count="1">
          <reference field="25" count="1">
            <x v="106"/>
          </reference>
        </references>
      </pivotArea>
    </format>
    <format dxfId="1848">
      <pivotArea collapsedLevelsAreSubtotals="1" fieldPosition="0">
        <references count="1">
          <reference field="25" count="1">
            <x v="103"/>
          </reference>
        </references>
      </pivotArea>
    </format>
    <format dxfId="1847">
      <pivotArea dataOnly="0" labelOnly="1" fieldPosition="0">
        <references count="1">
          <reference field="25" count="1">
            <x v="103"/>
          </reference>
        </references>
      </pivotArea>
    </format>
    <format dxfId="1846">
      <pivotArea collapsedLevelsAreSubtotals="1" fieldPosition="0">
        <references count="1">
          <reference field="25" count="1">
            <x v="103"/>
          </reference>
        </references>
      </pivotArea>
    </format>
    <format dxfId="1845">
      <pivotArea dataOnly="0" labelOnly="1" fieldPosition="0">
        <references count="1">
          <reference field="25" count="1">
            <x v="103"/>
          </reference>
        </references>
      </pivotArea>
    </format>
    <format dxfId="1844">
      <pivotArea collapsedLevelsAreSubtotals="1" fieldPosition="0">
        <references count="1">
          <reference field="25" count="1">
            <x v="28"/>
          </reference>
        </references>
      </pivotArea>
    </format>
    <format dxfId="1843">
      <pivotArea dataOnly="0" labelOnly="1" fieldPosition="0">
        <references count="1">
          <reference field="25" count="1">
            <x v="28"/>
          </reference>
        </references>
      </pivotArea>
    </format>
    <format dxfId="1842">
      <pivotArea collapsedLevelsAreSubtotals="1" fieldPosition="0">
        <references count="1">
          <reference field="25" count="1">
            <x v="28"/>
          </reference>
        </references>
      </pivotArea>
    </format>
    <format dxfId="1841">
      <pivotArea dataOnly="0" labelOnly="1" fieldPosition="0">
        <references count="1">
          <reference field="25" count="1">
            <x v="28"/>
          </reference>
        </references>
      </pivotArea>
    </format>
    <format dxfId="1840">
      <pivotArea collapsedLevelsAreSubtotals="1" fieldPosition="0">
        <references count="1">
          <reference field="25" count="1">
            <x v="70"/>
          </reference>
        </references>
      </pivotArea>
    </format>
    <format dxfId="1839">
      <pivotArea dataOnly="0" labelOnly="1" fieldPosition="0">
        <references count="1">
          <reference field="25" count="1">
            <x v="70"/>
          </reference>
        </references>
      </pivotArea>
    </format>
    <format dxfId="1838">
      <pivotArea collapsedLevelsAreSubtotals="1" fieldPosition="0">
        <references count="1">
          <reference field="25" count="1">
            <x v="70"/>
          </reference>
        </references>
      </pivotArea>
    </format>
    <format dxfId="1837">
      <pivotArea dataOnly="0" labelOnly="1" fieldPosition="0">
        <references count="1">
          <reference field="25" count="1">
            <x v="70"/>
          </reference>
        </references>
      </pivotArea>
    </format>
    <format dxfId="1836">
      <pivotArea collapsedLevelsAreSubtotals="1" fieldPosition="0">
        <references count="1">
          <reference field="25" count="1">
            <x v="59"/>
          </reference>
        </references>
      </pivotArea>
    </format>
    <format dxfId="1835">
      <pivotArea dataOnly="0" labelOnly="1" fieldPosition="0">
        <references count="1">
          <reference field="25" count="1">
            <x v="59"/>
          </reference>
        </references>
      </pivotArea>
    </format>
    <format dxfId="1834">
      <pivotArea collapsedLevelsAreSubtotals="1" fieldPosition="0">
        <references count="1">
          <reference field="25" count="1">
            <x v="59"/>
          </reference>
        </references>
      </pivotArea>
    </format>
    <format dxfId="1833">
      <pivotArea dataOnly="0" labelOnly="1" fieldPosition="0">
        <references count="1">
          <reference field="25" count="1">
            <x v="59"/>
          </reference>
        </references>
      </pivotArea>
    </format>
    <format dxfId="1832">
      <pivotArea collapsedLevelsAreSubtotals="1" fieldPosition="0">
        <references count="1">
          <reference field="25" count="1">
            <x v="17"/>
          </reference>
        </references>
      </pivotArea>
    </format>
    <format dxfId="1831">
      <pivotArea dataOnly="0" labelOnly="1" fieldPosition="0">
        <references count="1">
          <reference field="25" count="1">
            <x v="17"/>
          </reference>
        </references>
      </pivotArea>
    </format>
    <format dxfId="1830">
      <pivotArea collapsedLevelsAreSubtotals="1" fieldPosition="0">
        <references count="1">
          <reference field="25" count="1">
            <x v="17"/>
          </reference>
        </references>
      </pivotArea>
    </format>
    <format dxfId="1829">
      <pivotArea dataOnly="0" labelOnly="1" fieldPosition="0">
        <references count="1">
          <reference field="25" count="1">
            <x v="17"/>
          </reference>
        </references>
      </pivotArea>
    </format>
    <format dxfId="1828">
      <pivotArea collapsedLevelsAreSubtotals="1" fieldPosition="0">
        <references count="1">
          <reference field="25" count="1">
            <x v="30"/>
          </reference>
        </references>
      </pivotArea>
    </format>
    <format dxfId="1827">
      <pivotArea dataOnly="0" labelOnly="1" fieldPosition="0">
        <references count="1">
          <reference field="25" count="1">
            <x v="30"/>
          </reference>
        </references>
      </pivotArea>
    </format>
    <format dxfId="1826">
      <pivotArea collapsedLevelsAreSubtotals="1" fieldPosition="0">
        <references count="1">
          <reference field="25" count="1">
            <x v="30"/>
          </reference>
        </references>
      </pivotArea>
    </format>
    <format dxfId="1825">
      <pivotArea dataOnly="0" labelOnly="1" fieldPosition="0">
        <references count="1">
          <reference field="25" count="1">
            <x v="30"/>
          </reference>
        </references>
      </pivotArea>
    </format>
    <format dxfId="1824">
      <pivotArea collapsedLevelsAreSubtotals="1" fieldPosition="0">
        <references count="1">
          <reference field="25" count="1">
            <x v="37"/>
          </reference>
        </references>
      </pivotArea>
    </format>
    <format dxfId="1823">
      <pivotArea dataOnly="0" labelOnly="1" fieldPosition="0">
        <references count="1">
          <reference field="25" count="1">
            <x v="37"/>
          </reference>
        </references>
      </pivotArea>
    </format>
    <format dxfId="1822">
      <pivotArea collapsedLevelsAreSubtotals="1" fieldPosition="0">
        <references count="1">
          <reference field="25" count="1">
            <x v="37"/>
          </reference>
        </references>
      </pivotArea>
    </format>
    <format dxfId="1821">
      <pivotArea dataOnly="0" labelOnly="1" fieldPosition="0">
        <references count="1">
          <reference field="25" count="1">
            <x v="37"/>
          </reference>
        </references>
      </pivotArea>
    </format>
    <format dxfId="1820">
      <pivotArea collapsedLevelsAreSubtotals="1" fieldPosition="0">
        <references count="1">
          <reference field="25" count="1">
            <x v="97"/>
          </reference>
        </references>
      </pivotArea>
    </format>
    <format dxfId="1819">
      <pivotArea dataOnly="0" labelOnly="1" fieldPosition="0">
        <references count="1">
          <reference field="25" count="1">
            <x v="97"/>
          </reference>
        </references>
      </pivotArea>
    </format>
    <format dxfId="1818">
      <pivotArea collapsedLevelsAreSubtotals="1" fieldPosition="0">
        <references count="1">
          <reference field="25" count="1">
            <x v="97"/>
          </reference>
        </references>
      </pivotArea>
    </format>
    <format dxfId="1817">
      <pivotArea dataOnly="0" labelOnly="1" fieldPosition="0">
        <references count="1">
          <reference field="25" count="1">
            <x v="97"/>
          </reference>
        </references>
      </pivotArea>
    </format>
    <format dxfId="1816">
      <pivotArea collapsedLevelsAreSubtotals="1" fieldPosition="0">
        <references count="1">
          <reference field="25" count="1">
            <x v="56"/>
          </reference>
        </references>
      </pivotArea>
    </format>
    <format dxfId="1815">
      <pivotArea dataOnly="0" labelOnly="1" fieldPosition="0">
        <references count="1">
          <reference field="25" count="1">
            <x v="56"/>
          </reference>
        </references>
      </pivotArea>
    </format>
    <format dxfId="1814">
      <pivotArea collapsedLevelsAreSubtotals="1" fieldPosition="0">
        <references count="1">
          <reference field="25" count="1">
            <x v="56"/>
          </reference>
        </references>
      </pivotArea>
    </format>
    <format dxfId="1813">
      <pivotArea dataOnly="0" labelOnly="1" fieldPosition="0">
        <references count="1">
          <reference field="25" count="1">
            <x v="56"/>
          </reference>
        </references>
      </pivotArea>
    </format>
    <format dxfId="1812">
      <pivotArea collapsedLevelsAreSubtotals="1" fieldPosition="0">
        <references count="1">
          <reference field="25" count="1">
            <x v="8"/>
          </reference>
        </references>
      </pivotArea>
    </format>
    <format dxfId="1811">
      <pivotArea dataOnly="0" labelOnly="1" fieldPosition="0">
        <references count="1">
          <reference field="25" count="1">
            <x v="8"/>
          </reference>
        </references>
      </pivotArea>
    </format>
    <format dxfId="1810">
      <pivotArea collapsedLevelsAreSubtotals="1" fieldPosition="0">
        <references count="1">
          <reference field="25" count="1">
            <x v="8"/>
          </reference>
        </references>
      </pivotArea>
    </format>
    <format dxfId="1809">
      <pivotArea dataOnly="0" labelOnly="1" fieldPosition="0">
        <references count="1">
          <reference field="25" count="1">
            <x v="8"/>
          </reference>
        </references>
      </pivotArea>
    </format>
    <format dxfId="1808">
      <pivotArea collapsedLevelsAreSubtotals="1" fieldPosition="0">
        <references count="1">
          <reference field="25" count="1">
            <x v="73"/>
          </reference>
        </references>
      </pivotArea>
    </format>
    <format dxfId="1807">
      <pivotArea dataOnly="0" labelOnly="1" fieldPosition="0">
        <references count="1">
          <reference field="25" count="1">
            <x v="73"/>
          </reference>
        </references>
      </pivotArea>
    </format>
    <format dxfId="1806">
      <pivotArea collapsedLevelsAreSubtotals="1" fieldPosition="0">
        <references count="1">
          <reference field="25" count="1">
            <x v="73"/>
          </reference>
        </references>
      </pivotArea>
    </format>
    <format dxfId="1805">
      <pivotArea dataOnly="0" labelOnly="1" fieldPosition="0">
        <references count="1">
          <reference field="25" count="1">
            <x v="73"/>
          </reference>
        </references>
      </pivotArea>
    </format>
    <format dxfId="1804">
      <pivotArea collapsedLevelsAreSubtotals="1" fieldPosition="0">
        <references count="1">
          <reference field="25" count="1">
            <x v="0"/>
          </reference>
        </references>
      </pivotArea>
    </format>
    <format dxfId="1803">
      <pivotArea dataOnly="0" labelOnly="1" fieldPosition="0">
        <references count="1">
          <reference field="25" count="1">
            <x v="0"/>
          </reference>
        </references>
      </pivotArea>
    </format>
    <format dxfId="1802">
      <pivotArea collapsedLevelsAreSubtotals="1" fieldPosition="0">
        <references count="1">
          <reference field="25" count="1">
            <x v="0"/>
          </reference>
        </references>
      </pivotArea>
    </format>
    <format dxfId="1801">
      <pivotArea dataOnly="0" labelOnly="1" fieldPosition="0">
        <references count="1">
          <reference field="25" count="1">
            <x v="0"/>
          </reference>
        </references>
      </pivotArea>
    </format>
    <format dxfId="1800">
      <pivotArea collapsedLevelsAreSubtotals="1" fieldPosition="0">
        <references count="1">
          <reference field="25" count="1">
            <x v="21"/>
          </reference>
        </references>
      </pivotArea>
    </format>
    <format dxfId="1799">
      <pivotArea dataOnly="0" labelOnly="1" fieldPosition="0">
        <references count="1">
          <reference field="25" count="1">
            <x v="21"/>
          </reference>
        </references>
      </pivotArea>
    </format>
    <format dxfId="1798">
      <pivotArea collapsedLevelsAreSubtotals="1" fieldPosition="0">
        <references count="1">
          <reference field="25" count="1">
            <x v="21"/>
          </reference>
        </references>
      </pivotArea>
    </format>
    <format dxfId="1797">
      <pivotArea dataOnly="0" labelOnly="1" fieldPosition="0">
        <references count="1">
          <reference field="25" count="1">
            <x v="21"/>
          </reference>
        </references>
      </pivotArea>
    </format>
    <format dxfId="1796">
      <pivotArea collapsedLevelsAreSubtotals="1" fieldPosition="0">
        <references count="1">
          <reference field="25" count="1">
            <x v="4"/>
          </reference>
        </references>
      </pivotArea>
    </format>
    <format dxfId="1795">
      <pivotArea dataOnly="0" labelOnly="1" fieldPosition="0">
        <references count="1">
          <reference field="25" count="1">
            <x v="4"/>
          </reference>
        </references>
      </pivotArea>
    </format>
    <format dxfId="1794">
      <pivotArea collapsedLevelsAreSubtotals="1" fieldPosition="0">
        <references count="1">
          <reference field="25" count="1">
            <x v="4"/>
          </reference>
        </references>
      </pivotArea>
    </format>
    <format dxfId="1793">
      <pivotArea dataOnly="0" labelOnly="1" fieldPosition="0">
        <references count="1">
          <reference field="25" count="1">
            <x v="4"/>
          </reference>
        </references>
      </pivotArea>
    </format>
    <format dxfId="1792">
      <pivotArea collapsedLevelsAreSubtotals="1" fieldPosition="0">
        <references count="1">
          <reference field="25" count="1">
            <x v="108"/>
          </reference>
        </references>
      </pivotArea>
    </format>
    <format dxfId="1791">
      <pivotArea dataOnly="0" labelOnly="1" fieldPosition="0">
        <references count="1">
          <reference field="25" count="1">
            <x v="108"/>
          </reference>
        </references>
      </pivotArea>
    </format>
    <format dxfId="1790">
      <pivotArea collapsedLevelsAreSubtotals="1" fieldPosition="0">
        <references count="1">
          <reference field="25" count="1">
            <x v="108"/>
          </reference>
        </references>
      </pivotArea>
    </format>
    <format dxfId="1789">
      <pivotArea dataOnly="0" labelOnly="1" fieldPosition="0">
        <references count="1">
          <reference field="25" count="1">
            <x v="108"/>
          </reference>
        </references>
      </pivotArea>
    </format>
    <format dxfId="1788">
      <pivotArea collapsedLevelsAreSubtotals="1" fieldPosition="0">
        <references count="1">
          <reference field="25" count="1">
            <x v="84"/>
          </reference>
        </references>
      </pivotArea>
    </format>
    <format dxfId="1787">
      <pivotArea dataOnly="0" labelOnly="1" fieldPosition="0">
        <references count="1">
          <reference field="25" count="1">
            <x v="84"/>
          </reference>
        </references>
      </pivotArea>
    </format>
    <format dxfId="1786">
      <pivotArea collapsedLevelsAreSubtotals="1" fieldPosition="0">
        <references count="1">
          <reference field="25" count="1">
            <x v="84"/>
          </reference>
        </references>
      </pivotArea>
    </format>
    <format dxfId="1785">
      <pivotArea dataOnly="0" labelOnly="1" fieldPosition="0">
        <references count="1">
          <reference field="25" count="1">
            <x v="84"/>
          </reference>
        </references>
      </pivotArea>
    </format>
    <format dxfId="1784">
      <pivotArea collapsedLevelsAreSubtotals="1" fieldPosition="0">
        <references count="1">
          <reference field="25" count="1">
            <x v="100"/>
          </reference>
        </references>
      </pivotArea>
    </format>
    <format dxfId="1783">
      <pivotArea dataOnly="0" labelOnly="1" fieldPosition="0">
        <references count="1">
          <reference field="25" count="1">
            <x v="100"/>
          </reference>
        </references>
      </pivotArea>
    </format>
    <format dxfId="1782">
      <pivotArea collapsedLevelsAreSubtotals="1" fieldPosition="0">
        <references count="1">
          <reference field="25" count="1">
            <x v="100"/>
          </reference>
        </references>
      </pivotArea>
    </format>
    <format dxfId="1781">
      <pivotArea dataOnly="0" labelOnly="1" fieldPosition="0">
        <references count="1">
          <reference field="25" count="1">
            <x v="100"/>
          </reference>
        </references>
      </pivotArea>
    </format>
    <format dxfId="1780">
      <pivotArea collapsedLevelsAreSubtotals="1" fieldPosition="0">
        <references count="1">
          <reference field="25" count="1">
            <x v="33"/>
          </reference>
        </references>
      </pivotArea>
    </format>
    <format dxfId="1779">
      <pivotArea dataOnly="0" labelOnly="1" fieldPosition="0">
        <references count="1">
          <reference field="25" count="1">
            <x v="33"/>
          </reference>
        </references>
      </pivotArea>
    </format>
    <format dxfId="1778">
      <pivotArea collapsedLevelsAreSubtotals="1" fieldPosition="0">
        <references count="1">
          <reference field="25" count="1">
            <x v="33"/>
          </reference>
        </references>
      </pivotArea>
    </format>
    <format dxfId="1777">
      <pivotArea dataOnly="0" labelOnly="1" fieldPosition="0">
        <references count="1">
          <reference field="25" count="1">
            <x v="33"/>
          </reference>
        </references>
      </pivotArea>
    </format>
    <format dxfId="1776">
      <pivotArea collapsedLevelsAreSubtotals="1" fieldPosition="0">
        <references count="1">
          <reference field="25" count="1">
            <x v="44"/>
          </reference>
        </references>
      </pivotArea>
    </format>
    <format dxfId="1775">
      <pivotArea dataOnly="0" labelOnly="1" fieldPosition="0">
        <references count="1">
          <reference field="25" count="1">
            <x v="44"/>
          </reference>
        </references>
      </pivotArea>
    </format>
    <format dxfId="1774">
      <pivotArea collapsedLevelsAreSubtotals="1" fieldPosition="0">
        <references count="1">
          <reference field="25" count="1">
            <x v="44"/>
          </reference>
        </references>
      </pivotArea>
    </format>
    <format dxfId="1773">
      <pivotArea dataOnly="0" labelOnly="1" fieldPosition="0">
        <references count="1">
          <reference field="25" count="1">
            <x v="44"/>
          </reference>
        </references>
      </pivotArea>
    </format>
    <format dxfId="1772">
      <pivotArea collapsedLevelsAreSubtotals="1" fieldPosition="0">
        <references count="1">
          <reference field="25" count="1">
            <x v="49"/>
          </reference>
        </references>
      </pivotArea>
    </format>
    <format dxfId="1771">
      <pivotArea dataOnly="0" labelOnly="1" fieldPosition="0">
        <references count="1">
          <reference field="25" count="1">
            <x v="49"/>
          </reference>
        </references>
      </pivotArea>
    </format>
    <format dxfId="1770">
      <pivotArea collapsedLevelsAreSubtotals="1" fieldPosition="0">
        <references count="1">
          <reference field="25" count="1">
            <x v="49"/>
          </reference>
        </references>
      </pivotArea>
    </format>
    <format dxfId="1769">
      <pivotArea dataOnly="0" labelOnly="1" fieldPosition="0">
        <references count="1">
          <reference field="25" count="1">
            <x v="49"/>
          </reference>
        </references>
      </pivotArea>
    </format>
    <format dxfId="1768">
      <pivotArea collapsedLevelsAreSubtotals="1" fieldPosition="0">
        <references count="1">
          <reference field="25" count="1">
            <x v="38"/>
          </reference>
        </references>
      </pivotArea>
    </format>
    <format dxfId="1767">
      <pivotArea dataOnly="0" labelOnly="1" fieldPosition="0">
        <references count="1">
          <reference field="25" count="1">
            <x v="38"/>
          </reference>
        </references>
      </pivotArea>
    </format>
    <format dxfId="1766">
      <pivotArea collapsedLevelsAreSubtotals="1" fieldPosition="0">
        <references count="1">
          <reference field="25" count="1">
            <x v="38"/>
          </reference>
        </references>
      </pivotArea>
    </format>
    <format dxfId="1765">
      <pivotArea dataOnly="0" labelOnly="1" fieldPosition="0">
        <references count="1">
          <reference field="25" count="1">
            <x v="38"/>
          </reference>
        </references>
      </pivotArea>
    </format>
    <format dxfId="1764">
      <pivotArea collapsedLevelsAreSubtotals="1" fieldPosition="0">
        <references count="1">
          <reference field="25" count="1">
            <x v="27"/>
          </reference>
        </references>
      </pivotArea>
    </format>
    <format dxfId="1763">
      <pivotArea dataOnly="0" labelOnly="1" fieldPosition="0">
        <references count="1">
          <reference field="25" count="1">
            <x v="27"/>
          </reference>
        </references>
      </pivotArea>
    </format>
    <format dxfId="1762">
      <pivotArea collapsedLevelsAreSubtotals="1" fieldPosition="0">
        <references count="1">
          <reference field="25" count="1">
            <x v="27"/>
          </reference>
        </references>
      </pivotArea>
    </format>
    <format dxfId="1761">
      <pivotArea dataOnly="0" labelOnly="1" fieldPosition="0">
        <references count="1">
          <reference field="25" count="1">
            <x v="27"/>
          </reference>
        </references>
      </pivotArea>
    </format>
    <format dxfId="1760">
      <pivotArea collapsedLevelsAreSubtotals="1" fieldPosition="0">
        <references count="1">
          <reference field="25" count="1">
            <x v="9"/>
          </reference>
        </references>
      </pivotArea>
    </format>
    <format dxfId="1759">
      <pivotArea dataOnly="0" labelOnly="1" fieldPosition="0">
        <references count="1">
          <reference field="25" count="1">
            <x v="9"/>
          </reference>
        </references>
      </pivotArea>
    </format>
    <format dxfId="1758">
      <pivotArea collapsedLevelsAreSubtotals="1" fieldPosition="0">
        <references count="1">
          <reference field="25" count="1">
            <x v="9"/>
          </reference>
        </references>
      </pivotArea>
    </format>
    <format dxfId="1757">
      <pivotArea dataOnly="0" labelOnly="1" fieldPosition="0">
        <references count="1">
          <reference field="25" count="1">
            <x v="9"/>
          </reference>
        </references>
      </pivotArea>
    </format>
    <format dxfId="1756">
      <pivotArea collapsedLevelsAreSubtotals="1" fieldPosition="0">
        <references count="1">
          <reference field="25" count="1">
            <x v="29"/>
          </reference>
        </references>
      </pivotArea>
    </format>
    <format dxfId="1755">
      <pivotArea dataOnly="0" labelOnly="1" fieldPosition="0">
        <references count="1">
          <reference field="25" count="1">
            <x v="29"/>
          </reference>
        </references>
      </pivotArea>
    </format>
    <format dxfId="1754">
      <pivotArea collapsedLevelsAreSubtotals="1" fieldPosition="0">
        <references count="1">
          <reference field="25" count="1">
            <x v="29"/>
          </reference>
        </references>
      </pivotArea>
    </format>
    <format dxfId="1753">
      <pivotArea dataOnly="0" labelOnly="1" fieldPosition="0">
        <references count="1">
          <reference field="25" count="1">
            <x v="29"/>
          </reference>
        </references>
      </pivotArea>
    </format>
    <format dxfId="1752">
      <pivotArea collapsedLevelsAreSubtotals="1" fieldPosition="0">
        <references count="1">
          <reference field="25" count="1">
            <x v="65"/>
          </reference>
        </references>
      </pivotArea>
    </format>
    <format dxfId="1751">
      <pivotArea dataOnly="0" labelOnly="1" fieldPosition="0">
        <references count="1">
          <reference field="25" count="1">
            <x v="65"/>
          </reference>
        </references>
      </pivotArea>
    </format>
    <format dxfId="1750">
      <pivotArea collapsedLevelsAreSubtotals="1" fieldPosition="0">
        <references count="1">
          <reference field="25" count="1">
            <x v="65"/>
          </reference>
        </references>
      </pivotArea>
    </format>
    <format dxfId="1749">
      <pivotArea dataOnly="0" labelOnly="1" fieldPosition="0">
        <references count="1">
          <reference field="25" count="1">
            <x v="65"/>
          </reference>
        </references>
      </pivotArea>
    </format>
    <format dxfId="1748">
      <pivotArea collapsedLevelsAreSubtotals="1" fieldPosition="0">
        <references count="1">
          <reference field="25" count="1">
            <x v="104"/>
          </reference>
        </references>
      </pivotArea>
    </format>
    <format dxfId="1747">
      <pivotArea dataOnly="0" labelOnly="1" fieldPosition="0">
        <references count="1">
          <reference field="25" count="1">
            <x v="104"/>
          </reference>
        </references>
      </pivotArea>
    </format>
    <format dxfId="1746">
      <pivotArea collapsedLevelsAreSubtotals="1" fieldPosition="0">
        <references count="1">
          <reference field="25" count="1">
            <x v="104"/>
          </reference>
        </references>
      </pivotArea>
    </format>
    <format dxfId="1745">
      <pivotArea dataOnly="0" labelOnly="1" fieldPosition="0">
        <references count="1">
          <reference field="25" count="1">
            <x v="104"/>
          </reference>
        </references>
      </pivotArea>
    </format>
    <format dxfId="1744">
      <pivotArea collapsedLevelsAreSubtotals="1" fieldPosition="0">
        <references count="1">
          <reference field="25" count="1">
            <x v="82"/>
          </reference>
        </references>
      </pivotArea>
    </format>
    <format dxfId="1743">
      <pivotArea dataOnly="0" labelOnly="1" fieldPosition="0">
        <references count="1">
          <reference field="25" count="1">
            <x v="82"/>
          </reference>
        </references>
      </pivotArea>
    </format>
    <format dxfId="1742">
      <pivotArea collapsedLevelsAreSubtotals="1" fieldPosition="0">
        <references count="1">
          <reference field="25" count="1">
            <x v="82"/>
          </reference>
        </references>
      </pivotArea>
    </format>
    <format dxfId="1741">
      <pivotArea dataOnly="0" labelOnly="1" fieldPosition="0">
        <references count="1">
          <reference field="25" count="1">
            <x v="82"/>
          </reference>
        </references>
      </pivotArea>
    </format>
    <format dxfId="1740">
      <pivotArea collapsedLevelsAreSubtotals="1" fieldPosition="0">
        <references count="1">
          <reference field="25" count="1">
            <x v="68"/>
          </reference>
        </references>
      </pivotArea>
    </format>
    <format dxfId="1739">
      <pivotArea dataOnly="0" labelOnly="1" fieldPosition="0">
        <references count="1">
          <reference field="25" count="1">
            <x v="68"/>
          </reference>
        </references>
      </pivotArea>
    </format>
    <format dxfId="1738">
      <pivotArea collapsedLevelsAreSubtotals="1" fieldPosition="0">
        <references count="1">
          <reference field="25" count="1">
            <x v="68"/>
          </reference>
        </references>
      </pivotArea>
    </format>
    <format dxfId="1737">
      <pivotArea dataOnly="0" labelOnly="1" fieldPosition="0">
        <references count="1">
          <reference field="25" count="1">
            <x v="68"/>
          </reference>
        </references>
      </pivotArea>
    </format>
    <format dxfId="1736">
      <pivotArea collapsedLevelsAreSubtotals="1" fieldPosition="0">
        <references count="1">
          <reference field="25" count="1">
            <x v="31"/>
          </reference>
        </references>
      </pivotArea>
    </format>
    <format dxfId="1735">
      <pivotArea dataOnly="0" labelOnly="1" fieldPosition="0">
        <references count="1">
          <reference field="25" count="1">
            <x v="31"/>
          </reference>
        </references>
      </pivotArea>
    </format>
    <format dxfId="1734">
      <pivotArea collapsedLevelsAreSubtotals="1" fieldPosition="0">
        <references count="1">
          <reference field="25" count="1">
            <x v="31"/>
          </reference>
        </references>
      </pivotArea>
    </format>
    <format dxfId="1733">
      <pivotArea dataOnly="0" labelOnly="1" fieldPosition="0">
        <references count="1">
          <reference field="25" count="1">
            <x v="31"/>
          </reference>
        </references>
      </pivotArea>
    </format>
    <format dxfId="1732">
      <pivotArea collapsedLevelsAreSubtotals="1" fieldPosition="0">
        <references count="1">
          <reference field="25" count="1">
            <x v="58"/>
          </reference>
        </references>
      </pivotArea>
    </format>
    <format dxfId="1731">
      <pivotArea dataOnly="0" labelOnly="1" fieldPosition="0">
        <references count="1">
          <reference field="25" count="1">
            <x v="58"/>
          </reference>
        </references>
      </pivotArea>
    </format>
    <format dxfId="1730">
      <pivotArea collapsedLevelsAreSubtotals="1" fieldPosition="0">
        <references count="1">
          <reference field="25" count="1">
            <x v="58"/>
          </reference>
        </references>
      </pivotArea>
    </format>
    <format dxfId="1729">
      <pivotArea dataOnly="0" labelOnly="1" fieldPosition="0">
        <references count="1">
          <reference field="25" count="1">
            <x v="58"/>
          </reference>
        </references>
      </pivotArea>
    </format>
    <format dxfId="1728">
      <pivotArea collapsedLevelsAreSubtotals="1" fieldPosition="0">
        <references count="1">
          <reference field="25" count="1">
            <x v="5"/>
          </reference>
        </references>
      </pivotArea>
    </format>
    <format dxfId="1727">
      <pivotArea dataOnly="0" labelOnly="1" fieldPosition="0">
        <references count="1">
          <reference field="25" count="1">
            <x v="5"/>
          </reference>
        </references>
      </pivotArea>
    </format>
    <format dxfId="1726">
      <pivotArea collapsedLevelsAreSubtotals="1" fieldPosition="0">
        <references count="1">
          <reference field="25" count="1">
            <x v="5"/>
          </reference>
        </references>
      </pivotArea>
    </format>
    <format dxfId="1725">
      <pivotArea dataOnly="0" labelOnly="1" fieldPosition="0">
        <references count="1">
          <reference field="25" count="1">
            <x v="5"/>
          </reference>
        </references>
      </pivotArea>
    </format>
    <format dxfId="1724">
      <pivotArea collapsedLevelsAreSubtotals="1" fieldPosition="0">
        <references count="1">
          <reference field="25" count="1">
            <x v="99"/>
          </reference>
        </references>
      </pivotArea>
    </format>
    <format dxfId="1723">
      <pivotArea dataOnly="0" labelOnly="1" fieldPosition="0">
        <references count="1">
          <reference field="25" count="1">
            <x v="99"/>
          </reference>
        </references>
      </pivotArea>
    </format>
    <format dxfId="1722">
      <pivotArea collapsedLevelsAreSubtotals="1" fieldPosition="0">
        <references count="1">
          <reference field="25" count="1">
            <x v="99"/>
          </reference>
        </references>
      </pivotArea>
    </format>
    <format dxfId="1721">
      <pivotArea dataOnly="0" labelOnly="1" fieldPosition="0">
        <references count="1">
          <reference field="25" count="1">
            <x v="99"/>
          </reference>
        </references>
      </pivotArea>
    </format>
    <format dxfId="1720">
      <pivotArea collapsedLevelsAreSubtotals="1" fieldPosition="0">
        <references count="1">
          <reference field="25" count="1">
            <x v="102"/>
          </reference>
        </references>
      </pivotArea>
    </format>
    <format dxfId="1719">
      <pivotArea dataOnly="0" labelOnly="1" fieldPosition="0">
        <references count="1">
          <reference field="25" count="1">
            <x v="102"/>
          </reference>
        </references>
      </pivotArea>
    </format>
    <format dxfId="1718">
      <pivotArea collapsedLevelsAreSubtotals="1" fieldPosition="0">
        <references count="1">
          <reference field="25" count="1">
            <x v="102"/>
          </reference>
        </references>
      </pivotArea>
    </format>
    <format dxfId="1717">
      <pivotArea dataOnly="0" labelOnly="1" fieldPosition="0">
        <references count="1">
          <reference field="25" count="1">
            <x v="102"/>
          </reference>
        </references>
      </pivotArea>
    </format>
    <format dxfId="1716">
      <pivotArea collapsedLevelsAreSubtotals="1" fieldPosition="0">
        <references count="1">
          <reference field="25" count="1">
            <x v="51"/>
          </reference>
        </references>
      </pivotArea>
    </format>
    <format dxfId="1715">
      <pivotArea dataOnly="0" labelOnly="1" fieldPosition="0">
        <references count="1">
          <reference field="25" count="1">
            <x v="51"/>
          </reference>
        </references>
      </pivotArea>
    </format>
    <format dxfId="1714">
      <pivotArea collapsedLevelsAreSubtotals="1" fieldPosition="0">
        <references count="1">
          <reference field="25" count="1">
            <x v="51"/>
          </reference>
        </references>
      </pivotArea>
    </format>
    <format dxfId="1713">
      <pivotArea dataOnly="0" labelOnly="1" fieldPosition="0">
        <references count="1">
          <reference field="25" count="1">
            <x v="51"/>
          </reference>
        </references>
      </pivotArea>
    </format>
    <format dxfId="1712">
      <pivotArea collapsedLevelsAreSubtotals="1" fieldPosition="0">
        <references count="1">
          <reference field="25" count="1">
            <x v="89"/>
          </reference>
        </references>
      </pivotArea>
    </format>
    <format dxfId="1711">
      <pivotArea dataOnly="0" labelOnly="1" fieldPosition="0">
        <references count="1">
          <reference field="25" count="1">
            <x v="89"/>
          </reference>
        </references>
      </pivotArea>
    </format>
    <format dxfId="1710">
      <pivotArea collapsedLevelsAreSubtotals="1" fieldPosition="0">
        <references count="1">
          <reference field="25" count="1">
            <x v="89"/>
          </reference>
        </references>
      </pivotArea>
    </format>
    <format dxfId="1709">
      <pivotArea dataOnly="0" labelOnly="1" fieldPosition="0">
        <references count="1">
          <reference field="25" count="1">
            <x v="89"/>
          </reference>
        </references>
      </pivotArea>
    </format>
    <format dxfId="1708">
      <pivotArea collapsedLevelsAreSubtotals="1" fieldPosition="0">
        <references count="1">
          <reference field="25" count="1">
            <x v="48"/>
          </reference>
        </references>
      </pivotArea>
    </format>
    <format dxfId="1707">
      <pivotArea dataOnly="0" labelOnly="1" fieldPosition="0">
        <references count="1">
          <reference field="25" count="1">
            <x v="48"/>
          </reference>
        </references>
      </pivotArea>
    </format>
    <format dxfId="1706">
      <pivotArea collapsedLevelsAreSubtotals="1" fieldPosition="0">
        <references count="1">
          <reference field="25" count="1">
            <x v="48"/>
          </reference>
        </references>
      </pivotArea>
    </format>
    <format dxfId="1705">
      <pivotArea dataOnly="0" labelOnly="1" fieldPosition="0">
        <references count="1">
          <reference field="25" count="1">
            <x v="48"/>
          </reference>
        </references>
      </pivotArea>
    </format>
    <format dxfId="1704">
      <pivotArea collapsedLevelsAreSubtotals="1" fieldPosition="0">
        <references count="1">
          <reference field="25" count="1">
            <x v="24"/>
          </reference>
        </references>
      </pivotArea>
    </format>
    <format dxfId="1703">
      <pivotArea dataOnly="0" labelOnly="1" fieldPosition="0">
        <references count="1">
          <reference field="25" count="1">
            <x v="24"/>
          </reference>
        </references>
      </pivotArea>
    </format>
    <format dxfId="1702">
      <pivotArea collapsedLevelsAreSubtotals="1" fieldPosition="0">
        <references count="1">
          <reference field="25" count="1">
            <x v="24"/>
          </reference>
        </references>
      </pivotArea>
    </format>
    <format dxfId="1701">
      <pivotArea dataOnly="0" labelOnly="1" fieldPosition="0">
        <references count="1">
          <reference field="25" count="1">
            <x v="24"/>
          </reference>
        </references>
      </pivotArea>
    </format>
    <format dxfId="1700">
      <pivotArea grandRow="1" outline="0" collapsedLevelsAreSubtotals="1" fieldPosition="0"/>
    </format>
    <format dxfId="1699">
      <pivotArea dataOnly="0" labelOnly="1" grandRow="1" outline="0" fieldPosition="0"/>
    </format>
    <format dxfId="1698">
      <pivotArea grandRow="1" outline="0" collapsedLevelsAreSubtotals="1" fieldPosition="0"/>
    </format>
    <format dxfId="1697">
      <pivotArea dataOnly="0" labelOnly="1" grandRow="1" outline="0" fieldPosition="0"/>
    </format>
    <format dxfId="1696">
      <pivotArea grandRow="1" outline="0" collapsedLevelsAreSubtotals="1" fieldPosition="0"/>
    </format>
    <format dxfId="1695">
      <pivotArea dataOnly="0" labelOnly="1" grandRow="1" outline="0" fieldPosition="0"/>
    </format>
    <format>
      <pivotArea type="all" dataOnly="0" outline="0" fieldPosition="0"/>
    </format>
    <format>
      <pivotArea type="origin" dataOnly="0" labelOnly="1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 dxfId="1694">
      <pivotArea type="origin" dataOnly="0" labelOnly="1" outline="0" fieldPosition="0"/>
    </format>
    <format dxfId="1693">
      <pivotArea field="36" type="button" dataOnly="0" labelOnly="1" outline="0" axis="axisCol" fieldPosition="0"/>
    </format>
    <format dxfId="1692">
      <pivotArea type="topRight" dataOnly="0" labelOnly="1" outline="0" fieldPosition="0"/>
    </format>
    <format dxfId="1691">
      <pivotArea type="origin" dataOnly="0" labelOnly="1" outline="0" fieldPosition="0"/>
    </format>
    <format dxfId="1690">
      <pivotArea field="36" type="button" dataOnly="0" labelOnly="1" outline="0" axis="axisCol" fieldPosition="0"/>
    </format>
    <format dxfId="1689">
      <pivotArea type="topRight" dataOnly="0" labelOnly="1" outline="0" fieldPosition="0"/>
    </format>
    <format dxfId="1688">
      <pivotArea type="origin" dataOnly="0" labelOnly="1" outline="0" fieldPosition="0"/>
    </format>
    <format dxfId="1687">
      <pivotArea field="36" type="button" dataOnly="0" labelOnly="1" outline="0" axis="axisCol" fieldPosition="0"/>
    </format>
    <format dxfId="1686">
      <pivotArea type="topRight" dataOnly="0" labelOnly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type="origin" dataOnly="0" labelOnly="1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field="25" type="button" dataOnly="0" labelOnly="1" outline="0" axis="axisRow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8"/>
            <x v="9"/>
            <x v="12"/>
            <x v="14"/>
            <x v="15"/>
            <x v="17"/>
            <x v="18"/>
            <x v="19"/>
            <x v="21"/>
            <x v="22"/>
            <x v="23"/>
            <x v="27"/>
            <x v="28"/>
            <x v="29"/>
            <x v="30"/>
            <x v="33"/>
            <x v="36"/>
            <x v="37"/>
            <x v="38"/>
            <x v="39"/>
            <x v="41"/>
            <x v="42"/>
            <x v="43"/>
            <x v="44"/>
            <x v="46"/>
            <x v="49"/>
            <x v="50"/>
            <x v="53"/>
            <x v="54"/>
            <x v="56"/>
            <x v="59"/>
            <x v="69"/>
            <x v="70"/>
            <x v="73"/>
            <x v="81"/>
            <x v="84"/>
            <x v="92"/>
            <x v="94"/>
            <x v="97"/>
            <x v="100"/>
            <x v="103"/>
            <x v="105"/>
            <x v="106"/>
            <x v="107"/>
            <x v="108"/>
          </reference>
        </references>
      </pivotArea>
    </format>
    <format>
      <pivotArea dataOnly="0" labelOnly="1" fieldPosition="0">
        <references count="1">
          <reference field="25" count="13">
            <x v="5"/>
            <x v="24"/>
            <x v="31"/>
            <x v="48"/>
            <x v="51"/>
            <x v="58"/>
            <x v="65"/>
            <x v="68"/>
            <x v="82"/>
            <x v="89"/>
            <x v="99"/>
            <x v="102"/>
            <x v="104"/>
          </reference>
        </references>
      </pivotArea>
    </format>
    <format>
      <pivotArea dataOnly="0" labelOnly="1" grandRow="1" outline="0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rifa_Aging_Inclusao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M122:N127" firstHeaderRow="1" firstDataRow="1" firstDataCol="1" rowPageCount="1" colPageCount="1"/>
  <pivotFields count="45">
    <pivotField showAll="0"/>
    <pivotField showAll="0"/>
    <pivotField showAll="0"/>
    <pivotField showAll="0">
      <items count="516">
        <item x="514"/>
        <item x="0"/>
        <item x="1"/>
        <item x="2"/>
        <item x="3"/>
        <item x="4"/>
        <item x="5"/>
        <item x="8"/>
        <item x="9"/>
        <item x="6"/>
        <item x="21"/>
        <item x="12"/>
        <item x="10"/>
        <item x="7"/>
        <item x="15"/>
        <item x="16"/>
        <item x="13"/>
        <item x="37"/>
        <item x="14"/>
        <item x="17"/>
        <item x="11"/>
        <item x="32"/>
        <item x="26"/>
        <item x="27"/>
        <item x="36"/>
        <item x="33"/>
        <item x="18"/>
        <item x="20"/>
        <item x="19"/>
        <item x="47"/>
        <item x="38"/>
        <item x="48"/>
        <item x="45"/>
        <item x="28"/>
        <item x="41"/>
        <item x="46"/>
        <item x="25"/>
        <item x="34"/>
        <item x="22"/>
        <item x="23"/>
        <item x="24"/>
        <item x="39"/>
        <item x="43"/>
        <item x="64"/>
        <item x="77"/>
        <item x="79"/>
        <item x="40"/>
        <item x="42"/>
        <item x="84"/>
        <item x="83"/>
        <item x="35"/>
        <item x="91"/>
        <item x="52"/>
        <item x="73"/>
        <item x="76"/>
        <item x="74"/>
        <item x="78"/>
        <item x="87"/>
        <item x="51"/>
        <item x="54"/>
        <item x="57"/>
        <item x="58"/>
        <item x="90"/>
        <item x="55"/>
        <item x="59"/>
        <item x="60"/>
        <item x="61"/>
        <item x="82"/>
        <item x="100"/>
        <item x="63"/>
        <item x="67"/>
        <item x="68"/>
        <item x="69"/>
        <item x="81"/>
        <item x="88"/>
        <item x="97"/>
        <item x="75"/>
        <item x="96"/>
        <item x="102"/>
        <item x="49"/>
        <item x="53"/>
        <item x="66"/>
        <item x="71"/>
        <item x="80"/>
        <item x="85"/>
        <item x="92"/>
        <item x="93"/>
        <item x="95"/>
        <item x="98"/>
        <item x="99"/>
        <item x="50"/>
        <item x="62"/>
        <item x="72"/>
        <item x="70"/>
        <item x="86"/>
        <item x="107"/>
        <item x="101"/>
        <item x="56"/>
        <item x="181"/>
        <item x="180"/>
        <item x="189"/>
        <item x="89"/>
        <item x="206"/>
        <item x="103"/>
        <item x="105"/>
        <item x="104"/>
        <item x="109"/>
        <item x="108"/>
        <item x="110"/>
        <item x="120"/>
        <item x="121"/>
        <item x="122"/>
        <item x="129"/>
        <item x="127"/>
        <item x="128"/>
        <item x="147"/>
        <item x="167"/>
        <item x="191"/>
        <item x="204"/>
        <item x="205"/>
        <item x="208"/>
        <item x="44"/>
        <item x="65"/>
        <item x="115"/>
        <item x="126"/>
        <item x="112"/>
        <item x="175"/>
        <item x="196"/>
        <item x="195"/>
        <item x="207"/>
        <item x="111"/>
        <item x="162"/>
        <item x="163"/>
        <item x="164"/>
        <item x="165"/>
        <item x="198"/>
        <item x="209"/>
        <item x="193"/>
        <item x="113"/>
        <item x="114"/>
        <item x="130"/>
        <item x="131"/>
        <item x="148"/>
        <item x="160"/>
        <item x="143"/>
        <item x="144"/>
        <item x="159"/>
        <item x="125"/>
        <item x="166"/>
        <item x="161"/>
        <item x="171"/>
        <item x="170"/>
        <item x="173"/>
        <item x="182"/>
        <item x="184"/>
        <item x="185"/>
        <item x="186"/>
        <item x="187"/>
        <item x="123"/>
        <item x="137"/>
        <item x="117"/>
        <item x="106"/>
        <item x="116"/>
        <item x="119"/>
        <item x="124"/>
        <item x="145"/>
        <item x="146"/>
        <item x="158"/>
        <item x="157"/>
        <item x="138"/>
        <item x="139"/>
        <item x="140"/>
        <item x="141"/>
        <item x="142"/>
        <item x="133"/>
        <item x="134"/>
        <item x="135"/>
        <item x="136"/>
        <item x="132"/>
        <item x="151"/>
        <item x="149"/>
        <item x="150"/>
        <item x="169"/>
        <item x="168"/>
        <item x="172"/>
        <item x="174"/>
        <item x="178"/>
        <item x="179"/>
        <item x="188"/>
        <item x="194"/>
        <item x="201"/>
        <item x="202"/>
        <item x="199"/>
        <item x="200"/>
        <item x="197"/>
        <item x="210"/>
        <item x="211"/>
        <item x="190"/>
        <item x="226"/>
        <item x="233"/>
        <item x="118"/>
        <item x="250"/>
        <item x="260"/>
        <item x="152"/>
        <item x="153"/>
        <item x="154"/>
        <item x="155"/>
        <item x="156"/>
        <item x="183"/>
        <item x="374"/>
        <item x="390"/>
        <item x="388"/>
        <item x="278"/>
        <item x="284"/>
        <item x="286"/>
        <item x="290"/>
        <item x="291"/>
        <item x="263"/>
        <item x="274"/>
        <item x="315"/>
        <item x="316"/>
        <item x="363"/>
        <item x="372"/>
        <item x="176"/>
        <item x="177"/>
        <item x="213"/>
        <item x="385"/>
        <item x="243"/>
        <item x="399"/>
        <item x="400"/>
        <item x="293"/>
        <item x="294"/>
        <item x="299"/>
        <item x="304"/>
        <item x="311"/>
        <item x="317"/>
        <item x="318"/>
        <item x="331"/>
        <item x="330"/>
        <item x="192"/>
        <item x="380"/>
        <item x="386"/>
        <item x="393"/>
        <item x="401"/>
        <item x="398"/>
        <item x="222"/>
        <item x="262"/>
        <item x="268"/>
        <item x="289"/>
        <item x="303"/>
        <item x="309"/>
        <item x="345"/>
        <item x="212"/>
        <item x="220"/>
        <item x="223"/>
        <item x="373"/>
        <item x="241"/>
        <item x="242"/>
        <item x="261"/>
        <item x="247"/>
        <item x="264"/>
        <item x="265"/>
        <item x="267"/>
        <item x="246"/>
        <item x="270"/>
        <item x="283"/>
        <item x="287"/>
        <item x="302"/>
        <item x="307"/>
        <item x="312"/>
        <item x="310"/>
        <item x="319"/>
        <item x="320"/>
        <item x="321"/>
        <item x="335"/>
        <item x="328"/>
        <item x="329"/>
        <item x="332"/>
        <item x="327"/>
        <item x="349"/>
        <item x="366"/>
        <item x="371"/>
        <item x="381"/>
        <item x="387"/>
        <item x="391"/>
        <item x="392"/>
        <item x="394"/>
        <item x="395"/>
        <item x="29"/>
        <item x="30"/>
        <item x="31"/>
        <item x="94"/>
        <item x="383"/>
        <item x="259"/>
        <item x="266"/>
        <item x="276"/>
        <item x="281"/>
        <item x="288"/>
        <item x="301"/>
        <item x="305"/>
        <item x="314"/>
        <item x="313"/>
        <item x="326"/>
        <item x="353"/>
        <item x="348"/>
        <item x="375"/>
        <item x="376"/>
        <item x="378"/>
        <item x="379"/>
        <item x="203"/>
        <item x="402"/>
        <item x="215"/>
        <item x="219"/>
        <item x="248"/>
        <item x="249"/>
        <item x="239"/>
        <item x="240"/>
        <item x="238"/>
        <item x="251"/>
        <item x="252"/>
        <item x="369"/>
        <item x="370"/>
        <item x="282"/>
        <item x="295"/>
        <item x="236"/>
        <item x="306"/>
        <item x="300"/>
        <item x="342"/>
        <item x="340"/>
        <item x="339"/>
        <item x="341"/>
        <item x="367"/>
        <item x="384"/>
        <item x="389"/>
        <item x="397"/>
        <item x="214"/>
        <item x="216"/>
        <item x="217"/>
        <item x="218"/>
        <item x="221"/>
        <item x="224"/>
        <item x="225"/>
        <item x="227"/>
        <item x="228"/>
        <item x="229"/>
        <item x="230"/>
        <item x="231"/>
        <item x="232"/>
        <item x="234"/>
        <item x="235"/>
        <item x="237"/>
        <item x="244"/>
        <item x="245"/>
        <item x="253"/>
        <item x="254"/>
        <item x="255"/>
        <item x="256"/>
        <item x="257"/>
        <item x="258"/>
        <item x="269"/>
        <item x="271"/>
        <item x="272"/>
        <item x="273"/>
        <item x="275"/>
        <item x="277"/>
        <item x="279"/>
        <item x="280"/>
        <item x="285"/>
        <item x="292"/>
        <item x="296"/>
        <item x="297"/>
        <item x="298"/>
        <item x="308"/>
        <item x="322"/>
        <item x="323"/>
        <item x="324"/>
        <item x="325"/>
        <item x="333"/>
        <item x="334"/>
        <item x="336"/>
        <item x="337"/>
        <item x="338"/>
        <item x="343"/>
        <item x="344"/>
        <item x="346"/>
        <item x="347"/>
        <item x="350"/>
        <item x="351"/>
        <item x="352"/>
        <item x="354"/>
        <item x="355"/>
        <item x="356"/>
        <item x="357"/>
        <item x="358"/>
        <item x="359"/>
        <item x="360"/>
        <item x="361"/>
        <item x="362"/>
        <item x="364"/>
        <item x="365"/>
        <item x="368"/>
        <item x="377"/>
        <item x="382"/>
        <item x="396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t="default"/>
      </items>
    </pivotField>
    <pivotField showAll="0"/>
    <pivotField showAll="0"/>
    <pivotField axis="axisRow" showAll="0">
      <items count="9">
        <item x="6"/>
        <item x="5"/>
        <item x="4"/>
        <item x="3"/>
        <item x="2"/>
        <item x="1"/>
        <item x="0"/>
        <item h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8"/>
        <item m="1" x="1886"/>
        <item x="132"/>
        <item m="1" x="2907"/>
        <item x="121"/>
        <item m="1" x="2889"/>
        <item x="63"/>
        <item x="61"/>
        <item m="1" x="2778"/>
        <item m="1" x="565"/>
        <item m="1" x="3504"/>
        <item m="1" x="493"/>
        <item x="332"/>
        <item m="1" x="909"/>
        <item m="1" x="464"/>
        <item m="1" x="2331"/>
        <item x="175"/>
        <item x="134"/>
        <item x="182"/>
        <item m="1" x="3256"/>
        <item m="1" x="6542"/>
        <item m="1" x="2912"/>
        <item x="85"/>
        <item x="447"/>
        <item x="259"/>
        <item m="1" x="495"/>
        <item m="1" x="1189"/>
        <item m="1" x="559"/>
        <item m="1" x="2976"/>
        <item m="1" x="4838"/>
        <item x="359"/>
        <item m="1" x="3007"/>
        <item x="147"/>
        <item m="1" x="3628"/>
        <item m="1" x="3995"/>
        <item m="1" x="1965"/>
        <item m="1" x="4502"/>
        <item m="1" x="902"/>
        <item m="1" x="1042"/>
        <item m="1" x="468"/>
        <item x="56"/>
        <item m="1" x="910"/>
        <item x="444"/>
        <item m="1" x="2569"/>
        <item x="60"/>
        <item h="1" m="1" x="666"/>
        <item h="1" x="390"/>
        <item h="1" x="261"/>
        <item h="1" x="146"/>
        <item h="1" m="1" x="610"/>
        <item h="1" m="1" x="2894"/>
        <item h="1" m="1" x="778"/>
        <item h="1" x="140"/>
        <item h="1" x="342"/>
        <item h="1" m="1" x="897"/>
        <item h="1" m="1" x="1125"/>
        <item h="1" x="243"/>
        <item h="1" m="1" x="1750"/>
        <item h="1" m="1" x="1705"/>
        <item h="1" m="1" x="472"/>
        <item h="1" m="1" x="2633"/>
        <item h="1" x="131"/>
        <item h="1" x="20"/>
        <item h="1" x="92"/>
        <item h="1" x="129"/>
        <item h="1" m="1" x="2094"/>
        <item h="1" x="133"/>
        <item h="1" m="1" x="766"/>
        <item h="1" x="248"/>
        <item h="1" m="1" x="2981"/>
        <item h="1" m="1" x="4075"/>
        <item h="1" x="212"/>
        <item h="1" m="1" x="5950"/>
        <item h="1" m="1" x="463"/>
        <item h="1" m="1" x="457"/>
        <item h="1" m="1" x="2753"/>
        <item h="1" m="1" x="4661"/>
        <item h="1" m="1" x="6892"/>
        <item h="1" m="1" x="3439"/>
        <item h="1" m="1" x="1524"/>
        <item h="1" m="1" x="4135"/>
        <item h="1" m="1" x="6945"/>
        <item h="1" m="1" x="836"/>
        <item h="1" m="1" x="4882"/>
        <item h="1" m="1" x="6610"/>
        <item h="1" m="1" x="2170"/>
        <item h="1" m="1" x="667"/>
        <item h="1" x="40"/>
        <item h="1" x="114"/>
        <item h="1" m="1" x="2781"/>
        <item h="1" x="265"/>
        <item h="1" m="1" x="1586"/>
        <item h="1" x="126"/>
        <item h="1" m="1" x="531"/>
        <item h="1" m="1" x="2533"/>
        <item h="1" x="125"/>
        <item h="1" m="1" x="1223"/>
        <item h="1" m="1" x="3675"/>
        <item h="1" x="242"/>
        <item h="1" m="1" x="1532"/>
        <item h="1" m="1" x="997"/>
        <item h="1" m="1" x="2899"/>
        <item h="1" x="336"/>
        <item h="1" m="1" x="3859"/>
        <item h="1" m="1" x="2084"/>
        <item h="1" m="1" x="6535"/>
        <item h="1" m="1" x="3860"/>
        <item h="1" m="1" x="639"/>
        <item h="1" m="1" x="487"/>
        <item h="1" m="1" x="1034"/>
        <item h="1" x="93"/>
        <item h="1" m="1" x="2780"/>
        <item h="1" m="1" x="3736"/>
        <item h="1" x="239"/>
        <item h="1" x="184"/>
        <item h="1" m="1" x="4153"/>
        <item h="1" x="148"/>
        <item h="1" m="1" x="7986"/>
        <item h="1" m="1" x="5464"/>
        <item h="1" m="1" x="2132"/>
        <item h="1" m="1" x="2382"/>
        <item h="1" m="1" x="680"/>
        <item h="1" x="246"/>
        <item h="1" x="124"/>
        <item h="1" m="1" x="1748"/>
        <item h="1" x="249"/>
        <item h="1" m="1" x="918"/>
        <item h="1" m="1" x="2906"/>
        <item h="1" m="1" x="568"/>
        <item h="1" x="223"/>
        <item h="1" m="1" x="2550"/>
        <item h="1" m="1" x="1577"/>
        <item h="1" m="1" x="3332"/>
        <item h="1" m="1" x="3389"/>
        <item h="1" m="1" x="1967"/>
        <item h="1" m="1" x="3492"/>
        <item h="1" m="1" x="3901"/>
        <item h="1" m="1" x="7955"/>
        <item h="1" x="346"/>
        <item h="1" m="1" x="5933"/>
        <item h="1" m="1" x="7946"/>
        <item h="1" m="1" x="7874"/>
        <item h="1" m="1" x="5316"/>
        <item h="1" m="1" x="3911"/>
        <item h="1" m="1" x="4232"/>
        <item h="1" m="1" x="6098"/>
        <item h="1" m="1" x="1117"/>
        <item h="1" m="1" x="4008"/>
        <item h="1" m="1" x="3352"/>
        <item h="1" m="1" x="539"/>
        <item h="1" m="1" x="494"/>
        <item h="1" m="1" x="1775"/>
        <item h="1" m="1" x="1687"/>
        <item h="1" m="1" x="1904"/>
        <item h="1" m="1" x="7535"/>
        <item h="1" m="1" x="2785"/>
        <item h="1" m="1" x="3368"/>
        <item h="1" m="1" x="4668"/>
        <item h="1" m="1" x="7799"/>
        <item h="1" m="1" x="7534"/>
        <item h="1" m="1" x="6537"/>
        <item h="1" m="1" x="1912"/>
        <item h="1" m="1" x="2281"/>
        <item h="1" m="1" x="2892"/>
        <item h="1" m="1" x="563"/>
        <item h="1" m="1" x="1584"/>
        <item h="1" m="1" x="3044"/>
        <item h="1" m="1" x="1565"/>
        <item h="1" m="1" x="998"/>
        <item h="1" m="1" x="2061"/>
        <item h="1" m="1" x="2887"/>
        <item h="1" m="1" x="7395"/>
        <item h="1" x="16"/>
        <item h="1" m="1" x="6551"/>
        <item h="1" m="1" x="928"/>
        <item h="1" m="1" x="2948"/>
        <item h="1" x="76"/>
        <item h="1" m="1" x="4041"/>
        <item h="1" m="1" x="2040"/>
        <item h="1" m="1" x="6547"/>
        <item h="1" m="1" x="496"/>
        <item h="1" m="1" x="4493"/>
        <item h="1" m="1" x="3955"/>
        <item h="1" m="1" x="4572"/>
        <item h="1" m="1" x="3683"/>
        <item h="1" m="1" x="5896"/>
        <item h="1" m="1" x="4567"/>
        <item h="1" m="1" x="3814"/>
        <item h="1" x="207"/>
        <item h="1" m="1" x="6541"/>
        <item h="1" m="1" x="3268"/>
        <item h="1" m="1" x="919"/>
        <item h="1" m="1" x="6555"/>
        <item h="1" m="1" x="6921"/>
        <item h="1" x="172"/>
        <item h="1" m="1" x="2950"/>
        <item h="1" m="1" x="1708"/>
        <item h="1" m="1" x="485"/>
        <item h="1" m="1" x="7551"/>
        <item h="1" m="1" x="7992"/>
        <item h="1" m="1" x="2517"/>
        <item h="1" m="1" x="6949"/>
        <item h="1" m="1" x="791"/>
        <item h="1" m="1" x="3266"/>
        <item h="1" m="1" x="4987"/>
        <item h="1" m="1" x="1040"/>
        <item h="1" m="1" x="2152"/>
        <item h="1" m="1" x="2489"/>
        <item h="1" m="1" x="5005"/>
        <item h="1" m="1" x="7958"/>
        <item h="1" x="100"/>
        <item h="1" m="1" x="1116"/>
        <item h="1" m="1" x="4134"/>
        <item h="1" m="1" x="3419"/>
        <item h="1" m="1" x="1918"/>
        <item h="1" m="1" x="1989"/>
        <item h="1" m="1" x="1290"/>
        <item h="1" m="1" x="1220"/>
        <item h="1" m="1" x="7982"/>
        <item h="1" m="1" x="7776"/>
        <item h="1" m="1" x="6503"/>
        <item h="1" m="1" x="7218"/>
        <item h="1" m="1" x="7796"/>
        <item h="1" m="1" x="7385"/>
        <item h="1" m="1" x="2055"/>
        <item h="1" m="1" x="938"/>
        <item h="1" m="1" x="835"/>
        <item h="1" m="1" x="537"/>
        <item h="1" m="1" x="1581"/>
        <item h="1" m="1" x="6514"/>
        <item h="1" m="1" x="7661"/>
        <item h="1" m="1" x="1236"/>
        <item h="1" m="1" x="2757"/>
        <item h="1" m="1" x="1707"/>
        <item h="1" m="1" x="4981"/>
        <item h="1" m="1" x="4382"/>
        <item h="1" x="62"/>
        <item h="1" m="1" x="6613"/>
        <item h="1" m="1" x="3994"/>
        <item h="1" m="1" x="7990"/>
        <item h="1" m="1" x="7959"/>
        <item h="1" m="1" x="7896"/>
        <item h="1" m="1" x="7899"/>
        <item h="1" m="1" x="1634"/>
        <item h="1" m="1" x="2561"/>
        <item h="1" m="1" x="6377"/>
        <item h="1" m="1" x="4683"/>
        <item h="1" m="1" x="3837"/>
        <item h="1" m="1" x="4736"/>
        <item h="1" m="1" x="7202"/>
        <item h="1" m="1" x="3416"/>
        <item h="1" m="1" x="3343"/>
        <item h="1" m="1" x="3414"/>
        <item h="1" m="1" x="7794"/>
        <item h="1" m="1" x="2440"/>
        <item h="1" m="1" x="5915"/>
        <item h="1" m="1" x="501"/>
        <item h="1" m="1" x="4303"/>
        <item h="1" m="1" x="6925"/>
        <item h="1" m="1" x="1742"/>
        <item h="1" m="1" x="2110"/>
        <item h="1" m="1" x="1096"/>
        <item h="1" m="1" x="7983"/>
        <item h="1" m="1" x="2547"/>
        <item h="1" m="1" x="3642"/>
        <item h="1" m="1" x="4319"/>
        <item h="1" m="1" x="3434"/>
        <item h="1" m="1" x="7605"/>
        <item h="1" m="1" x="6788"/>
        <item h="1" m="1" x="5160"/>
        <item h="1" m="1" x="7575"/>
        <item h="1" m="1" x="546"/>
        <item h="1" x="87"/>
        <item h="1" x="206"/>
        <item h="1" m="1" x="4516"/>
        <item h="1" m="1" x="5403"/>
        <item h="1" m="1" x="7890"/>
        <item h="1" m="1" x="2513"/>
        <item h="1" x="57"/>
        <item h="1" m="1" x="7131"/>
        <item h="1" m="1" x="6745"/>
        <item h="1" m="1" x="2090"/>
        <item h="1" m="1" x="7898"/>
        <item h="1" m="1" x="7731"/>
        <item h="1" m="1" x="6656"/>
        <item h="1" m="1" x="2097"/>
        <item h="1" m="1" x="6751"/>
        <item h="1" m="1" x="2223"/>
        <item h="1" x="376"/>
        <item h="1" m="1" x="2380"/>
        <item h="1" m="1" x="4108"/>
        <item h="1" m="1" x="2446"/>
        <item h="1" m="1" x="2452"/>
        <item h="1" m="1" x="5686"/>
        <item h="1" m="1" x="5610"/>
        <item h="1" m="1" x="7996"/>
        <item h="1" m="1" x="4868"/>
        <item h="1" m="1" x="5934"/>
        <item h="1" m="1" x="5842"/>
        <item h="1" m="1" x="5843"/>
        <item h="1" m="1" x="5452"/>
        <item h="1" m="1" x="7420"/>
        <item h="1" m="1" x="6803"/>
        <item h="1" m="1" x="6836"/>
        <item h="1" m="1" x="1572"/>
        <item h="1" m="1" x="7901"/>
        <item h="1" m="1" x="1558"/>
        <item h="1" m="1" x="5578"/>
        <item h="1" m="1" x="7900"/>
        <item h="1" m="1" x="1090"/>
        <item h="1" m="1" x="2134"/>
        <item h="1" m="1" x="5555"/>
        <item h="1" m="1" x="4452"/>
        <item h="1" m="1" x="550"/>
        <item h="1" m="1" x="5832"/>
        <item h="1" m="1" x="7287"/>
        <item h="1" m="1" x="2765"/>
        <item h="1" m="1" x="6866"/>
        <item h="1" m="1" x="1925"/>
        <item h="1" m="1" x="7831"/>
        <item h="1" m="1" x="6827"/>
        <item h="1" m="1" x="5146"/>
        <item h="1" m="1" x="7424"/>
        <item h="1" m="1" x="6545"/>
        <item h="1" m="1" x="6847"/>
        <item h="1" x="235"/>
        <item h="1" m="1" x="7389"/>
        <item h="1" m="1" x="7171"/>
        <item h="1" m="1" x="4613"/>
        <item h="1" m="1" x="5368"/>
        <item h="1" m="1" x="6746"/>
        <item h="1" m="1" x="720"/>
        <item h="1" m="1" x="6662"/>
        <item h="1" m="1" x="7667"/>
        <item h="1" m="1" x="4132"/>
        <item h="1" m="1" x="7722"/>
        <item h="1" m="1" x="6819"/>
        <item h="1" m="1" x="7167"/>
        <item h="1" m="1" x="7525"/>
        <item h="1" m="1" x="7824"/>
        <item h="1" m="1" x="1044"/>
        <item h="1" m="1" x="2725"/>
        <item h="1" m="1" x="7993"/>
        <item h="1" m="1" x="2755"/>
        <item h="1" m="1" x="6604"/>
        <item h="1" m="1" x="7077"/>
        <item h="1" m="1" x="6436"/>
        <item h="1" m="1" x="7041"/>
        <item h="1" m="1" x="564"/>
        <item h="1" m="1" x="2767"/>
        <item h="1" m="1" x="7832"/>
        <item h="1" m="1" x="4436"/>
        <item h="1" m="1" x="2458"/>
        <item h="1" m="1" x="6389"/>
        <item h="1" m="1" x="4663"/>
        <item h="1" m="1" x="5913"/>
        <item h="1" m="1" x="4627"/>
        <item h="1" m="1" x="4102"/>
        <item h="1" m="1" x="6820"/>
        <item h="1" m="1" x="6775"/>
        <item h="1" m="1" x="6211"/>
        <item h="1" m="1" x="3535"/>
        <item h="1" m="1" x="6741"/>
        <item h="1" m="1" x="5621"/>
        <item h="1" m="1" x="6885"/>
        <item h="1" m="1" x="2447"/>
        <item h="1" m="1" x="4118"/>
        <item h="1" m="1" x="4728"/>
        <item h="1" m="1" x="7752"/>
        <item h="1" m="1" x="2449"/>
        <item h="1" m="1" x="6627"/>
        <item h="1" m="1" x="5353"/>
        <item h="1" m="1" x="6721"/>
        <item h="1" m="1" x="551"/>
        <item h="1" m="1" x="7109"/>
        <item h="1" m="1" x="2432"/>
        <item h="1" x="250"/>
        <item h="1" m="1" x="4323"/>
        <item h="1" m="1" x="7387"/>
        <item h="1" x="96"/>
        <item h="1" x="116"/>
        <item h="1" m="1" x="6814"/>
        <item h="1" m="1" x="4320"/>
        <item h="1" m="1" x="7625"/>
        <item h="1" m="1" x="7793"/>
        <item h="1" m="1" x="841"/>
        <item h="1" m="1" x="7465"/>
        <item h="1" m="1" x="7965"/>
        <item h="1" m="1" x="1891"/>
        <item h="1" m="1" x="7290"/>
        <item h="1" m="1" x="6546"/>
        <item h="1" m="1" x="2909"/>
        <item h="1" m="1" x="2844"/>
        <item h="1" m="1" x="6562"/>
        <item h="1" m="1" x="6235"/>
        <item h="1" m="1" x="6234"/>
        <item h="1" m="1" x="1686"/>
        <item h="1" m="1" x="7524"/>
        <item h="1" m="1" x="7356"/>
        <item h="1" m="1" x="1910"/>
        <item h="1" m="1" x="4242"/>
        <item h="1" m="1" x="1026"/>
        <item h="1" m="1" x="6378"/>
        <item h="1" m="1" x="3626"/>
        <item h="1" m="1" x="5158"/>
        <item h="1" m="1" x="6493"/>
        <item h="1" m="1" x="7373"/>
        <item h="1" m="1" x="2287"/>
        <item h="1" m="1" x="7342"/>
        <item h="1" m="1" x="6822"/>
        <item h="1" m="1" x="6167"/>
        <item h="1" m="1" x="6566"/>
        <item h="1" m="1" x="3591"/>
        <item h="1" m="1" x="6060"/>
        <item h="1" m="1" x="6327"/>
        <item h="1" m="1" x="2105"/>
        <item h="1" m="1" x="7505"/>
        <item h="1" m="1" x="3307"/>
        <item h="1" x="345"/>
        <item h="1" m="1" x="1200"/>
        <item h="1" m="1" x="4491"/>
        <item h="1" m="1" x="2510"/>
        <item h="1" m="1" x="1963"/>
        <item h="1" m="1" x="7521"/>
        <item h="1" m="1" x="3078"/>
        <item h="1" m="1" x="2923"/>
        <item h="1" m="1" x="5598"/>
        <item h="1" m="1" x="6692"/>
        <item h="1" m="1" x="5797"/>
        <item h="1" m="1" x="4891"/>
        <item h="1" m="1" x="3673"/>
        <item h="1" m="1" x="538"/>
        <item h="1" m="1" x="7517"/>
        <item h="1" m="1" x="2965"/>
        <item h="1" m="1" x="2234"/>
        <item h="1" m="1" x="5624"/>
        <item h="1" m="1" x="4564"/>
        <item h="1" m="1" x="7514"/>
        <item h="1" m="1" x="2047"/>
        <item h="1" x="322"/>
        <item h="1" m="1" x="7798"/>
        <item h="1" m="1" x="2238"/>
        <item h="1" m="1" x="7583"/>
        <item h="1" m="1" x="2135"/>
        <item h="1" m="1" x="7528"/>
        <item h="1" m="1" x="2398"/>
        <item h="1" m="1" x="7770"/>
        <item h="1" m="1" x="2451"/>
        <item h="1" m="1" x="2929"/>
        <item h="1" m="1" x="580"/>
        <item h="1" m="1" x="1982"/>
        <item h="1" m="1" x="6214"/>
        <item h="1" m="1" x="7084"/>
        <item h="1" m="1" x="7245"/>
        <item h="1" m="1" x="6739"/>
        <item h="1" m="1" x="911"/>
        <item h="1" x="373"/>
        <item h="1" m="1" x="1048"/>
        <item h="1" m="1" x="7502"/>
        <item h="1" m="1" x="4961"/>
        <item h="1" m="1" x="7838"/>
        <item h="1" m="1" x="7624"/>
        <item h="1" m="1" x="4441"/>
        <item h="1" m="1" x="894"/>
        <item h="1" m="1" x="7629"/>
        <item h="1" m="1" x="5885"/>
        <item h="1" m="1" x="6879"/>
        <item h="1" m="1" x="7417"/>
        <item h="1" m="1" x="2438"/>
        <item h="1" m="1" x="776"/>
        <item h="1" m="1" x="3651"/>
        <item h="1" m="1" x="3577"/>
        <item h="1" m="1" x="7805"/>
        <item h="1" m="1" x="7701"/>
        <item h="1" m="1" x="6528"/>
        <item h="1" m="1" x="7940"/>
        <item h="1" m="1" x="2763"/>
        <item h="1" m="1" x="2115"/>
        <item h="1" m="1" x="3206"/>
        <item h="1" m="1" x="3622"/>
        <item h="1" m="1" x="3071"/>
        <item h="1" m="1" x="7897"/>
        <item h="1" m="1" x="3650"/>
        <item h="1" m="1" x="5568"/>
        <item h="1" m="1" x="4893"/>
        <item h="1" m="1" x="6482"/>
        <item h="1" m="1" x="7829"/>
        <item h="1" m="1" x="524"/>
        <item h="1" m="1" x="640"/>
        <item h="1" m="1" x="7812"/>
        <item h="1" m="1" x="5883"/>
        <item h="1" m="1" x="7216"/>
        <item h="1" m="1" x="2453"/>
        <item h="1" m="1" x="7813"/>
        <item h="1" m="1" x="4550"/>
        <item h="1" m="1" x="6975"/>
        <item h="1" m="1" x="4735"/>
        <item h="1" m="1" x="4511"/>
        <item h="1" m="1" x="7978"/>
        <item h="1" m="1" x="2623"/>
        <item h="1" m="1" x="2926"/>
        <item h="1" m="1" x="7559"/>
        <item h="1" m="1" x="6772"/>
        <item h="1" m="1" x="7388"/>
        <item h="1" m="1" x="6624"/>
        <item h="1" m="1" x="4370"/>
        <item h="1" m="1" x="2622"/>
        <item h="1" m="1" x="4273"/>
        <item h="1" m="1" x="2109"/>
        <item h="1" m="1" x="1261"/>
        <item h="1" m="1" x="7980"/>
        <item h="1" m="1" x="2957"/>
        <item h="1" m="1" x="4726"/>
        <item h="1" m="1" x="2565"/>
        <item h="1" m="1" x="7623"/>
        <item h="1" m="1" x="5553"/>
        <item h="1" m="1" x="6715"/>
        <item h="1" m="1" x="4116"/>
        <item h="1" m="1" x="1219"/>
        <item h="1" m="1" x="6929"/>
        <item h="1" m="1" x="2789"/>
        <item h="1" m="1" x="3761"/>
        <item h="1" m="1" x="7553"/>
        <item h="1" m="1" x="5703"/>
        <item h="1" m="1" x="5712"/>
        <item h="1" m="1" x="7333"/>
        <item h="1" m="1" x="7777"/>
        <item h="1" m="1" x="5866"/>
        <item h="1" m="1" x="7293"/>
        <item h="1" m="1" x="4239"/>
        <item h="1" m="1" x="6749"/>
        <item h="1" m="1" x="6735"/>
        <item h="1" m="1" x="5825"/>
        <item h="1" m="1" x="6755"/>
        <item h="1" m="1" x="3202"/>
        <item h="1" m="1" x="1683"/>
        <item h="1" m="1" x="3052"/>
        <item h="1" m="1" x="5401"/>
        <item h="1" m="1" x="2886"/>
        <item h="1" m="1" x="3123"/>
        <item h="1" m="1" x="1892"/>
        <item h="1" m="1" x="6383"/>
        <item h="1" m="1" x="3931"/>
        <item h="1" m="1" x="6007"/>
        <item h="1" m="1" x="2112"/>
        <item h="1" m="1" x="2448"/>
        <item h="1" m="1" x="2436"/>
        <item h="1" m="1" x="3961"/>
        <item h="1" m="1" x="6987"/>
        <item h="1" m="1" x="6642"/>
        <item h="1" m="1" x="558"/>
        <item h="1" m="1" x="2707"/>
        <item h="1" m="1" x="4826"/>
        <item h="1" m="1" x="6616"/>
        <item h="1" m="1" x="4304"/>
        <item h="1" m="1" x="7062"/>
        <item h="1" m="1" x="7070"/>
        <item h="1" m="1" x="4585"/>
        <item h="1" x="253"/>
        <item h="1" m="1" x="3353"/>
        <item h="1" m="1" x="1749"/>
        <item h="1" m="1" x="898"/>
        <item h="1" m="1" x="3766"/>
        <item h="1" m="1" x="6533"/>
        <item h="1" m="1" x="5453"/>
        <item h="1" x="109"/>
        <item h="1" m="1" x="5665"/>
        <item h="1" m="1" x="5651"/>
        <item h="1" m="1" x="5661"/>
        <item h="1" m="1" x="4029"/>
        <item h="1" m="1" x="7759"/>
        <item h="1" m="1" x="6835"/>
        <item h="1" m="1" x="6304"/>
        <item h="1" m="1" x="4272"/>
        <item h="1" m="1" x="6054"/>
        <item h="1" m="1" x="4854"/>
        <item h="1" m="1" x="2284"/>
        <item h="1" m="1" x="4681"/>
        <item h="1" m="1" x="7956"/>
        <item h="1" m="1" x="3657"/>
        <item h="1" m="1" x="462"/>
        <item h="1" x="225"/>
        <item h="1" m="1" x="5660"/>
        <item h="1" m="1" x="7570"/>
        <item h="1" m="1" x="5835"/>
        <item h="1" m="1" x="6946"/>
        <item h="1" m="1" x="5367"/>
        <item h="1" m="1" x="4213"/>
        <item h="1" m="1" x="5097"/>
        <item h="1" m="1" x="4343"/>
        <item h="1" m="1" x="5481"/>
        <item h="1" m="1" x="2450"/>
        <item h="1" m="1" x="3456"/>
        <item h="1" m="1" x="6626"/>
        <item h="1" m="1" x="6865"/>
        <item h="1" m="1" x="5656"/>
        <item h="1" m="1" x="5646"/>
        <item h="1" m="1" x="7370"/>
        <item h="1" m="1" x="5625"/>
        <item h="1" m="1" x="5697"/>
        <item h="1" m="1" x="3392"/>
        <item h="1" m="1" x="5635"/>
        <item h="1" m="1" x="1171"/>
        <item h="1" m="1" x="3073"/>
        <item h="1" m="1" x="3633"/>
        <item h="1" m="1" x="6985"/>
        <item h="1" x="23"/>
        <item h="1" m="1" x="7348"/>
        <item h="1" m="1" x="5627"/>
        <item h="1" m="1" x="7574"/>
        <item h="1" m="1" x="5648"/>
        <item h="1" m="1" x="985"/>
        <item h="1" m="1" x="679"/>
        <item h="1" m="1" x="4583"/>
        <item h="1" m="1" x="7780"/>
        <item h="1" m="1" x="7833"/>
        <item h="1" m="1" x="3760"/>
        <item h="1" m="1" x="7738"/>
        <item h="1" m="1" x="5612"/>
        <item h="1" m="1" x="5633"/>
        <item h="1" m="1" x="2901"/>
        <item h="1" m="1" x="6657"/>
        <item h="1" m="1" x="5381"/>
        <item h="1" m="1" x="5639"/>
        <item h="1" m="1" x="7739"/>
        <item h="1" m="1" x="7998"/>
        <item h="1" m="1" x="5979"/>
        <item h="1" m="1" x="471"/>
        <item h="1" m="1" x="3152"/>
        <item h="1" m="1" x="4973"/>
        <item h="1" m="1" x="7879"/>
        <item h="1" m="1" x="7894"/>
        <item h="1" m="1" x="2279"/>
        <item h="1" m="1" x="7200"/>
        <item h="1" m="1" x="6625"/>
        <item h="1" m="1" x="2762"/>
        <item h="1" m="1" x="7204"/>
        <item h="1" m="1" x="6737"/>
        <item h="1" m="1" x="6601"/>
        <item h="1" m="1" x="7440"/>
        <item h="1" m="1" x="5932"/>
        <item h="1" m="1" x="6939"/>
        <item h="1" m="1" x="6366"/>
        <item h="1" m="1" x="4180"/>
        <item h="1" m="1" x="7285"/>
        <item h="1" m="1" x="6960"/>
        <item h="1" m="1" x="2900"/>
        <item h="1" m="1" x="7347"/>
        <item h="1" m="1" x="7944"/>
        <item h="1" m="1" x="7937"/>
        <item h="1" m="1" x="7936"/>
        <item h="1" m="1" x="6769"/>
        <item h="1" m="1" x="7905"/>
        <item h="1" x="143"/>
        <item h="1" m="1" x="7543"/>
        <item h="1" m="1" x="6742"/>
        <item h="1" m="1" x="5643"/>
        <item h="1" m="1" x="5649"/>
        <item h="1" m="1" x="5616"/>
        <item h="1" m="1" x="6996"/>
        <item h="1" m="1" x="6909"/>
        <item h="1" m="1" x="7932"/>
        <item h="1" m="1" x="7836"/>
        <item h="1" m="1" x="5764"/>
        <item h="1" m="1" x="7046"/>
        <item h="1" m="1" x="7620"/>
        <item h="1" m="1" x="2503"/>
        <item h="1" m="1" x="5873"/>
        <item h="1" m="1" x="7344"/>
        <item h="1" m="1" x="5388"/>
        <item h="1" m="1" x="7772"/>
        <item h="1" m="1" x="4819"/>
        <item h="1" m="1" x="7774"/>
        <item h="1" m="1" x="7790"/>
        <item h="1" x="29"/>
        <item h="1" m="1" x="6570"/>
        <item h="1" m="1" x="7357"/>
        <item h="1" m="1" x="7358"/>
        <item h="1" m="1" x="4515"/>
        <item h="1" m="1" x="1788"/>
        <item h="1" m="1" x="5947"/>
        <item h="1" m="1" x="6095"/>
        <item h="1" m="1" x="6785"/>
        <item h="1" m="1" x="5540"/>
        <item h="1" m="1" x="3551"/>
        <item h="1" m="1" x="7016"/>
        <item h="1" m="1" x="7882"/>
        <item h="1" m="1" x="6619"/>
        <item h="1" m="1" x="7341"/>
        <item h="1" m="1" x="7346"/>
        <item h="1" m="1" x="7345"/>
        <item h="1" m="1" x="7876"/>
        <item h="1" m="1" x="4088"/>
        <item h="1" m="1" x="7784"/>
        <item h="1" m="1" x="7788"/>
        <item h="1" m="1" x="6034"/>
        <item h="1" m="1" x="7991"/>
        <item h="1" m="1" x="7359"/>
        <item h="1" m="1" x="7835"/>
        <item h="1" m="1" x="5615"/>
        <item h="1" m="1" x="7683"/>
        <item h="1" m="1" x="6959"/>
        <item h="1" m="1" x="7880"/>
        <item h="1" m="1" x="7881"/>
        <item h="1" m="1" x="7340"/>
        <item h="1" m="1" x="7343"/>
        <item h="1" m="1" x="4595"/>
        <item h="1" m="1" x="7715"/>
        <item h="1" m="1" x="7935"/>
        <item h="1" m="1" x="7501"/>
        <item h="1" m="1" x="3218"/>
        <item h="1" m="1" x="6950"/>
        <item h="1" m="1" x="7974"/>
        <item h="1" m="1" x="7360"/>
        <item h="1" m="1" x="7361"/>
        <item h="1" m="1" x="7979"/>
        <item h="1" m="1" x="3987"/>
        <item h="1" m="1" x="920"/>
        <item h="1" m="1" x="6997"/>
        <item h="1" m="1" x="6647"/>
        <item h="1" m="1" x="6648"/>
        <item h="1" m="1" x="7430"/>
        <item h="1" m="1" x="7431"/>
        <item h="1" m="1" x="6784"/>
        <item h="1" m="1" x="6787"/>
        <item h="1" m="1" x="7734"/>
        <item h="1" m="1" x="5629"/>
        <item h="1" m="1" x="7743"/>
        <item h="1" m="1" x="2751"/>
        <item h="1" m="1" x="7860"/>
        <item h="1" m="1" x="7934"/>
        <item h="1" m="1" x="4513"/>
        <item h="1" m="1" x="6981"/>
        <item h="1" m="1" x="4853"/>
        <item h="1" x="30"/>
        <item h="1" m="1" x="5364"/>
        <item h="1" m="1" x="7917"/>
        <item h="1" m="1" x="7658"/>
        <item h="1" m="1" x="2953"/>
        <item h="1" m="1" x="7981"/>
        <item h="1" m="1" x="6659"/>
        <item h="1" m="1" x="6998"/>
        <item h="1" m="1" x="7730"/>
        <item h="1" m="1" x="7802"/>
        <item h="1" m="1" x="7383"/>
        <item h="1" m="1" x="7366"/>
        <item h="1" m="1" x="7988"/>
        <item h="1" m="1" x="7989"/>
        <item h="1" m="1" x="7362"/>
        <item h="1" m="1" x="7987"/>
        <item h="1" m="1" x="7367"/>
        <item h="1" m="1" x="7810"/>
        <item h="1" x="149"/>
        <item h="1" m="1" x="7811"/>
        <item h="1" m="1" x="7808"/>
        <item h="1" m="1" x="7337"/>
        <item h="1" m="1" x="7554"/>
        <item h="1" m="1" x="2041"/>
        <item h="1" m="1" x="7819"/>
        <item h="1" m="1" x="661"/>
        <item h="1" m="1" x="7843"/>
        <item h="1" m="1" x="2361"/>
        <item h="1" m="1" x="6828"/>
        <item h="1" m="1" x="7626"/>
        <item h="1" m="1" x="1403"/>
        <item h="1" m="1" x="7643"/>
        <item h="1" m="1" x="1172"/>
        <item h="1" m="1" x="2600"/>
        <item h="1" m="1" x="1696"/>
        <item h="1" m="1" x="6144"/>
        <item h="1" m="1" x="1888"/>
        <item h="1" m="1" x="6886"/>
        <item h="1" m="1" x="7949"/>
        <item h="1" m="1" x="6593"/>
        <item h="1" m="1" x="6592"/>
        <item h="1" m="1" x="4415"/>
        <item h="1" m="1" x="6988"/>
        <item h="1" m="1" x="6618"/>
        <item h="1" m="1" x="7970"/>
        <item h="1" m="1" x="7368"/>
        <item h="1" m="1" x="7369"/>
        <item h="1" m="1" x="7364"/>
        <item h="1" m="1" x="7365"/>
        <item h="1" m="1" x="7363"/>
        <item h="1" m="1" x="7807"/>
        <item h="1" m="1" x="7806"/>
        <item h="1" m="1" x="7338"/>
        <item h="1" m="1" x="7339"/>
        <item h="1" m="1" x="7565"/>
        <item h="1" m="1" x="6776"/>
        <item h="1" m="1" x="1947"/>
        <item h="1" m="1" x="7849"/>
        <item h="1" m="1" x="3380"/>
        <item h="1" m="1" x="7746"/>
        <item h="1" m="1" x="4099"/>
        <item h="1" m="1" x="7947"/>
        <item h="1" m="1" x="7948"/>
        <item h="1" m="1" x="7950"/>
        <item h="1" m="1" x="2111"/>
        <item h="1" m="1" x="7526"/>
        <item h="1" m="1" x="7893"/>
        <item h="1" m="1" x="6572"/>
        <item h="1" m="1" x="7920"/>
        <item h="1" m="1" x="7679"/>
        <item h="1" m="1" x="7977"/>
        <item h="1" m="1" x="7336"/>
        <item h="1" m="1" x="2521"/>
        <item h="1" m="1" x="7374"/>
        <item h="1" m="1" x="6650"/>
        <item h="1" m="1" x="6649"/>
        <item h="1" m="1" x="7432"/>
        <item h="1" m="1" x="5914"/>
        <item h="1" m="1" x="6809"/>
        <item h="1" m="1" x="2297"/>
        <item h="1" m="1" x="4176"/>
        <item h="1" m="1" x="6958"/>
        <item h="1" m="1" x="6957"/>
        <item h="1" m="1" x="7951"/>
        <item h="1" m="1" x="7952"/>
        <item h="1" m="1" x="7323"/>
        <item h="1" m="1" x="7954"/>
        <item h="1" m="1" x="7953"/>
        <item h="1" m="1" x="7943"/>
        <item h="1" m="1" x="7718"/>
        <item h="1" m="1" x="7719"/>
        <item h="1" m="1" x="7887"/>
        <item h="1" m="1" x="7889"/>
        <item h="1" m="1" x="7891"/>
        <item h="1" m="1" x="7906"/>
        <item h="1" m="1" x="7914"/>
        <item h="1" m="1" x="7350"/>
        <item h="1" m="1" x="7782"/>
        <item h="1" m="1" x="7785"/>
        <item h="1" m="1" x="7428"/>
        <item h="1" m="1" x="7429"/>
        <item h="1" m="1" x="7351"/>
        <item h="1" m="1" x="7334"/>
        <item h="1" m="1" x="7335"/>
        <item h="1" m="1" x="7963"/>
        <item h="1" m="1" x="2067"/>
        <item h="1" m="1" x="5659"/>
        <item h="1" m="1" x="7558"/>
        <item h="1" m="1" x="5664"/>
        <item h="1" m="1" x="671"/>
        <item h="1" m="1" x="7997"/>
        <item h="1" m="1" x="7818"/>
        <item h="1" m="1" x="6786"/>
        <item h="1" m="1" x="5912"/>
        <item h="1" m="1" x="7762"/>
        <item h="1" m="1" x="7761"/>
        <item h="1" m="1" x="7763"/>
        <item h="1" m="1" x="7764"/>
        <item h="1" m="1" x="7621"/>
        <item h="1" m="1" x="7655"/>
        <item h="1" m="1" x="7497"/>
        <item h="1" m="1" x="7500"/>
        <item h="1" m="1" x="7942"/>
        <item h="1" m="1" x="7941"/>
        <item h="1" m="1" x="6571"/>
        <item h="1" m="1" x="7902"/>
        <item h="1" m="1" x="5689"/>
        <item h="1" m="1" x="6595"/>
        <item h="1" m="1" x="6594"/>
        <item h="1" m="1" x="7922"/>
        <item h="1" m="1" x="7923"/>
        <item h="1" m="1" x="7924"/>
        <item h="1" m="1" x="7925"/>
        <item h="1" m="1" x="7926"/>
        <item h="1" m="1" x="6165"/>
        <item h="1" m="1" x="7787"/>
        <item h="1" m="1" x="7927"/>
        <item h="1" m="1" x="7929"/>
        <item h="1" m="1" x="7931"/>
        <item h="1" m="1" x="7984"/>
        <item h="1" m="1" x="6640"/>
        <item h="1" m="1" x="7324"/>
        <item h="1" m="1" x="6643"/>
        <item h="1" m="1" x="7966"/>
        <item h="1" m="1" x="7967"/>
        <item h="1" m="1" x="7968"/>
        <item h="1" m="1" x="7969"/>
        <item h="1" m="1" x="6713"/>
        <item h="1" m="1" x="7014"/>
        <item h="1" m="1" x="7567"/>
        <item h="1" m="1" x="7975"/>
        <item h="1" m="1" x="5609"/>
        <item h="1" m="1" x="6753"/>
        <item h="1" m="1" x="6760"/>
        <item h="1" m="1" x="1692"/>
        <item h="1" m="1" x="4173"/>
        <item h="1" m="1" x="7390"/>
        <item h="1" m="1" x="7462"/>
        <item h="1" m="1" x="7475"/>
        <item h="1" m="1" x="1991"/>
        <item h="1" m="1" x="6754"/>
        <item h="1" m="1" x="7877"/>
        <item h="1" m="1" x="7875"/>
        <item h="1" m="1" x="7878"/>
        <item h="1" m="1" x="7895"/>
        <item h="1" x="352"/>
        <item h="1" m="1" x="7903"/>
        <item h="1" m="1" x="7907"/>
        <item h="1" m="1" x="7908"/>
        <item h="1" m="1" x="2283"/>
        <item h="1" m="1" x="7913"/>
        <item h="1" m="1" x="7523"/>
        <item h="1" m="1" x="7888"/>
        <item h="1" m="1" x="7885"/>
        <item h="1" m="1" x="7886"/>
        <item h="1" m="1" x="7921"/>
        <item h="1" m="1" x="7918"/>
        <item h="1" m="1" x="7919"/>
        <item h="1" m="1" x="6990"/>
        <item h="1" m="1" x="6628"/>
        <item h="1" m="1" x="7945"/>
        <item h="1" m="1" x="7939"/>
        <item h="1" m="1" x="7938"/>
        <item h="1" m="1" x="7727"/>
        <item h="1" m="1" x="7728"/>
        <item h="1" m="1" x="7789"/>
        <item h="1" m="1" x="7930"/>
        <item h="1" m="1" x="7433"/>
        <item h="1" m="1" x="7976"/>
        <item h="1" m="1" x="6711"/>
        <item h="1" m="1" x="6709"/>
        <item h="1" m="1" x="6708"/>
        <item h="1" m="1" x="478"/>
        <item h="1" m="1" x="6704"/>
        <item h="1" m="1" x="4665"/>
        <item h="1" m="1" x="5006"/>
        <item h="1" m="1" x="7017"/>
        <item h="1" m="1" x="7015"/>
        <item h="1" m="1" x="2613"/>
        <item h="1" m="1" x="7834"/>
        <item h="1" m="1" x="7837"/>
        <item h="1" m="1" x="922"/>
        <item h="1" m="1" x="7328"/>
        <item h="1" m="1" x="1198"/>
        <item h="1" m="1" x="7329"/>
        <item h="1" m="1" x="7330"/>
        <item h="1" m="1" x="7327"/>
        <item h="1" m="1" x="7962"/>
        <item h="1" m="1" x="6914"/>
        <item h="1" m="1" x="7427"/>
        <item h="1" m="1" x="7325"/>
        <item h="1" m="1" x="7391"/>
        <item h="1" m="1" x="7737"/>
        <item h="1" m="1" x="7225"/>
        <item h="1" m="1" x="7677"/>
        <item h="1" m="1" x="7678"/>
        <item h="1" m="1" x="7999"/>
        <item h="1" m="1" x="6816"/>
        <item h="1" m="1" x="6817"/>
        <item h="1" m="1" x="2661"/>
        <item h="1" m="1" x="6029"/>
        <item h="1" m="1" x="6883"/>
        <item h="1" m="1" x="6951"/>
        <item h="1" m="1" x="7870"/>
        <item h="1" m="1" x="6904"/>
        <item h="1" m="1" x="7423"/>
        <item h="1" m="1" x="7498"/>
        <item h="1" m="1" x="7883"/>
        <item h="1" m="1" x="7884"/>
        <item h="1" m="1" x="7892"/>
        <item h="1" m="1" x="7904"/>
        <item h="1" m="1" x="6596"/>
        <item h="1" m="1" x="7723"/>
        <item h="1" m="1" x="7909"/>
        <item h="1" m="1" x="7910"/>
        <item h="1" m="1" x="7911"/>
        <item h="1" m="1" x="7912"/>
        <item h="1" m="1" x="7522"/>
        <item h="1" m="1" x="7915"/>
        <item h="1" m="1" x="7916"/>
        <item h="1" m="1" x="7786"/>
        <item h="1" m="1" x="7928"/>
        <item h="1" m="1" x="6620"/>
        <item h="1" m="1" x="6621"/>
        <item h="1" m="1" x="7933"/>
        <item h="1" m="1" x="6629"/>
        <item h="1" m="1" x="7957"/>
        <item h="1" m="1" x="7800"/>
        <item h="1" m="1" x="7733"/>
        <item h="1" m="1" x="7732"/>
        <item h="1" m="1" x="7332"/>
        <item h="1" m="1" x="7960"/>
        <item h="1" m="1" x="7961"/>
        <item h="1" m="1" x="7331"/>
        <item h="1" m="1" x="7326"/>
        <item h="1" m="1" x="7804"/>
        <item h="1" m="1" x="7964"/>
        <item h="1" m="1" x="5898"/>
        <item h="1" m="1" x="7803"/>
        <item h="1" m="1" x="7971"/>
        <item h="1" m="1" x="7972"/>
        <item h="1" m="1" x="7973"/>
        <item h="1" m="1" x="4639"/>
        <item h="1" m="1" x="6710"/>
        <item h="1" m="1" x="7729"/>
        <item h="1" m="1" x="6646"/>
        <item h="1" m="1" x="6645"/>
        <item h="1" m="1" x="7985"/>
        <item h="1" m="1" x="7994"/>
        <item h="1" m="1" x="7995"/>
        <item h="1" m="1" x="4287"/>
        <item h="1" m="1" x="7846"/>
        <item h="1" m="1" x="7066"/>
        <item h="1" m="1" x="4155"/>
        <item h="1" m="1" x="6818"/>
        <item h="1" m="1" x="7854"/>
        <item h="1" m="1" x="7392"/>
        <item h="1" m="1" x="7741"/>
        <item h="1" m="1" x="7740"/>
        <item h="1" m="1" x="7393"/>
        <item h="1" m="1" x="7394"/>
        <item h="1" m="1" x="4069"/>
        <item h="1" m="1" x="6888"/>
        <item h="1" m="1" x="6887"/>
        <item h="1" m="1" x="7765"/>
        <item h="1" m="1" x="7724"/>
        <item h="1" m="1" x="7725"/>
        <item h="1" m="1" x="7766"/>
        <item h="1" m="1" x="7767"/>
        <item h="1" m="1" x="7768"/>
        <item h="1" m="1" x="1095"/>
        <item h="1" m="1" x="7769"/>
        <item h="1" m="1" x="7771"/>
        <item h="1" m="1" x="6597"/>
        <item h="1" m="1" x="7529"/>
        <item h="1" m="1" x="7717"/>
        <item h="1" m="1" x="7773"/>
        <item h="1" m="1" x="7716"/>
        <item h="1" m="1" x="6854"/>
        <item h="1" m="1" x="7775"/>
        <item h="1" m="1" x="3750"/>
        <item h="1" m="1" x="7720"/>
        <item h="1" m="1" x="7778"/>
        <item h="1" m="1" x="7779"/>
        <item h="1" m="1" x="7425"/>
        <item h="1" m="1" x="7781"/>
        <item h="1" m="1" x="7721"/>
        <item h="1" m="1" x="6591"/>
        <item h="1" m="1" x="7783"/>
        <item h="1" m="1" x="6614"/>
        <item h="1" m="1" x="7791"/>
        <item h="1" m="1" x="7726"/>
        <item h="1" m="1" x="1615"/>
        <item h="1" m="1" x="7792"/>
        <item h="1" m="1" x="7795"/>
        <item h="1" m="1" x="7797"/>
        <item h="1" m="1" x="7665"/>
        <item h="1" m="1" x="6633"/>
        <item h="1" m="1" x="6631"/>
        <item h="1" m="1" x="6634"/>
        <item h="1" m="1" x="7434"/>
        <item h="1" m="1" x="7435"/>
        <item h="1" m="1" x="7801"/>
        <item h="1" m="1" x="6691"/>
        <item h="1" m="1" x="6690"/>
        <item h="1" m="1" x="7809"/>
        <item h="1" m="1" x="6728"/>
        <item h="1" m="1" x="6729"/>
        <item h="1" m="1" x="6730"/>
        <item h="1" m="1" x="7814"/>
        <item h="1" m="1" x="7815"/>
        <item h="1" m="1" x="6759"/>
        <item h="1" m="1" x="7816"/>
        <item h="1" m="1" x="7817"/>
        <item h="1" m="1" x="7820"/>
        <item h="1" m="1" x="7821"/>
        <item h="1" m="1" x="7822"/>
        <item h="1" m="1" x="7823"/>
        <item h="1" m="1" x="7825"/>
        <item h="1" m="1" x="7826"/>
        <item h="1" m="1" x="7827"/>
        <item h="1" m="1" x="7735"/>
        <item h="1" m="1" x="7828"/>
        <item h="1" m="1" x="7830"/>
        <item h="1" m="1" x="7839"/>
        <item h="1" m="1" x="6752"/>
        <item h="1" m="1" x="7840"/>
        <item h="1" m="1" x="7841"/>
        <item h="1" m="1" x="6940"/>
        <item h="1" m="1" x="7842"/>
        <item h="1" m="1" x="7592"/>
        <item h="1" m="1" x="7736"/>
        <item h="1" m="1" x="7223"/>
        <item h="1" m="1" x="7224"/>
        <item h="1" m="1" x="7591"/>
        <item h="1" m="1" x="7386"/>
        <item h="1" m="1" x="7844"/>
        <item h="1" m="1" x="1631"/>
        <item h="1" m="1" x="7845"/>
        <item h="1" m="1" x="5990"/>
        <item h="1" m="1" x="7847"/>
        <item h="1" m="1" x="7848"/>
        <item h="1" m="1" x="7850"/>
        <item h="1" m="1" x="7744"/>
        <item h="1" m="1" x="7622"/>
        <item h="1" m="1" x="5343"/>
        <item h="1" m="1" x="7851"/>
        <item h="1" m="1" x="7852"/>
        <item h="1" m="1" x="7853"/>
        <item h="1" m="1" x="7855"/>
        <item h="1" m="1" x="7856"/>
        <item h="1" m="1" x="7857"/>
        <item h="1" m="1" x="7858"/>
        <item h="1" m="1" x="7859"/>
        <item h="1" m="1" x="6826"/>
        <item h="1" m="1" x="7745"/>
        <item h="1" m="1" x="7861"/>
        <item h="1" m="1" x="7862"/>
        <item h="1" m="1" x="7863"/>
        <item h="1" m="1" x="7463"/>
        <item h="1" m="1" x="7864"/>
        <item h="1" m="1" x="7865"/>
        <item h="1" m="1" x="7866"/>
        <item h="1" m="1" x="6930"/>
        <item h="1" m="1" x="6928"/>
        <item h="1" m="1" x="7302"/>
        <item h="1" m="1" x="6938"/>
        <item h="1" m="1" x="7469"/>
        <item h="1" m="1" x="3887"/>
        <item h="1" m="1" x="6862"/>
        <item h="1" m="1" x="7867"/>
        <item h="1" m="1" x="7868"/>
        <item h="1" m="1" x="7869"/>
        <item h="1" m="1" x="7477"/>
        <item h="1" m="1" x="7478"/>
        <item h="1" m="1" x="6889"/>
        <item h="1" m="1" x="7481"/>
        <item h="1" m="1" x="7871"/>
        <item h="1" m="1" x="7872"/>
        <item h="1" m="1" x="7873"/>
        <item h="1" m="1" x="2154"/>
        <item h="1" m="1" x="7495"/>
        <item h="1" m="1" x="7496"/>
        <item h="1" m="1" x="6917"/>
        <item h="1" m="1" x="7656"/>
        <item h="1" m="1" x="6853"/>
        <item h="1" m="1" x="6855"/>
        <item h="1" m="1" x="6569"/>
        <item h="1" m="1" x="7503"/>
        <item h="1" m="1" x="7504"/>
        <item h="1" m="1" x="7510"/>
        <item h="1" m="1" x="7516"/>
        <item h="1" m="1" x="7515"/>
        <item h="1" m="1" x="2719"/>
        <item h="1" m="1" x="7659"/>
        <item h="1" m="1" x="7657"/>
        <item h="1" m="1" x="6617"/>
        <item h="1" m="1" x="7662"/>
        <item h="1" m="1" x="6630"/>
        <item h="1" m="1" x="6641"/>
        <item h="1" m="1" x="6653"/>
        <item h="1" m="1" x="6664"/>
        <item h="1" m="1" x="6651"/>
        <item h="1" m="1" x="7668"/>
        <item h="1" m="1" x="7671"/>
        <item h="1" m="1" x="7552"/>
        <item h="1" m="1" x="7572"/>
        <item h="1" m="1" x="7576"/>
        <item h="1" m="1" x="7577"/>
        <item h="1" m="1" x="7564"/>
        <item h="1" m="1" x="7569"/>
        <item h="1" m="1" x="7571"/>
        <item h="1" m="1" x="7573"/>
        <item h="1" m="1" x="7674"/>
        <item h="1" m="1" x="7579"/>
        <item h="1" m="1" x="6774"/>
        <item h="1" m="1" x="6780"/>
        <item h="1" m="1" x="6778"/>
        <item h="1" m="1" x="4652"/>
        <item h="1" m="1" x="6083"/>
        <item h="1" m="1" x="7680"/>
        <item h="1" m="1" x="7742"/>
        <item h="1" m="1" x="7684"/>
        <item h="1" m="1" x="7686"/>
        <item h="1" m="1" x="4936"/>
        <item h="1" m="1" x="6586"/>
        <item h="1" m="1" x="7689"/>
        <item h="1" m="1" x="7687"/>
        <item h="1" m="1" x="7688"/>
        <item h="1" m="1" x="7747"/>
        <item h="1" m="1" x="7748"/>
        <item h="1" m="1" x="7690"/>
        <item h="1" m="1" x="7749"/>
        <item h="1" m="1" x="7750"/>
        <item h="1" m="1" x="7751"/>
        <item h="1" m="1" x="7695"/>
        <item h="1" m="1" x="7692"/>
        <item h="1" m="1" x="7693"/>
        <item h="1" m="1" x="7646"/>
        <item h="1" m="1" x="7753"/>
        <item h="1" m="1" x="7700"/>
        <item h="1" m="1" x="7702"/>
        <item h="1" m="1" x="6860"/>
        <item h="1" m="1" x="7698"/>
        <item h="1" m="1" x="7699"/>
        <item h="1" m="1" x="7703"/>
        <item h="1" m="1" x="6585"/>
        <item h="1" m="1" x="7754"/>
        <item h="1" m="1" x="7755"/>
        <item h="1" m="1" x="7710"/>
        <item h="1" m="1" x="7756"/>
        <item h="1" x="174"/>
        <item h="1" m="1" x="6587"/>
        <item h="1" m="1" x="7757"/>
        <item h="1" m="1" x="7758"/>
        <item h="1" m="1" x="6902"/>
        <item h="1" m="1" x="7760"/>
        <item h="1" m="1" x="7419"/>
        <item h="1" m="1" x="6661"/>
        <item h="1" m="1" x="6654"/>
        <item h="1" m="1" x="1700"/>
        <item h="1" m="1" x="6773"/>
        <item h="1" m="1" x="6663"/>
        <item h="1" m="1" x="6652"/>
        <item h="1" m="1" x="7211"/>
        <item h="1" x="101"/>
        <item h="1" m="1" x="6863"/>
        <item h="1" m="1" x="6864"/>
        <item h="1" m="1" x="7507"/>
        <item h="1" m="1" x="7508"/>
        <item h="1" m="1" x="7509"/>
        <item h="1" m="1" x="1257"/>
        <item h="1" m="1" x="7519"/>
        <item h="1" m="1" x="7518"/>
        <item h="1" m="1" x="7520"/>
        <item h="1" m="1" x="5392"/>
        <item h="1" m="1" x="7660"/>
        <item h="1" m="1" x="6218"/>
        <item h="1" m="1" x="7663"/>
        <item h="1" m="1" x="7664"/>
        <item h="1" m="1" x="7536"/>
        <item h="1" m="1" x="4376"/>
        <item h="1" m="1" x="3613"/>
        <item h="1" m="1" x="6660"/>
        <item h="1" m="1" x="4151"/>
        <item h="1" m="1" x="6724"/>
        <item h="1" m="1" x="7666"/>
        <item h="1" m="1" x="7669"/>
        <item h="1" m="1" x="7670"/>
        <item h="1" m="1" x="5657"/>
        <item h="1" m="1" x="5644"/>
        <item h="1" m="1" x="7672"/>
        <item h="1" m="1" x="7673"/>
        <item h="1" m="1" x="6237"/>
        <item h="1" m="1" x="7580"/>
        <item h="1" m="1" x="7581"/>
        <item h="1" m="1" x="7582"/>
        <item h="1" m="1" x="7584"/>
        <item h="1" m="1" x="7585"/>
        <item h="1" m="1" x="7675"/>
        <item h="1" m="1" x="7590"/>
        <item h="1" m="1" x="7588"/>
        <item h="1" m="1" x="7589"/>
        <item h="1" m="1" x="7676"/>
        <item h="1" m="1" x="7286"/>
        <item h="1" m="1" x="7681"/>
        <item h="1" m="1" x="7682"/>
        <item h="1" m="1" x="7685"/>
        <item h="1" m="1" x="2026"/>
        <item h="1" m="1" x="7616"/>
        <item h="1" m="1" x="6812"/>
        <item h="1" m="1" x="7614"/>
        <item h="1" m="1" x="7615"/>
        <item h="1" m="1" x="6821"/>
        <item h="1" m="1" x="5501"/>
        <item h="1" m="1" x="5502"/>
        <item h="1" m="1" x="7633"/>
        <item h="1" m="1" x="7691"/>
        <item h="1" m="1" x="7300"/>
        <item h="1" m="1" x="7694"/>
        <item h="1" m="1" x="7696"/>
        <item h="1" m="1" x="7697"/>
        <item h="1" m="1" x="7087"/>
        <item h="1" m="1" x="7704"/>
        <item h="1" m="1" x="7705"/>
        <item h="1" m="1" x="7706"/>
        <item h="1" m="1" x="7707"/>
        <item h="1" m="1" x="7708"/>
        <item h="1" m="1" x="7709"/>
        <item h="1" m="1" x="7416"/>
        <item h="1" m="1" x="5111"/>
        <item h="1" m="1" x="6900"/>
        <item h="1" m="1" x="7711"/>
        <item h="1" m="1" x="6903"/>
        <item h="1" m="1" x="7712"/>
        <item h="1" m="1" x="5558"/>
        <item h="1" m="1" x="7713"/>
        <item h="1" m="1" x="7714"/>
        <item h="1" m="1" x="1890"/>
        <item h="1" m="1" x="5563"/>
        <item h="1" m="1" x="6208"/>
        <item h="1" m="1" x="7506"/>
        <item h="1" m="1" x="3149"/>
        <item h="1" m="1" x="7511"/>
        <item h="1" m="1" x="7512"/>
        <item h="1" m="1" x="7513"/>
        <item h="1" m="1" x="7210"/>
        <item h="1" m="1" x="7099"/>
        <item h="1" m="1" x="7527"/>
        <item h="1" m="1" x="7530"/>
        <item h="1" m="1" x="7531"/>
        <item h="1" m="1" x="7532"/>
        <item h="1" m="1" x="7533"/>
        <item h="1" m="1" x="7604"/>
        <item h="1" m="1" x="4643"/>
        <item h="1" m="1" x="7537"/>
        <item h="1" m="1" x="6644"/>
        <item h="1" m="1" x="5409"/>
        <item h="1" m="1" x="6693"/>
        <item h="1" m="1" x="6688"/>
        <item h="1" m="1" x="6689"/>
        <item h="1" m="1" x="7438"/>
        <item h="1" m="1" x="7538"/>
        <item h="1" m="1" x="7539"/>
        <item h="1" m="1" x="7540"/>
        <item h="1" m="1" x="6725"/>
        <item h="1" m="1" x="7541"/>
        <item h="1" m="1" x="6727"/>
        <item h="1" m="1" x="6920"/>
        <item h="1" m="1" x="6726"/>
        <item h="1" m="1" x="7542"/>
        <item h="1" m="1" x="7436"/>
        <item h="1" m="1" x="7437"/>
        <item h="1" m="1" x="7544"/>
        <item h="1" m="1" x="7545"/>
        <item h="1" m="1" x="470"/>
        <item h="1" m="1" x="7546"/>
        <item h="1" m="1" x="7547"/>
        <item h="1" m="1" x="7548"/>
        <item h="1" m="1" x="7549"/>
        <item h="1" m="1" x="7550"/>
        <item h="1" m="1" x="7555"/>
        <item h="1" m="1" x="7556"/>
        <item h="1" m="1" x="7557"/>
        <item h="1" m="1" x="7560"/>
        <item h="1" m="1" x="6734"/>
        <item h="1" m="1" x="7561"/>
        <item h="1" m="1" x="7562"/>
        <item h="1" m="1" x="7563"/>
        <item h="1" m="1" x="7566"/>
        <item h="1" m="1" x="5628"/>
        <item h="1" m="1" x="7568"/>
        <item h="1" m="1" x="6236"/>
        <item h="1" m="1" x="7578"/>
        <item h="1" m="1" x="7586"/>
        <item h="1" m="1" x="7587"/>
        <item h="1" m="1" x="7593"/>
        <item h="1" m="1" x="7594"/>
        <item h="1" m="1" x="6258"/>
        <item h="1" m="1" x="7595"/>
        <item h="1" m="1" x="929"/>
        <item h="1" m="1" x="7596"/>
        <item h="1" m="1" x="7597"/>
        <item h="1" m="1" x="7598"/>
        <item h="1" m="1" x="7599"/>
        <item h="1" m="1" x="660"/>
        <item h="1" m="1" x="7600"/>
        <item h="1" m="1" x="7601"/>
        <item h="1" m="1" x="7602"/>
        <item h="1" m="1" x="7603"/>
        <item h="1" m="1" x="7606"/>
        <item h="1" m="1" x="7607"/>
        <item h="1" m="1" x="7608"/>
        <item h="1" m="1" x="7609"/>
        <item h="1" m="1" x="6611"/>
        <item h="1" m="1" x="7610"/>
        <item h="1" m="1" x="7611"/>
        <item h="1" m="1" x="7612"/>
        <item h="1" m="1" x="7613"/>
        <item h="1" m="1" x="7617"/>
        <item h="1" m="1" x="7618"/>
        <item h="1" m="1" x="7619"/>
        <item h="1" m="1" x="5488"/>
        <item h="1" m="1" x="5487"/>
        <item h="1" m="1" x="2686"/>
        <item h="1" m="1" x="7627"/>
        <item h="1" m="1" x="7628"/>
        <item h="1" m="1" x="7630"/>
        <item h="1" m="1" x="6255"/>
        <item h="1" m="1" x="7631"/>
        <item h="1" m="1" x="7632"/>
        <item h="1" m="1" x="7460"/>
        <item h="1" m="1" x="7461"/>
        <item h="1" m="1" x="7459"/>
        <item h="1" m="1" x="7634"/>
        <item h="1" m="1" x="5083"/>
        <item h="1" m="1" x="7635"/>
        <item h="1" m="1" x="7636"/>
        <item h="1" m="1" x="7637"/>
        <item h="1" m="1" x="7638"/>
        <item h="1" m="1" x="7639"/>
        <item h="1" m="1" x="7640"/>
        <item h="1" m="1" x="7641"/>
        <item h="1" m="1" x="7642"/>
        <item h="1" m="1" x="4395"/>
        <item h="1" m="1" x="7644"/>
        <item h="1" m="1" x="7645"/>
        <item h="1" m="1" x="6846"/>
        <item h="1" m="1" x="7647"/>
        <item h="1" m="1" x="7648"/>
        <item h="1" x="286"/>
        <item h="1" m="1" x="7649"/>
        <item h="1" m="1" x="7650"/>
        <item h="1" m="1" x="6867"/>
        <item h="1" x="296"/>
        <item h="1" m="1" x="7651"/>
        <item h="1" m="1" x="7479"/>
        <item h="1" m="1" x="7480"/>
        <item h="1" m="1" x="7652"/>
        <item h="1" m="1" x="7653"/>
        <item h="1" m="1" x="7654"/>
        <item h="1" m="1" x="6852"/>
        <item h="1" m="1" x="7421"/>
        <item h="1" m="1" x="6895"/>
        <item h="1" m="1" x="6918"/>
        <item h="1" m="1" x="5379"/>
        <item h="1" m="1" x="5378"/>
        <item h="1" m="1" x="7176"/>
        <item h="1" m="1" x="7177"/>
        <item h="1" m="1" x="7175"/>
        <item h="1" m="1" x="7181"/>
        <item h="1" m="1" x="7187"/>
        <item h="1" m="1" x="7188"/>
        <item h="1" m="1" x="7189"/>
        <item h="1" m="1" x="5386"/>
        <item h="1" m="1" x="5393"/>
        <item h="1" m="1" x="2759"/>
        <item h="1" m="1" x="7426"/>
        <item h="1" m="1" x="5394"/>
        <item h="1" m="1" x="5399"/>
        <item h="1" m="1" x="5814"/>
        <item h="1" m="1" x="6658"/>
        <item h="1" m="1" x="3260"/>
        <item h="1" m="1" x="7439"/>
        <item h="1" m="1" x="6655"/>
        <item h="1" m="1" x="6712"/>
        <item h="1" m="1" x="7352"/>
        <item h="1" m="1" x="7353"/>
        <item h="1" m="1" x="7376"/>
        <item h="1" m="1" x="5447"/>
        <item h="1" m="1" x="5448"/>
        <item h="1" m="1" x="5449"/>
        <item h="1" m="1" x="7205"/>
        <item h="1" m="1" x="7213"/>
        <item h="1" m="1" x="7214"/>
        <item h="1" m="1" x="7215"/>
        <item h="1" m="1" x="7378"/>
        <item h="1" m="1" x="7217"/>
        <item h="1" m="1" x="6767"/>
        <item h="1" m="1" x="6768"/>
        <item h="1" m="1" x="7379"/>
        <item h="1" m="1" x="7380"/>
        <item h="1" m="1" x="7384"/>
        <item h="1" m="1" x="7246"/>
        <item h="1" m="1" x="7247"/>
        <item h="1" m="1" x="7248"/>
        <item h="1" m="1" x="7249"/>
        <item h="1" m="1" x="7250"/>
        <item h="1" m="1" x="7251"/>
        <item h="1" m="1" x="7252"/>
        <item h="1" m="1" x="7253"/>
        <item h="1" m="1" x="7149"/>
        <item h="1" m="1" x="7254"/>
        <item h="1" m="1" x="7255"/>
        <item h="1" m="1" x="7244"/>
        <item h="1" m="1" x="7259"/>
        <item h="1" m="1" x="7260"/>
        <item h="1" m="1" x="7261"/>
        <item h="1" m="1" x="7262"/>
        <item h="1" m="1" x="7263"/>
        <item h="1" m="1" x="6882"/>
        <item h="1" m="1" x="7264"/>
        <item h="1" m="1" x="1544"/>
        <item h="1" m="1" x="7265"/>
        <item h="1" m="1" x="7266"/>
        <item h="1" m="1" x="7267"/>
        <item h="1" m="1" x="7256"/>
        <item h="1" m="1" x="7258"/>
        <item h="1" m="1" x="7276"/>
        <item h="1" m="1" x="7282"/>
        <item h="1" m="1" x="6243"/>
        <item h="1" m="1" x="7283"/>
        <item h="1" m="1" x="6811"/>
        <item h="1" m="1" x="7295"/>
        <item h="1" m="1" x="7291"/>
        <item h="1" m="1" x="7441"/>
        <item h="1" m="1" x="7442"/>
        <item h="1" m="1" x="7443"/>
        <item h="1" m="1" x="7444"/>
        <item h="1" m="1" x="7445"/>
        <item h="1" m="1" x="7446"/>
        <item h="1" m="1" x="7447"/>
        <item h="1" m="1" x="7448"/>
        <item h="1" m="1" x="7449"/>
        <item h="1" m="1" x="7450"/>
        <item h="1" m="1" x="7451"/>
        <item h="1" m="1" x="7452"/>
        <item h="1" m="1" x="7453"/>
        <item h="1" m="1" x="7454"/>
        <item h="1" m="1" x="7455"/>
        <item h="1" m="1" x="7456"/>
        <item h="1" m="1" x="7457"/>
        <item h="1" m="1" x="7458"/>
        <item h="1" m="1" x="7399"/>
        <item h="1" m="1" x="5504"/>
        <item h="1" m="1" x="7464"/>
        <item h="1" m="1" x="7466"/>
        <item h="1" m="1" x="6932"/>
        <item h="1" m="1" x="6931"/>
        <item h="1" m="1" x="7008"/>
        <item h="1" m="1" x="7467"/>
        <item h="1" m="1" x="7468"/>
        <item h="1" m="1" x="6934"/>
        <item h="1" m="1" x="7414"/>
        <item h="1" m="1" x="7470"/>
        <item h="1" m="1" x="7471"/>
        <item h="1" m="1" x="5531"/>
        <item h="1" m="1" x="6563"/>
        <item h="1" m="1" x="7472"/>
        <item h="1" m="1" x="7473"/>
        <item h="1" m="1" x="7474"/>
        <item h="1" m="1" x="7476"/>
        <item h="1" m="1" x="7408"/>
        <item h="1" m="1" x="7142"/>
        <item h="1" m="1" x="6942"/>
        <item h="1" m="1" x="7418"/>
        <item h="1" m="1" x="6561"/>
        <item h="1" m="1" x="7482"/>
        <item h="1" m="1" x="7483"/>
        <item h="1" m="1" x="7484"/>
        <item h="1" m="1" x="7485"/>
        <item h="1" m="1" x="7486"/>
        <item h="1" m="1" x="7487"/>
        <item h="1" m="1" x="7488"/>
        <item h="1" m="1" x="7489"/>
        <item h="1" m="1" x="7490"/>
        <item h="1" m="1" x="7491"/>
        <item h="1" m="1" x="7492"/>
        <item h="1" m="1" x="7493"/>
        <item h="1" m="1" x="6884"/>
        <item h="1" m="1" x="6935"/>
        <item h="1" m="1" x="7494"/>
        <item h="1" m="1" x="6897"/>
        <item h="1" m="1" x="6896"/>
        <item h="1" m="1" x="7499"/>
        <item h="1" m="1" x="6933"/>
        <item h="1" m="1" x="7168"/>
        <item h="1" m="1" x="6564"/>
        <item h="1" m="1" x="4125"/>
        <item h="1" m="1" x="2330"/>
        <item h="1" m="1" x="7172"/>
        <item h="1" m="1" x="6575"/>
        <item h="1" m="1" x="7321"/>
        <item h="1" m="1" x="5375"/>
        <item h="1" m="1" x="7179"/>
        <item h="1" m="1" x="7180"/>
        <item h="1" m="1" x="7182"/>
        <item h="1" m="1" x="7106"/>
        <item h="1" m="1" x="7183"/>
        <item h="1" m="1" x="5385"/>
        <item h="1" m="1" x="4123"/>
        <item h="1" m="1" x="7322"/>
        <item h="1" m="1" x="6899"/>
        <item h="1" m="1" x="6220"/>
        <item h="1" m="1" x="6635"/>
        <item h="1" m="1" x="6219"/>
        <item h="1" m="1" x="7118"/>
        <item h="1" m="1" x="6526"/>
        <item h="1" m="1" x="6687"/>
        <item h="1" m="1" x="7349"/>
        <item h="1" m="1" x="7354"/>
        <item h="1" m="1" x="7355"/>
        <item h="1" m="1" x="6714"/>
        <item h="1" m="1" x="6926"/>
        <item h="1" m="1" x="7198"/>
        <item h="1" m="1" x="7199"/>
        <item h="1" m="1" x="7371"/>
        <item h="1" m="1" x="7372"/>
        <item h="1" m="1" x="7375"/>
        <item h="1" m="1" x="7377"/>
        <item h="1" m="1" x="5460"/>
        <item h="1" m="1" x="7381"/>
        <item h="1" m="1" x="7382"/>
        <item h="1" m="1" x="6084"/>
        <item h="1" m="1" x="7396"/>
        <item h="1" m="1" x="7397"/>
        <item h="1" m="1" x="7219"/>
        <item h="1" m="1" x="7220"/>
        <item h="1" m="1" x="7398"/>
        <item h="1" m="1" x="7221"/>
        <item h="1" m="1" x="6100"/>
        <item h="1" m="1" x="7257"/>
        <item h="1" m="1" x="7277"/>
        <item h="1" m="1" x="7278"/>
        <item h="1" m="1" x="7279"/>
        <item h="1" m="1" x="7280"/>
        <item h="1" m="1" x="7281"/>
        <item h="1" m="1" x="7289"/>
        <item h="1" m="1" x="5500"/>
        <item h="1" m="1" x="6815"/>
        <item h="1" m="1" x="7292"/>
        <item h="1" m="1" x="7294"/>
        <item h="1" m="1" x="7226"/>
        <item h="1" m="1" x="7239"/>
        <item h="1" m="1" x="7240"/>
        <item h="1" m="1" x="7241"/>
        <item h="1" m="1" x="7243"/>
        <item h="1" m="1" x="6810"/>
        <item h="1" m="1" x="7400"/>
        <item h="1" m="1" x="7401"/>
        <item h="1" m="1" x="7402"/>
        <item h="1" m="1" x="7403"/>
        <item h="1" m="1" x="7301"/>
        <item h="1" m="1" x="7404"/>
        <item h="1" m="1" x="7405"/>
        <item h="1" m="1" x="7406"/>
        <item h="1" m="1" x="7407"/>
        <item h="1" m="1" x="7409"/>
        <item h="1" m="1" x="7410"/>
        <item h="1" m="1" x="7411"/>
        <item h="1" m="1" x="7412"/>
        <item h="1" m="1" x="7413"/>
        <item h="1" m="1" x="7415"/>
        <item h="1" m="1" x="7311"/>
        <item h="1" m="1" x="3472"/>
        <item h="1" m="1" x="6861"/>
        <item h="1" m="1" x="7088"/>
        <item h="1" m="1" x="6995"/>
        <item h="1" m="1" x="7422"/>
        <item h="1" m="1" x="6898"/>
        <item h="1" m="1" x="6565"/>
        <item h="1" m="1" x="7169"/>
        <item h="1" m="1" x="7170"/>
        <item h="1" m="1" x="6856"/>
        <item h="1" m="1" x="6848"/>
        <item h="1" m="1" x="4832"/>
        <item h="1" m="1" x="1968"/>
        <item h="1" m="1" x="6577"/>
        <item h="1" m="1" x="717"/>
        <item h="1" m="1" x="7173"/>
        <item h="1" m="1" x="7174"/>
        <item h="1" m="1" x="6869"/>
        <item h="1" m="1" x="7178"/>
        <item h="1" m="1" x="7184"/>
        <item h="1" m="1" x="7185"/>
        <item h="1" m="1" x="6603"/>
        <item h="1" m="1" x="7186"/>
        <item h="1" m="1" x="6590"/>
        <item h="1" m="1" x="7190"/>
        <item h="1" m="1" x="6612"/>
        <item h="1" m="1" x="7191"/>
        <item h="1" m="1" x="7192"/>
        <item h="1" m="1" x="5812"/>
        <item h="1" m="1" x="2165"/>
        <item h="1" m="1" x="6637"/>
        <item h="1" m="1" x="993"/>
        <item h="1" m="1" x="7193"/>
        <item h="1" m="1" x="6666"/>
        <item h="1" m="1" x="6667"/>
        <item h="1" m="1" x="6665"/>
        <item h="1" m="1" x="6685"/>
        <item h="1" m="1" x="6695"/>
        <item h="1" m="1" x="6686"/>
        <item h="1" m="1" x="7003"/>
        <item h="1" m="1" x="7194"/>
        <item h="1" m="1" x="6905"/>
        <item h="1" m="1" x="7195"/>
        <item h="1" m="1" x="7196"/>
        <item h="1" m="1" x="7197"/>
        <item h="1" m="1" x="6050"/>
        <item h="1" m="1" x="6922"/>
        <item h="1" m="1" x="7201"/>
        <item h="1" m="1" x="6732"/>
        <item h="1" m="1" x="7203"/>
        <item h="1" m="1" x="4951"/>
        <item h="1" m="1" x="4952"/>
        <item h="1" m="1" x="7206"/>
        <item h="1" m="1" x="6941"/>
        <item h="1" m="1" x="7207"/>
        <item h="1" m="1" x="7208"/>
        <item h="1" m="1" x="6762"/>
        <item h="1" m="1" x="7209"/>
        <item h="1" m="1" x="7212"/>
        <item h="1" m="1" x="6947"/>
        <item h="1" m="1" x="7222"/>
        <item h="1" m="1" x="6245"/>
        <item h="1" m="1" x="6791"/>
        <item h="1" m="1" x="7227"/>
        <item h="1" m="1" x="7228"/>
        <item h="1" m="1" x="7229"/>
        <item h="1" m="1" x="7230"/>
        <item h="1" m="1" x="7231"/>
        <item h="1" m="1" x="7232"/>
        <item h="1" m="1" x="7233"/>
        <item h="1" m="1" x="7234"/>
        <item h="1" m="1" x="7235"/>
        <item h="1" m="1" x="7236"/>
        <item h="1" m="1" x="7028"/>
        <item h="1" m="1" x="7237"/>
        <item h="1" m="1" x="7238"/>
        <item h="1" m="1" x="6798"/>
        <item h="1" m="1" x="7242"/>
        <item h="1" m="1" x="7268"/>
        <item h="1" m="1" x="7269"/>
        <item h="1" m="1" x="3328"/>
        <item h="1" m="1" x="7270"/>
        <item h="1" m="1" x="7271"/>
        <item h="1" m="1" x="7272"/>
        <item h="1" m="1" x="7273"/>
        <item h="1" m="1" x="7274"/>
        <item h="1" m="1" x="7275"/>
        <item h="1" m="1" x="6099"/>
        <item h="1" m="1" x="7284"/>
        <item h="1" m="1" x="7288"/>
        <item h="1" m="1" x="7296"/>
        <item h="1" m="1" x="7297"/>
        <item h="1" m="1" x="7298"/>
        <item h="1" m="1" x="7299"/>
        <item h="1" m="1" x="6894"/>
        <item h="1" m="1" x="6891"/>
        <item h="1" x="0"/>
        <item h="1" m="1" x="7139"/>
        <item h="1" m="1" x="7140"/>
        <item h="1" m="1" x="1794"/>
        <item h="1" m="1" x="6893"/>
        <item h="1" m="1" x="7303"/>
        <item h="1" m="1" x="7304"/>
        <item h="1" m="1" x="7305"/>
        <item h="1" m="1" x="7306"/>
        <item h="1" m="1" x="7307"/>
        <item h="1" m="1" x="7308"/>
        <item h="1" m="1" x="1727"/>
        <item h="1" m="1" x="7309"/>
        <item h="1" m="1" x="7310"/>
        <item h="1" m="1" x="6877"/>
        <item h="1" m="1" x="7312"/>
        <item h="1" m="1" x="6937"/>
        <item h="1" m="1" x="6890"/>
        <item h="1" m="1" x="7313"/>
        <item h="1" m="1" x="7314"/>
        <item h="1" m="1" x="7315"/>
        <item h="1" m="1" x="6859"/>
        <item h="1" m="1" x="7316"/>
        <item h="1" m="1" x="7317"/>
        <item h="1" m="1" x="7318"/>
        <item h="1" m="1" x="6881"/>
        <item h="1" m="1" x="6944"/>
        <item h="1" m="1" x="6973"/>
        <item h="1" m="1" x="7319"/>
        <item h="1" m="1" x="7320"/>
        <item h="1" m="1" x="7049"/>
        <item h="1" m="1" x="7050"/>
        <item h="1" m="1" x="4820"/>
        <item h="1" m="1" x="7051"/>
        <item h="1" m="1" x="7052"/>
        <item h="1" m="1" x="1809"/>
        <item h="1" m="1" x="7053"/>
        <item h="1" m="1" x="7054"/>
        <item h="1" m="1" x="7055"/>
        <item h="1" m="1" x="7056"/>
        <item h="1" m="1" x="7057"/>
        <item h="1" m="1" x="7058"/>
        <item h="1" m="1" x="7059"/>
        <item h="1" m="1" x="7060"/>
        <item h="1" m="1" x="7061"/>
        <item h="1" m="1" x="7063"/>
        <item h="1" m="1" x="7064"/>
        <item h="1" m="1" x="7065"/>
        <item h="1" m="1" x="7067"/>
        <item h="1" m="1" x="7068"/>
        <item h="1" m="1" x="5894"/>
        <item h="1" m="1" x="7069"/>
        <item h="1" m="1" x="7071"/>
        <item h="1" m="1" x="7072"/>
        <item h="1" m="1" x="7073"/>
        <item h="1" m="1" x="7074"/>
        <item h="1" m="1" x="7075"/>
        <item h="1" m="1" x="7076"/>
        <item h="1" m="1" x="7078"/>
        <item h="1" m="1" x="7079"/>
        <item h="1" m="1" x="7080"/>
        <item h="1" m="1" x="7081"/>
        <item h="1" m="1" x="7082"/>
        <item h="1" m="1" x="6967"/>
        <item h="1" m="1" x="1719"/>
        <item h="1" m="1" x="7083"/>
        <item h="1" m="1" x="7085"/>
        <item h="1" m="1" x="7086"/>
        <item h="1" m="1" x="7089"/>
        <item h="1" m="1" x="7090"/>
        <item h="1" m="1" x="6870"/>
        <item h="1" m="1" x="7091"/>
        <item h="1" m="1" x="7092"/>
        <item h="1" m="1" x="7093"/>
        <item h="1" m="1" x="7094"/>
        <item h="1" m="1" x="7095"/>
        <item h="1" m="1" x="6979"/>
        <item h="1" m="1" x="6874"/>
        <item h="1" m="1" x="4805"/>
        <item h="1" m="1" x="7096"/>
        <item h="1" m="1" x="7097"/>
        <item h="1" m="1" x="5365"/>
        <item h="1" m="1" x="7098"/>
        <item h="1" m="1" x="7100"/>
        <item h="1" m="1" x="7101"/>
        <item h="1" m="1" x="7102"/>
        <item h="1" m="1" x="7103"/>
        <item h="1" m="1" x="7104"/>
        <item h="1" m="1" x="7105"/>
        <item h="1" m="1" x="7107"/>
        <item h="1" m="1" x="7108"/>
        <item h="1" m="1" x="5366"/>
        <item h="1" m="1" x="5906"/>
        <item h="1" m="1" x="4625"/>
        <item h="1" m="1" x="7110"/>
        <item h="1" m="1" x="5854"/>
        <item h="1" m="1" x="7111"/>
        <item h="1" m="1" x="7112"/>
        <item h="1" m="1" x="4394"/>
        <item h="1" m="1" x="7113"/>
        <item h="1" x="2"/>
        <item h="1" m="1" x="7114"/>
        <item h="1" m="1" x="6222"/>
        <item h="1" m="1" x="7115"/>
        <item h="1" m="1" x="6639"/>
        <item h="1" m="1" x="4590"/>
        <item h="1" m="1" x="7116"/>
        <item h="1" m="1" x="6638"/>
        <item h="1" m="1" x="7117"/>
        <item h="1" m="1" x="6670"/>
        <item h="1" m="1" x="7119"/>
        <item h="1" m="1" x="6908"/>
        <item h="1" m="1" x="6910"/>
        <item h="1" m="1" x="7120"/>
        <item h="1" m="1" x="6696"/>
        <item h="1" m="1" x="6683"/>
        <item h="1" m="1" x="6684"/>
        <item h="1" m="1" x="7121"/>
        <item h="1" x="3"/>
        <item h="1" x="4"/>
        <item h="1" m="1" x="3150"/>
        <item h="1" m="1" x="3599"/>
        <item h="1" x="5"/>
        <item h="1" m="1" x="7122"/>
        <item h="1" m="1" x="7123"/>
        <item h="1" x="387"/>
        <item h="1" m="1" x="5606"/>
        <item h="1" m="1" x="7124"/>
        <item h="1" m="1" x="7125"/>
        <item h="1" m="1" x="6702"/>
        <item h="1" m="1" x="6701"/>
        <item h="1" m="1" x="7126"/>
        <item h="1" m="1" x="7127"/>
        <item h="1" m="1" x="6705"/>
        <item h="1" m="1" x="6706"/>
        <item h="1" m="1" x="7128"/>
        <item h="1" m="1" x="6717"/>
        <item h="1" m="1" x="6719"/>
        <item h="1" m="1" x="6720"/>
        <item h="1" m="1" x="6919"/>
        <item h="1" x="91"/>
        <item h="1" m="1" x="6388"/>
        <item h="1" m="1" x="6718"/>
        <item h="1" m="1" x="6716"/>
        <item h="1" m="1" x="7007"/>
        <item h="1" m="1" x="7012"/>
        <item h="1" m="1" x="7013"/>
        <item h="1" m="1" x="7010"/>
        <item h="1" m="1" x="7006"/>
        <item h="1" m="1" x="7011"/>
        <item h="1" m="1" x="1167"/>
        <item h="1" m="1" x="7009"/>
        <item h="1" m="1" x="613"/>
        <item h="1" m="1" x="6738"/>
        <item h="1" m="1" x="6740"/>
        <item h="1" m="1" x="6736"/>
        <item h="1" m="1" x="7129"/>
        <item h="1" m="1" x="7130"/>
        <item h="1" m="1" x="7019"/>
        <item h="1" m="1" x="759"/>
        <item h="1" m="1" x="838"/>
        <item h="1" m="1" x="6761"/>
        <item h="1" m="1" x="7132"/>
        <item h="1" m="1" x="7133"/>
        <item h="1" m="1" x="5455"/>
        <item h="1" m="1" x="7134"/>
        <item h="1" m="1" x="7135"/>
        <item h="1" m="1" x="7136"/>
        <item h="1" m="1" x="7137"/>
        <item h="1" m="1" x="7138"/>
        <item h="1" m="1" x="4464"/>
        <item h="1" m="1" x="6082"/>
        <item h="1" m="1" x="6090"/>
        <item h="1" m="1" x="6091"/>
        <item h="1" x="14"/>
        <item h="1" m="1" x="5945"/>
        <item h="1" m="1" x="4982"/>
        <item h="1" m="1" x="6092"/>
        <item h="1" m="1" x="6093"/>
        <item h="1" m="1" x="5944"/>
        <item h="1" m="1" x="5684"/>
        <item h="1" m="1" x="5946"/>
        <item h="1" m="1" x="5685"/>
        <item h="1" m="1" x="7141"/>
        <item h="1" m="1" x="5329"/>
        <item h="1" m="1" x="6246"/>
        <item h="1" m="1" x="7143"/>
        <item h="1" m="1" x="7144"/>
        <item h="1" m="1" x="7145"/>
        <item h="1" m="1" x="7146"/>
        <item h="1" m="1" x="7147"/>
        <item h="1" m="1" x="7148"/>
        <item h="1" m="1" x="7150"/>
        <item h="1" m="1" x="7151"/>
        <item h="1" m="1" x="7152"/>
        <item h="1" m="1" x="7153"/>
        <item h="1" m="1" x="7154"/>
        <item h="1" m="1" x="7155"/>
        <item h="1" m="1" x="7156"/>
        <item h="1" m="1" x="7157"/>
        <item h="1" m="1" x="7158"/>
        <item h="1" m="1" x="7159"/>
        <item h="1" m="1" x="7160"/>
        <item h="1" m="1" x="7161"/>
        <item h="1" m="1" x="7162"/>
        <item h="1" m="1" x="7163"/>
        <item h="1" m="1" x="5709"/>
        <item h="1" m="1" x="7164"/>
        <item h="1" m="1" x="5708"/>
        <item h="1" m="1" x="7165"/>
        <item h="1" m="1" x="7166"/>
        <item h="1" m="1" x="5051"/>
        <item h="1" m="1" x="6291"/>
        <item h="1" m="1" x="6963"/>
        <item h="1" m="1" x="6830"/>
        <item h="1" m="1" x="5798"/>
        <item h="1" m="1" x="6833"/>
        <item h="1" m="1" x="6832"/>
        <item h="1" m="1" x="6831"/>
        <item h="1" m="1" x="6834"/>
        <item h="1" m="1" x="6964"/>
        <item h="1" m="1" x="6965"/>
        <item h="1" m="1" x="6966"/>
        <item h="1" m="1" x="5746"/>
        <item h="1" m="1" x="5194"/>
        <item h="1" m="1" x="6968"/>
        <item h="1" m="1" x="6969"/>
        <item h="1" m="1" x="6970"/>
        <item h="1" m="1" x="6971"/>
        <item h="1" m="1" x="6972"/>
        <item h="1" m="1" x="6849"/>
        <item h="1" m="1" x="6850"/>
        <item h="1" m="1" x="4546"/>
        <item h="1" m="1" x="6851"/>
        <item h="1" m="1" x="6974"/>
        <item h="1" m="1" x="6858"/>
        <item h="1" m="1" x="6857"/>
        <item h="1" m="1" x="6868"/>
        <item h="1" m="1" x="4837"/>
        <item h="1" m="1" x="6873"/>
        <item h="1" m="1" x="6976"/>
        <item h="1" m="1" x="6977"/>
        <item h="1" m="1" x="3284"/>
        <item h="1" m="1" x="6978"/>
        <item h="1" m="1" x="5747"/>
        <item h="1" m="1" x="6980"/>
        <item h="1" m="1" x="5377"/>
        <item h="1" m="1" x="6602"/>
        <item h="1" m="1" x="5571"/>
        <item h="1" m="1" x="6605"/>
        <item h="1" m="1" x="6982"/>
        <item h="1" m="1" x="482"/>
        <item h="1" m="1" x="6216"/>
        <item h="1" m="1" x="5907"/>
        <item h="1" m="1" x="6875"/>
        <item h="1" m="1" x="6876"/>
        <item h="1" m="1" x="6878"/>
        <item h="1" m="1" x="6880"/>
        <item h="1" m="1" x="6983"/>
        <item h="1" m="1" x="6984"/>
        <item h="1" m="1" x="6986"/>
        <item h="1" x="6"/>
        <item h="1" x="1"/>
        <item h="1" m="1" x="6989"/>
        <item h="1" m="1" x="834"/>
        <item h="1" m="1" x="4469"/>
        <item h="1" m="1" x="4575"/>
        <item h="1" m="1" x="6991"/>
        <item h="1" m="1" x="6992"/>
        <item h="1" m="1" x="6993"/>
        <item h="1" m="1" x="6221"/>
        <item h="1" m="1" x="6994"/>
        <item h="1" m="1" x="4573"/>
        <item h="1" m="1" x="6669"/>
        <item h="1" m="1" x="5215"/>
        <item h="1" m="1" x="733"/>
        <item h="1" m="1" x="6999"/>
        <item h="1" m="1" x="7000"/>
        <item h="1" m="1" x="6675"/>
        <item h="1" m="1" x="6907"/>
        <item h="1" m="1" x="6906"/>
        <item h="1" m="1" x="7001"/>
        <item h="1" m="1" x="7002"/>
        <item h="1" m="1" x="6916"/>
        <item h="1" m="1" x="6915"/>
        <item h="1" m="1" x="6682"/>
        <item h="1" m="1" x="6679"/>
        <item h="1" m="1" x="7004"/>
        <item h="1" m="1" x="6901"/>
        <item h="1" m="1" x="6681"/>
        <item h="1" m="1" x="3163"/>
        <item h="1" m="1" x="5430"/>
        <item h="1" m="1" x="5607"/>
        <item h="1" m="1" x="6722"/>
        <item h="1" m="1" x="4977"/>
        <item h="1" m="1" x="6924"/>
        <item h="1" m="1" x="6923"/>
        <item h="1" m="1" x="6513"/>
        <item h="1" m="1" x="7005"/>
        <item h="1" m="1" x="7018"/>
        <item h="1" x="9"/>
        <item h="1" m="1" x="6744"/>
        <item h="1" m="1" x="6743"/>
        <item h="1" m="1" x="6936"/>
        <item h="1" m="1" x="5446"/>
        <item h="1" m="1" x="7020"/>
        <item h="1" x="317"/>
        <item h="1" m="1" x="7021"/>
        <item h="1" m="1" x="7022"/>
        <item h="1" m="1" x="5943"/>
        <item h="1" m="1" x="5065"/>
        <item h="1" m="1" x="5675"/>
        <item h="1" m="1" x="6094"/>
        <item h="1" m="1" x="5948"/>
        <item h="1" m="1" x="5677"/>
        <item h="1" m="1" x="5949"/>
        <item h="1" m="1" x="5687"/>
        <item h="1" m="1" x="5688"/>
        <item h="1" m="1" x="5951"/>
        <item h="1" m="1" x="7023"/>
        <item h="1" m="1" x="7024"/>
        <item h="1" m="1" x="1695"/>
        <item h="1" m="1" x="7025"/>
        <item h="1" m="1" x="7026"/>
        <item h="1" m="1" x="7027"/>
        <item h="1" m="1" x="7029"/>
        <item h="1" m="1" x="4675"/>
        <item h="1" m="1" x="7030"/>
        <item h="1" m="1" x="7031"/>
        <item h="1" m="1" x="7032"/>
        <item h="1" m="1" x="7033"/>
        <item h="1" m="1" x="7034"/>
        <item h="1" m="1" x="7035"/>
        <item h="1" m="1" x="7036"/>
        <item h="1" m="1" x="7037"/>
        <item h="1" m="1" x="7038"/>
        <item h="1" m="1" x="7039"/>
        <item h="1" m="1" x="7040"/>
        <item h="1" m="1" x="7042"/>
        <item h="1" m="1" x="7043"/>
        <item h="1" m="1" x="7044"/>
        <item h="1" m="1" x="7045"/>
        <item h="1" m="1" x="7047"/>
        <item h="1" m="1" x="6962"/>
        <item h="1" m="1" x="7048"/>
        <item h="1" m="1" x="4047"/>
        <item h="1" m="1" x="5989"/>
        <item h="1" m="1" x="6829"/>
        <item h="1" m="1" x="5339"/>
        <item h="1" m="1" x="6837"/>
        <item h="1" m="1" x="6838"/>
        <item h="1" m="1" x="6839"/>
        <item h="1" m="1" x="6840"/>
        <item h="1" m="1" x="6841"/>
        <item h="1" m="1" x="6842"/>
        <item h="1" m="1" x="6843"/>
        <item h="1" m="1" x="6844"/>
        <item h="1" m="1" x="6845"/>
        <item h="1" m="1" x="6568"/>
        <item h="1" m="1" x="4290"/>
        <item h="1" m="1" x="4901"/>
        <item h="1" m="1" x="5897"/>
        <item h="1" m="1" x="3656"/>
        <item h="1" m="1" x="6576"/>
        <item h="1" m="1" x="6343"/>
        <item h="1" m="1" x="6344"/>
        <item h="1" m="1" x="6313"/>
        <item h="1" m="1" x="6582"/>
        <item h="1" m="1" x="6871"/>
        <item h="1" m="1" x="6872"/>
        <item h="1" m="1" x="5380"/>
        <item h="1" m="1" x="4842"/>
        <item h="1" m="1" x="6598"/>
        <item h="1" m="1" x="6599"/>
        <item h="1" m="1" x="5358"/>
        <item h="1" m="1" x="4168"/>
        <item h="1" m="1" x="6608"/>
        <item h="1" m="1" x="6609"/>
        <item h="1" m="1" x="6600"/>
        <item h="1" x="31"/>
        <item h="1" m="1" x="4878"/>
        <item h="1" m="1" x="5391"/>
        <item h="1" m="1" x="4879"/>
        <item h="1" m="1" x="5579"/>
        <item h="1" m="1" x="3922"/>
        <item h="1" m="1" x="5808"/>
        <item h="1" m="1" x="6632"/>
        <item h="1" m="1" x="6636"/>
        <item h="1" m="1" x="6668"/>
        <item h="1" m="1" x="912"/>
        <item h="1" m="1" x="6671"/>
        <item h="1" m="1" x="6672"/>
        <item h="1" m="1" x="6911"/>
        <item h="1" m="1" x="6912"/>
        <item h="1" m="1" x="6678"/>
        <item h="1" m="1" x="6677"/>
        <item h="1" m="1" x="6676"/>
        <item h="1" m="1" x="6680"/>
        <item h="1" m="1" x="6694"/>
        <item h="1" m="1" x="6913"/>
        <item h="1" m="1" x="4915"/>
        <item h="1" m="1" x="6699"/>
        <item h="1" m="1" x="5605"/>
        <item h="1" m="1" x="6698"/>
        <item h="1" m="1" x="6703"/>
        <item h="1" m="1" x="5604"/>
        <item h="1" m="1" x="6723"/>
        <item h="1" m="1" x="4898"/>
        <item h="1" m="1" x="6707"/>
        <item h="1" m="1" x="5931"/>
        <item h="1" m="1" x="6927"/>
        <item h="1" m="1" x="6733"/>
        <item h="1" m="1" x="6731"/>
        <item h="1" m="1" x="760"/>
        <item h="1" m="1" x="6756"/>
        <item h="1" m="1" x="6757"/>
        <item h="1" m="1" x="6765"/>
        <item h="1" m="1" x="6763"/>
        <item h="1" m="1" x="4966"/>
        <item h="1" m="1" x="6770"/>
        <item h="1" m="1" x="6771"/>
        <item h="1" m="1" x="6943"/>
        <item h="1" m="1" x="6948"/>
        <item h="1" m="1" x="6952"/>
        <item h="1" m="1" x="6953"/>
        <item h="1" m="1" x="2741"/>
        <item h="1" m="1" x="6954"/>
        <item h="1" m="1" x="6955"/>
        <item h="1" m="1" x="6089"/>
        <item h="1" m="1" x="5960"/>
        <item h="1" m="1" x="6777"/>
        <item h="1" m="1" x="6956"/>
        <item h="1" m="1" x="6783"/>
        <item h="1" m="1" x="6792"/>
        <item h="1" m="1" x="6790"/>
        <item h="1" m="1" x="6793"/>
        <item h="1" m="1" x="6806"/>
        <item h="1" m="1" x="6804"/>
        <item h="1" m="1" x="6805"/>
        <item h="1" m="1" x="6807"/>
        <item h="1" m="1" x="5345"/>
        <item h="1" m="1" x="6799"/>
        <item h="1" m="1" x="6800"/>
        <item h="1" m="1" x="5034"/>
        <item h="1" m="1" x="6257"/>
        <item h="1" m="1" x="6961"/>
        <item h="1" m="1" x="5978"/>
        <item h="1" m="1" x="6560"/>
        <item h="1" m="1" x="6539"/>
        <item h="1" m="1" x="6567"/>
        <item h="1" m="1" x="6169"/>
        <item h="1" m="1" x="6213"/>
        <item h="1" m="1" x="6212"/>
        <item h="1" m="1" x="6573"/>
        <item h="1" m="1" x="6574"/>
        <item h="1" m="1" x="6578"/>
        <item h="1" m="1" x="6579"/>
        <item h="1" m="1" x="6580"/>
        <item h="1" m="1" x="6581"/>
        <item h="1" m="1" x="6583"/>
        <item h="1" m="1" x="6584"/>
        <item h="1" m="1" x="6588"/>
        <item h="1" m="1" x="6589"/>
        <item h="1" m="1" x="5332"/>
        <item h="1" m="1" x="5376"/>
        <item h="1" m="1" x="636"/>
        <item h="1" m="1" x="6606"/>
        <item h="1" m="1" x="6607"/>
        <item h="1" m="1" x="4857"/>
        <item h="1" m="1" x="6615"/>
        <item h="1" m="1" x="6622"/>
        <item h="1" m="1" x="6623"/>
        <item h="1" m="1" x="4691"/>
        <item h="1" m="1" x="1795"/>
        <item h="1" m="1" x="6267"/>
        <item h="1" m="1" x="1796"/>
        <item h="1" m="1" x="6360"/>
        <item h="1" m="1" x="6223"/>
        <item h="1" m="1" x="5303"/>
        <item h="1" m="1" x="6673"/>
        <item h="1" m="1" x="6674"/>
        <item h="1" m="1" x="6361"/>
        <item h="1" m="1" x="6697"/>
        <item h="1" m="1" x="2027"/>
        <item h="1" m="1" x="6700"/>
        <item h="1" m="1" x="6527"/>
        <item h="1" m="1" x="6483"/>
        <item h="1" m="1" x="6451"/>
        <item h="1" m="1" x="6747"/>
        <item h="1" m="1" x="6748"/>
        <item h="1" m="1" x="6750"/>
        <item h="1" m="1" x="6758"/>
        <item h="1" m="1" x="6764"/>
        <item h="1" m="1" x="6766"/>
        <item h="1" m="1" x="5937"/>
        <item h="1" m="1" x="5875"/>
        <item h="1" m="1" x="6466"/>
        <item h="1" m="1" x="6088"/>
        <item h="1" m="1" x="5148"/>
        <item h="1" m="1" x="5958"/>
        <item h="1" m="1" x="5959"/>
        <item h="1" m="1" x="5674"/>
        <item h="1" m="1" x="6779"/>
        <item h="1" m="1" x="6781"/>
        <item h="1" m="1" x="6782"/>
        <item h="1" m="1" x="6789"/>
        <item h="1" m="1" x="6794"/>
        <item h="1" m="1" x="6795"/>
        <item h="1" m="1" x="6796"/>
        <item h="1" m="1" x="6797"/>
        <item h="1" m="1" x="6248"/>
        <item h="1" m="1" x="6801"/>
        <item h="1" m="1" x="6802"/>
        <item h="1" m="1" x="6808"/>
        <item h="1" m="1" x="6813"/>
        <item h="1" m="1" x="6256"/>
        <item h="1" m="1" x="6823"/>
        <item h="1" m="1" x="6824"/>
        <item h="1" m="1" x="6825"/>
        <item h="1" m="1" x="6367"/>
        <item h="1" m="1" x="6207"/>
        <item h="1" m="1" x="6368"/>
        <item h="1" m="1" x="6209"/>
        <item h="1" m="1" x="5567"/>
        <item h="1" m="1" x="3991"/>
        <item h="1" m="1" x="4829"/>
        <item h="1" m="1" x="6369"/>
        <item h="1" m="1" x="6370"/>
        <item h="1" m="1" x="6371"/>
        <item h="1" m="1" x="6372"/>
        <item h="1" m="1" x="5905"/>
        <item h="1" m="1" x="6373"/>
        <item h="1" m="1" x="6374"/>
        <item h="1" m="1" x="5220"/>
        <item h="1" m="1" x="5222"/>
        <item h="1" m="1" x="5221"/>
        <item h="1" m="1" x="5574"/>
        <item h="1" m="1" x="5575"/>
        <item h="1" m="1" x="5223"/>
        <item h="1" m="1" x="5224"/>
        <item h="1" m="1" x="1743"/>
        <item h="1" m="1" x="2282"/>
        <item h="1" m="1" x="6375"/>
        <item h="1" m="1" x="6376"/>
        <item h="1" m="1" x="4856"/>
        <item h="1" m="1" x="5465"/>
        <item h="1" m="1" x="1840"/>
        <item h="1" m="1" x="1088"/>
        <item h="1" m="1" x="4831"/>
        <item h="1" m="1" x="6049"/>
        <item h="1" m="1" x="5924"/>
        <item h="1" m="1" x="5903"/>
        <item h="1" m="1" x="5902"/>
        <item h="1" m="1" x="5577"/>
        <item h="1" m="1" x="4870"/>
        <item h="1" m="1" x="4869"/>
        <item h="1" m="1" x="6379"/>
        <item h="1" m="1" x="6380"/>
        <item h="1" m="1" x="6381"/>
        <item h="1" m="1" x="1735"/>
        <item h="1" m="1" x="6230"/>
        <item h="1" m="1" x="5397"/>
        <item h="1" m="1" x="6226"/>
        <item h="1" m="1" x="6227"/>
        <item h="1" m="1" x="6228"/>
        <item h="1" m="1" x="6229"/>
        <item h="1" m="1" x="6224"/>
        <item h="1" m="1" x="6225"/>
        <item h="1" m="1" x="4268"/>
        <item h="1" m="1" x="6382"/>
        <item h="1" m="1" x="5927"/>
        <item h="1" m="1" x="5404"/>
        <item h="1" m="1" x="5402"/>
        <item h="1" m="1" x="6384"/>
        <item h="1" m="1" x="5423"/>
        <item h="1" m="1" x="5422"/>
        <item h="1" m="1" x="5425"/>
        <item h="1" m="1" x="5424"/>
        <item h="1" m="1" x="4914"/>
        <item h="1" m="1" x="5429"/>
        <item h="1" m="1" x="6385"/>
        <item h="1" m="1" x="5613"/>
        <item h="1" m="1" x="6386"/>
        <item h="1" m="1" x="6387"/>
        <item h="1" m="1" x="4924"/>
        <item h="1" m="1" x="4919"/>
        <item h="1" m="1" x="6073"/>
        <item h="1" m="1" x="6075"/>
        <item h="1" m="1" x="6074"/>
        <item h="1" x="211"/>
        <item h="1" m="1" x="5437"/>
        <item h="1" m="1" x="1156"/>
        <item h="1" m="1" x="5655"/>
        <item h="1" m="1" x="5650"/>
        <item h="1" m="1" x="6390"/>
        <item h="1" m="1" x="6359"/>
        <item h="1" m="1" x="5645"/>
        <item h="1" m="1" x="5647"/>
        <item h="1" m="1" x="5642"/>
        <item h="1" m="1" x="5640"/>
        <item h="1" m="1" x="5641"/>
        <item h="1" m="1" x="5662"/>
        <item h="1" m="1" x="5450"/>
        <item h="1" m="1" x="4945"/>
        <item h="1" m="1" x="6391"/>
        <item h="1" m="1" x="6392"/>
        <item h="1" m="1" x="6393"/>
        <item h="1" m="1" x="6394"/>
        <item h="1" x="226"/>
        <item h="1" m="1" x="6395"/>
        <item h="1" m="1" x="5961"/>
        <item h="1" m="1" x="5673"/>
        <item h="1" m="1" x="6097"/>
        <item h="1" m="1" x="3440"/>
        <item h="1" m="1" x="5672"/>
        <item h="1" m="1" x="5324"/>
        <item h="1" m="1" x="2157"/>
        <item h="1" m="1" x="6085"/>
        <item h="1" m="1" x="6086"/>
        <item h="1" m="1" x="6087"/>
        <item h="1" m="1" x="3410"/>
        <item h="1" m="1" x="6396"/>
        <item h="1" m="1" x="6244"/>
        <item h="1" m="1" x="6397"/>
        <item h="1" m="1" x="6398"/>
        <item h="1" m="1" x="6399"/>
        <item h="1" m="1" x="6400"/>
        <item h="1" m="1" x="6401"/>
        <item h="1" m="1" x="5470"/>
        <item h="1" m="1" x="5482"/>
        <item h="1" m="1" x="6402"/>
        <item h="1" m="1" x="6403"/>
        <item h="1" m="1" x="5484"/>
        <item h="1" m="1" x="6404"/>
        <item h="1" m="1" x="6405"/>
        <item h="1" m="1" x="6406"/>
        <item h="1" m="1" x="6407"/>
        <item h="1" m="1" x="6408"/>
        <item h="1" m="1" x="6409"/>
        <item h="1" m="1" x="6410"/>
        <item h="1" m="1" x="6411"/>
        <item h="1" m="1" x="6412"/>
        <item h="1" m="1" x="6413"/>
        <item h="1" m="1" x="5480"/>
        <item h="1" m="1" x="6252"/>
        <item h="1" m="1" x="5060"/>
        <item h="1" m="1" x="4718"/>
        <item h="1" m="1" x="5008"/>
        <item h="1" m="1" x="5009"/>
        <item h="1" m="1" x="6414"/>
        <item h="1" m="1" x="6415"/>
        <item h="1" m="1" x="6416"/>
        <item h="1" m="1" x="6417"/>
        <item h="1" m="1" x="4404"/>
        <item h="1" m="1" x="734"/>
        <item h="1" m="1" x="5489"/>
        <item h="1" m="1" x="6418"/>
        <item h="1" m="1" x="6419"/>
        <item h="1" m="1" x="6420"/>
        <item h="1" m="1" x="6421"/>
        <item h="1" m="1" x="6422"/>
        <item h="1" m="1" x="6423"/>
        <item h="1" m="1" x="5048"/>
        <item h="1" m="1" x="5874"/>
        <item h="1" m="1" x="5965"/>
        <item h="1" m="1" x="6424"/>
        <item h="1" m="1" x="5483"/>
        <item h="1" m="1" x="6425"/>
        <item h="1" m="1" x="6426"/>
        <item h="1" m="1" x="2834"/>
        <item h="1" m="1" x="975"/>
        <item h="1" m="1" x="6427"/>
        <item h="1" m="1" x="6428"/>
        <item h="1" m="1" x="6429"/>
        <item h="1" m="1" x="6430"/>
        <item h="1" m="1" x="6431"/>
        <item h="1" m="1" x="6432"/>
        <item h="1" m="1" x="6433"/>
        <item h="1" m="1" x="6434"/>
        <item h="1" m="1" x="6435"/>
        <item h="1" m="1" x="6437"/>
        <item h="1" m="1" x="6438"/>
        <item h="1" m="1" x="6439"/>
        <item h="1" m="1" x="6440"/>
        <item h="1" m="1" x="6441"/>
        <item h="1" m="1" x="6442"/>
        <item h="1" m="1" x="6443"/>
        <item h="1" m="1" x="6444"/>
        <item h="1" m="1" x="6445"/>
        <item h="1" m="1" x="6446"/>
        <item h="1" m="1" x="6447"/>
        <item h="1" m="1" x="6448"/>
        <item h="1" m="1" x="6449"/>
        <item h="1" m="1" x="6450"/>
        <item h="1" m="1" x="6452"/>
        <item h="1" m="1" x="6453"/>
        <item h="1" m="1" x="6454"/>
        <item h="1" m="1" x="6455"/>
        <item h="1" m="1" x="6456"/>
        <item h="1" m="1" x="6457"/>
        <item h="1" m="1" x="6458"/>
        <item h="1" m="1" x="6459"/>
        <item h="1" m="1" x="6460"/>
        <item h="1" m="1" x="6461"/>
        <item h="1" m="1" x="5067"/>
        <item h="1" m="1" x="6275"/>
        <item h="1" m="1" x="6462"/>
        <item h="1" m="1" x="708"/>
        <item h="1" m="1" x="6271"/>
        <item h="1" m="1" x="6270"/>
        <item h="1" m="1" x="6269"/>
        <item h="1" m="1" x="6297"/>
        <item h="1" m="1" x="6285"/>
        <item h="1" m="1" x="6286"/>
        <item h="1" m="1" x="6295"/>
        <item h="1" m="1" x="6292"/>
        <item h="1" m="1" x="6293"/>
        <item h="1" m="1" x="6294"/>
        <item h="1" m="1" x="6289"/>
        <item h="1" m="1" x="6288"/>
        <item h="1" m="1" x="6290"/>
        <item h="1" m="1" x="6296"/>
        <item h="1" m="1" x="6274"/>
        <item h="1" m="1" x="6278"/>
        <item h="1" m="1" x="6279"/>
        <item h="1" m="1" x="6280"/>
        <item h="1" m="1" x="6281"/>
        <item h="1" m="1" x="5198"/>
        <item h="1" m="1" x="6282"/>
        <item h="1" m="1" x="6283"/>
        <item h="1" m="1" x="6284"/>
        <item h="1" m="1" x="6463"/>
        <item h="1" m="1" x="6464"/>
        <item h="1" m="1" x="6465"/>
        <item h="1" m="1" x="6467"/>
        <item h="1" m="1" x="6468"/>
        <item h="1" m="1" x="6469"/>
        <item h="1" m="1" x="3338"/>
        <item h="1" m="1" x="6470"/>
        <item h="1" m="1" x="6310"/>
        <item h="1" m="1" x="6311"/>
        <item h="1" m="1" x="6309"/>
        <item h="1" m="1" x="6471"/>
        <item h="1" m="1" x="6312"/>
        <item h="1" m="1" x="5290"/>
        <item h="1" m="1" x="6472"/>
        <item h="1" m="1" x="6473"/>
        <item h="1" m="1" x="6474"/>
        <item h="1" m="1" x="6475"/>
        <item h="1" m="1" x="6316"/>
        <item h="1" m="1" x="6300"/>
        <item h="1" m="1" x="6476"/>
        <item h="1" m="1" x="6477"/>
        <item h="1" m="1" x="3999"/>
        <item h="1" m="1" x="6478"/>
        <item h="1" m="1" x="6479"/>
        <item h="1" m="1" x="6480"/>
        <item h="1" m="1" x="6481"/>
        <item h="1" m="1" x="6484"/>
        <item h="1" m="1" x="6143"/>
        <item h="1" m="1" x="6485"/>
        <item h="1" m="1" x="6486"/>
        <item h="1" m="1" x="6487"/>
        <item h="1" m="1" x="6488"/>
        <item h="1" m="1" x="6489"/>
        <item h="1" m="1" x="6490"/>
        <item h="1" m="1" x="6491"/>
        <item h="1" m="1" x="6492"/>
        <item h="1" m="1" x="6494"/>
        <item h="1" m="1" x="6495"/>
        <item h="1" m="1" x="5541"/>
        <item h="1" m="1" x="6158"/>
        <item h="1" m="1" x="6496"/>
        <item h="1" m="1" x="6497"/>
        <item h="1" m="1" x="6498"/>
        <item h="1" m="1" x="6499"/>
        <item h="1" m="1" x="786"/>
        <item h="1" m="1" x="6500"/>
        <item h="1" m="1" x="5302"/>
        <item h="1" m="1" x="6501"/>
        <item h="1" m="1" x="6502"/>
        <item h="1" m="1" x="6504"/>
        <item h="1" m="1" x="6505"/>
        <item h="1" m="1" x="6506"/>
        <item h="1" m="1" x="6507"/>
        <item h="1" x="10"/>
        <item h="1" m="1" x="6508"/>
        <item h="1" m="1" x="6509"/>
        <item h="1" m="1" x="2205"/>
        <item h="1" m="1" x="6510"/>
        <item h="1" m="1" x="6511"/>
        <item h="1" m="1" x="6512"/>
        <item h="1" m="1" x="6515"/>
        <item h="1" m="1" x="6516"/>
        <item h="1" m="1" x="6517"/>
        <item h="1" m="1" x="6518"/>
        <item h="1" m="1" x="6519"/>
        <item h="1" m="1" x="6520"/>
        <item h="1" m="1" x="6521"/>
        <item h="1" m="1" x="6522"/>
        <item h="1" m="1" x="6523"/>
        <item h="1" m="1" x="6524"/>
        <item h="1" m="1" x="6525"/>
        <item h="1" m="1" x="6346"/>
        <item h="1" m="1" x="5135"/>
        <item h="1" m="1" x="6345"/>
        <item h="1" m="1" x="6348"/>
        <item h="1" m="1" x="6357"/>
        <item h="1" m="1" x="6356"/>
        <item h="1" m="1" x="6355"/>
        <item h="1" m="1" x="6350"/>
        <item h="1" m="1" x="6529"/>
        <item h="1" m="1" x="6530"/>
        <item h="1" m="1" x="6531"/>
        <item h="1" m="1" x="5795"/>
        <item h="1" m="1" x="5147"/>
        <item h="1" m="1" x="3441"/>
        <item h="1" m="1" x="6532"/>
        <item h="1" m="1" x="6534"/>
        <item h="1" m="1" x="6536"/>
        <item h="1" m="1" x="6538"/>
        <item h="1" m="1" x="1215"/>
        <item h="1" m="1" x="6540"/>
        <item h="1" m="1" x="6543"/>
        <item h="1" m="1" x="6544"/>
        <item h="1" m="1" x="5153"/>
        <item h="1" m="1" x="2548"/>
        <item h="1" m="1" x="5328"/>
        <item h="1" m="1" x="6548"/>
        <item h="1" m="1" x="6549"/>
        <item h="1" m="1" x="6550"/>
        <item h="1" m="1" x="5796"/>
        <item h="1" m="1" x="6552"/>
        <item h="1" m="1" x="6553"/>
        <item h="1" m="1" x="6554"/>
        <item h="1" m="1" x="6556"/>
        <item h="1" m="1" x="5159"/>
        <item h="1" m="1" x="6557"/>
        <item h="1" m="1" x="6558"/>
        <item h="1" m="1" x="6559"/>
        <item h="1" x="137"/>
        <item h="1" m="1" x="5562"/>
        <item h="1" m="1" x="4821"/>
        <item h="1" m="1" x="5560"/>
        <item h="1" m="1" x="6210"/>
        <item h="1" m="1" x="4637"/>
        <item h="1" m="1" x="4848"/>
        <item h="1" m="1" x="5363"/>
        <item h="1" m="1" x="6215"/>
        <item h="1" m="1" x="6217"/>
        <item h="1" m="1" x="4858"/>
        <item h="1" m="1" x="4565"/>
        <item h="1" m="1" x="5580"/>
        <item h="1" m="1" x="5390"/>
        <item h="1" m="1" x="4871"/>
        <item h="1" m="1" x="5389"/>
        <item h="1" m="1" x="6231"/>
        <item h="1" m="1" x="6232"/>
        <item h="1" m="1" x="6233"/>
        <item h="1" m="1" x="5438"/>
        <item h="1" m="1" x="5594"/>
        <item h="1" m="1" x="5595"/>
        <item h="1" m="1" x="4688"/>
        <item h="1" m="1" x="4690"/>
        <item h="1" m="1" x="5418"/>
        <item h="1" m="1" x="5600"/>
        <item h="1" m="1" x="5428"/>
        <item h="1" m="1" x="5617"/>
        <item h="1" m="1" x="5654"/>
        <item h="1" m="1" x="4455"/>
        <item h="1" m="1" x="5614"/>
        <item h="1" m="1" x="2531"/>
        <item h="1" m="1" x="5626"/>
        <item h="1" m="1" x="5618"/>
        <item h="1" m="1" x="2378"/>
        <item h="1" m="1" x="6176"/>
        <item h="1" m="1" x="5658"/>
        <item h="1" m="1" x="4701"/>
        <item h="1" m="1" x="4954"/>
        <item h="1" m="1" x="6238"/>
        <item h="1" m="1" x="5458"/>
        <item h="1" m="1" x="6239"/>
        <item h="1" m="1" x="5938"/>
        <item h="1" m="1" x="5692"/>
        <item h="1" m="1" x="5953"/>
        <item h="1" m="1" x="5954"/>
        <item h="1" m="1" x="4937"/>
        <item h="1" m="1" x="5955"/>
        <item h="1" m="1" x="5956"/>
        <item h="1" m="1" x="4980"/>
        <item h="1" m="1" x="6101"/>
        <item h="1" m="1" x="6240"/>
        <item h="1" m="1" x="6241"/>
        <item h="1" m="1" x="6242"/>
        <item h="1" m="1" x="6247"/>
        <item h="1" x="7"/>
        <item h="1" m="1" x="5259"/>
        <item h="1" m="1" x="5260"/>
        <item h="1" m="1" x="5249"/>
        <item h="1" m="1" x="6249"/>
        <item h="1" m="1" x="6250"/>
        <item h="1" m="1" x="6251"/>
        <item h="1" m="1" x="6253"/>
        <item h="1" m="1" x="1854"/>
        <item h="1" m="1" x="6254"/>
        <item h="1" m="1" x="5486"/>
        <item h="1" m="1" x="5040"/>
        <item h="1" m="1" x="6177"/>
        <item h="1" m="1" x="6178"/>
        <item h="1" m="1" x="6179"/>
        <item h="1" m="1" x="2553"/>
        <item h="1" m="1" x="5033"/>
        <item h="1" m="1" x="6259"/>
        <item h="1" m="1" x="6260"/>
        <item h="1" m="1" x="6261"/>
        <item h="1" m="1" x="6262"/>
        <item h="1" m="1" x="6263"/>
        <item h="1" m="1" x="6264"/>
        <item h="1" m="1" x="6265"/>
        <item h="1" m="1" x="6266"/>
        <item h="1" m="1" x="5068"/>
        <item h="1" m="1" x="5994"/>
        <item h="1" m="1" x="6268"/>
        <item h="1" m="1" x="6272"/>
        <item h="1" m="1" x="6273"/>
        <item h="1" m="1" x="6276"/>
        <item h="1" m="1" x="6277"/>
        <item h="1" m="1" x="6287"/>
        <item h="1" m="1" x="6298"/>
        <item h="1" m="1" x="6299"/>
        <item h="1" m="1" x="6301"/>
        <item h="1" m="1" x="6302"/>
        <item h="1" m="1" x="6303"/>
        <item h="1" m="1" x="6305"/>
        <item h="1" m="1" x="6306"/>
        <item h="1" m="1" x="6307"/>
        <item h="1" m="1" x="6308"/>
        <item h="1" m="1" x="5089"/>
        <item h="1" m="1" x="6314"/>
        <item h="1" m="1" x="6315"/>
        <item h="1" m="1" x="6141"/>
        <item h="1" m="1" x="6317"/>
        <item h="1" m="1" x="6321"/>
        <item h="1" m="1" x="6319"/>
        <item h="1" m="1" x="6318"/>
        <item h="1" m="1" x="6320"/>
        <item h="1" m="1" x="6322"/>
        <item h="1" m="1" x="6323"/>
        <item h="1" m="1" x="6324"/>
        <item h="1" m="1" x="6325"/>
        <item h="1" m="1" x="6326"/>
        <item h="1" m="1" x="6013"/>
        <item h="1" m="1" x="5748"/>
        <item h="1" m="1" x="6328"/>
        <item h="1" m="1" x="6329"/>
        <item h="1" m="1" x="6330"/>
        <item h="1" m="1" x="6331"/>
        <item h="1" m="1" x="6332"/>
        <item h="1" m="1" x="6333"/>
        <item h="1" m="1" x="6199"/>
        <item h="1" m="1" x="6334"/>
        <item h="1" m="1" x="6335"/>
        <item h="1" m="1" x="6336"/>
        <item h="1" m="1" x="6337"/>
        <item h="1" m="1" x="6338"/>
        <item h="1" m="1" x="6339"/>
        <item h="1" m="1" x="6340"/>
        <item h="1" m="1" x="5542"/>
        <item h="1" m="1" x="6341"/>
        <item h="1" m="1" x="6205"/>
        <item h="1" m="1" x="6206"/>
        <item h="1" m="1" x="6342"/>
        <item h="1" m="1" x="6347"/>
        <item h="1" m="1" x="6349"/>
        <item h="1" m="1" x="1850"/>
        <item h="1" m="1" x="6351"/>
        <item h="1" m="1" x="6352"/>
        <item h="1" m="1" x="6353"/>
        <item h="1" m="1" x="6354"/>
        <item h="1" m="1" x="6358"/>
        <item h="1" x="12"/>
        <item h="1" m="1" x="4689"/>
        <item h="1" m="1" x="6362"/>
        <item h="1" m="1" x="6363"/>
        <item h="1" m="1" x="6364"/>
        <item h="1" m="1" x="6365"/>
        <item h="1" m="1" x="484"/>
        <item h="1" m="1" x="6048"/>
        <item h="1" m="1" x="5352"/>
        <item h="1" m="1" x="5357"/>
        <item h="1" m="1" x="2113"/>
        <item h="1" m="1" x="6052"/>
        <item h="1" m="1" x="6056"/>
        <item h="1" m="1" x="6055"/>
        <item h="1" m="1" x="4862"/>
        <item h="1" m="1" x="6057"/>
        <item h="1" m="1" x="6058"/>
        <item h="1" m="1" x="6059"/>
        <item h="1" m="1" x="5806"/>
        <item h="1" m="1" x="6051"/>
        <item h="1" m="1" x="6170"/>
        <item h="1" m="1" x="5925"/>
        <item h="1" m="1" x="5387"/>
        <item h="1" m="1" x="4545"/>
        <item h="1" m="1" x="5581"/>
        <item h="1" m="1" x="5582"/>
        <item h="1" m="1" x="3411"/>
        <item h="1" m="1" x="5405"/>
        <item h="1" m="1" x="5820"/>
        <item h="1" m="1" x="4900"/>
        <item h="1" m="1" x="6171"/>
        <item h="1" m="1" x="6172"/>
        <item h="1" m="1" x="6066"/>
        <item h="1" m="1" x="6173"/>
        <item h="1" m="1" x="6174"/>
        <item h="1" m="1" x="6175"/>
        <item h="1" m="1" x="6070"/>
        <item h="1" m="1" x="5611"/>
        <item h="1" m="1" x="4925"/>
        <item h="1" m="1" x="4929"/>
        <item h="1" m="1" x="5666"/>
        <item h="1" m="1" x="722"/>
        <item h="1" m="1" x="5439"/>
        <item h="1" m="1" x="5634"/>
        <item h="1" m="1" x="5636"/>
        <item h="1" m="1" x="5637"/>
        <item h="1" m="1" x="4939"/>
        <item h="1" m="1" x="5630"/>
        <item h="1" m="1" x="5631"/>
        <item h="1" m="1" x="5632"/>
        <item h="1" m="1" x="6079"/>
        <item h="1" m="1" x="6080"/>
        <item h="1" m="1" x="6078"/>
        <item h="1" x="383"/>
        <item h="1" m="1" x="5939"/>
        <item h="1" m="1" x="5952"/>
        <item h="1" m="1" x="5305"/>
        <item h="1" m="1" x="5699"/>
        <item h="1" m="1" x="5001"/>
        <item h="1" m="1" x="6102"/>
        <item h="1" m="1" x="6103"/>
        <item h="1" m="1" x="5702"/>
        <item h="1" m="1" x="6109"/>
        <item h="1" m="1" x="6108"/>
        <item h="1" m="1" x="6118"/>
        <item h="1" m="1" x="6119"/>
        <item h="1" m="1" x="5497"/>
        <item h="1" m="1" x="5267"/>
        <item h="1" m="1" x="6111"/>
        <item h="1" m="1" x="875"/>
        <item h="1" m="1" x="6180"/>
        <item h="1" m="1" x="6181"/>
        <item h="1" m="1" x="6182"/>
        <item h="1" m="1" x="6183"/>
        <item h="1" m="1" x="6184"/>
        <item h="1" m="1" x="6185"/>
        <item h="1" m="1" x="6186"/>
        <item h="1" m="1" x="6187"/>
        <item h="1" m="1" x="6188"/>
        <item h="1" m="1" x="6189"/>
        <item h="1" m="1" x="6190"/>
        <item h="1" m="1" x="6191"/>
        <item h="1" m="1" x="6192"/>
        <item h="1" m="1" x="6193"/>
        <item h="1" m="1" x="6131"/>
        <item h="1" m="1" x="6194"/>
        <item h="1" m="1" x="5539"/>
        <item h="1" m="1" x="6195"/>
        <item h="1" m="1" x="6196"/>
        <item h="1" m="1" x="6000"/>
        <item h="1" m="1" x="6002"/>
        <item h="1" m="1" x="6197"/>
        <item h="1" m="1" x="6198"/>
        <item h="1" m="1" x="6132"/>
        <item h="1" m="1" x="3501"/>
        <item h="1" m="1" x="745"/>
        <item h="1" m="1" x="6146"/>
        <item h="1" m="1" x="6147"/>
        <item h="1" m="1" x="6148"/>
        <item h="1" m="1" x="6149"/>
        <item h="1" m="1" x="6015"/>
        <item h="1" m="1" x="6154"/>
        <item h="1" x="337"/>
        <item h="1" m="1" x="6026"/>
        <item h="1" m="1" x="6157"/>
        <item h="1" m="1" x="6156"/>
        <item h="1" m="1" x="6200"/>
        <item h="1" m="1" x="6201"/>
        <item h="1" m="1" x="6202"/>
        <item h="1" m="1" x="6203"/>
        <item h="1" m="1" x="6033"/>
        <item h="1" m="1" x="5137"/>
        <item h="1" m="1" x="6032"/>
        <item h="1" m="1" x="6204"/>
        <item h="1" m="1" x="6163"/>
        <item h="1" m="1" x="6044"/>
        <item h="1" m="1" x="5323"/>
        <item h="1" m="1" x="3412"/>
        <item h="1" m="1" x="5564"/>
        <item h="1" m="1" x="5347"/>
        <item h="1" m="1" x="6047"/>
        <item h="1" m="1" x="5167"/>
        <item h="1" m="1" x="3655"/>
        <item h="1" m="1" x="5168"/>
        <item h="1" m="1" x="5361"/>
        <item h="1" m="1" x="5362"/>
        <item h="1" m="1" x="5801"/>
        <item h="1" m="1" x="6053"/>
        <item h="1" m="1" x="1843"/>
        <item h="1" m="1" x="5382"/>
        <item h="1" m="1" x="5587"/>
        <item h="1" m="1" x="6061"/>
        <item h="1" m="1" x="4103"/>
        <item h="1" m="1" x="3129"/>
        <item h="1" m="1" x="5811"/>
        <item h="1" m="1" x="6062"/>
        <item h="1" m="1" x="6063"/>
        <item h="1" m="1" x="6064"/>
        <item h="1" m="1" x="6065"/>
        <item h="1" m="1" x="5410"/>
        <item h="1" m="1" x="6067"/>
        <item h="1" m="1" x="6068"/>
        <item h="1" m="1" x="6069"/>
        <item h="1" m="1" x="5603"/>
        <item h="1" m="1" x="5602"/>
        <item h="1" m="1" x="5608"/>
        <item h="1" m="1" x="6071"/>
        <item h="1" m="1" x="4928"/>
        <item h="1" m="1" x="4926"/>
        <item h="1" m="1" x="4927"/>
        <item h="1" m="1" x="5434"/>
        <item h="1" m="1" x="6072"/>
        <item h="1" m="1" x="5435"/>
        <item h="1" m="1" x="5620"/>
        <item h="1" m="1" x="5619"/>
        <item h="1" m="1" x="5179"/>
        <item h="1" m="1" x="5178"/>
        <item h="1" m="1" x="5180"/>
        <item h="1" m="1" x="4950"/>
        <item h="1" m="1" x="4949"/>
        <item h="1" m="1" x="6076"/>
        <item h="1" m="1" x="5185"/>
        <item h="1" m="1" x="5668"/>
        <item h="1" m="1" x="3322"/>
        <item h="1" x="415"/>
        <item h="1" m="1" x="2160"/>
        <item h="1" m="1" x="6077"/>
        <item h="1" m="1" x="692"/>
        <item h="1" m="1" x="6081"/>
        <item h="1" m="1" x="4983"/>
        <item h="1" m="1" x="5957"/>
        <item h="1" m="1" x="2062"/>
        <item h="1" m="1" x="5962"/>
        <item h="1" m="1" x="6096"/>
        <item h="1" m="1" x="5731"/>
        <item h="1" m="1" x="5963"/>
        <item h="1" m="1" x="4200"/>
        <item h="1" m="1" x="6104"/>
        <item h="1" m="1" x="6105"/>
        <item h="1" m="1" x="5020"/>
        <item h="1" m="1" x="6106"/>
        <item h="1" m="1" x="6107"/>
        <item h="1" m="1" x="4719"/>
        <item h="1" m="1" x="921"/>
        <item h="1" m="1" x="6110"/>
        <item h="1" m="1" x="2311"/>
        <item h="1" m="1" x="6112"/>
        <item h="1" x="412"/>
        <item h="1" m="1" x="1287"/>
        <item h="1" m="1" x="6113"/>
        <item h="1" m="1" x="6114"/>
        <item h="1" m="1" x="5041"/>
        <item h="1" m="1" x="6115"/>
        <item h="1" m="1" x="6116"/>
        <item h="1" m="1" x="5872"/>
        <item h="1" m="1" x="5988"/>
        <item h="1" m="1" x="6117"/>
        <item h="1" m="1" x="6120"/>
        <item h="1" m="1" x="6121"/>
        <item h="1" m="1" x="3783"/>
        <item h="1" m="1" x="6122"/>
        <item h="1" m="1" x="6123"/>
        <item h="1" m="1" x="5991"/>
        <item h="1" m="1" x="6124"/>
        <item h="1" m="1" x="6125"/>
        <item h="1" m="1" x="6126"/>
        <item h="1" m="1" x="5072"/>
        <item h="1" m="1" x="5717"/>
        <item h="1" m="1" x="6127"/>
        <item h="1" m="1" x="6128"/>
        <item h="1" m="1" x="6129"/>
        <item h="1" m="1" x="6130"/>
        <item h="1" m="1" x="5997"/>
        <item h="1" m="1" x="5999"/>
        <item h="1" m="1" x="6133"/>
        <item h="1" m="1" x="6134"/>
        <item h="1" m="1" x="6135"/>
        <item h="1" m="1" x="6001"/>
        <item h="1" m="1" x="6136"/>
        <item h="1" m="1" x="6137"/>
        <item h="1" m="1" x="6138"/>
        <item h="1" m="1" x="5088"/>
        <item h="1" m="1" x="6139"/>
        <item h="1" m="1" x="6140"/>
        <item h="1" m="1" x="1941"/>
        <item h="1" m="1" x="6142"/>
        <item h="1" m="1" x="6145"/>
        <item h="1" m="1" x="6010"/>
        <item h="1" m="1" x="6150"/>
        <item h="1" m="1" x="6151"/>
        <item h="1" m="1" x="6020"/>
        <item h="1" m="1" x="6152"/>
        <item h="1" m="1" x="6153"/>
        <item h="1" m="1" x="6011"/>
        <item h="1" m="1" x="6155"/>
        <item h="1" m="1" x="6025"/>
        <item h="1" m="1" x="6027"/>
        <item h="1" m="1" x="2941"/>
        <item h="1" m="1" x="4525"/>
        <item h="1" m="1" x="6159"/>
        <item h="1" m="1" x="2884"/>
        <item h="1" m="1" x="1899"/>
        <item h="1" m="1" x="6160"/>
        <item h="1" m="1" x="6161"/>
        <item h="1" m="1" x="6031"/>
        <item h="1" m="1" x="6035"/>
        <item h="1" m="1" x="6036"/>
        <item h="1" m="1" x="6162"/>
        <item h="1" m="1" x="6164"/>
        <item h="1" m="1" x="6166"/>
        <item h="1" m="1" x="6168"/>
        <item h="1" m="1" x="3438"/>
        <item h="1" m="1" x="6045"/>
        <item h="1" m="1" x="5319"/>
        <item h="1" m="1" x="5320"/>
        <item h="1" m="1" x="5557"/>
        <item h="1" m="1" x="3733"/>
        <item h="1" m="1" x="5341"/>
        <item h="1" m="1" x="5899"/>
        <item h="1" m="1" x="5900"/>
        <item h="1" m="1" x="5901"/>
        <item h="1" m="1" x="5904"/>
        <item h="1" m="1" x="5908"/>
        <item h="1" m="1" x="5909"/>
        <item h="1" m="1" x="4117"/>
        <item h="1" m="1" x="5910"/>
        <item h="1" m="1" x="5911"/>
        <item h="1" m="1" x="5916"/>
        <item h="1" m="1" x="5917"/>
        <item h="1" m="1" x="5918"/>
        <item h="1" m="1" x="5919"/>
        <item h="1" m="1" x="5920"/>
        <item h="1" m="1" x="5921"/>
        <item h="1" m="1" x="5922"/>
        <item h="1" m="1" x="5923"/>
        <item h="1" m="1" x="1893"/>
        <item h="1" m="1" x="4872"/>
        <item h="1" m="1" x="5810"/>
        <item h="1" m="1" x="5588"/>
        <item h="1" m="1" x="5926"/>
        <item h="1" m="1" x="5589"/>
        <item h="1" m="1" x="5599"/>
        <item h="1" m="1" x="5928"/>
        <item h="1" m="1" x="5411"/>
        <item h="1" m="1" x="5413"/>
        <item h="1" m="1" x="5817"/>
        <item h="1" m="1" x="5929"/>
        <item h="1" m="1" x="5930"/>
        <item h="1" x="389"/>
        <item h="1" m="1" x="4456"/>
        <item h="1" m="1" x="5622"/>
        <item h="1" m="1" x="5623"/>
        <item h="1" m="1" x="5181"/>
        <item h="1" m="1" x="5638"/>
        <item h="1" m="1" x="5935"/>
        <item h="1" m="1" x="1276"/>
        <item h="1" m="1" x="5936"/>
        <item h="1" m="1" x="5940"/>
        <item h="1" m="1" x="5941"/>
        <item h="1" m="1" x="5330"/>
        <item h="1" m="1" x="5346"/>
        <item h="1" m="1" x="5942"/>
        <item h="1" m="1" x="4009"/>
        <item h="1" m="1" x="5690"/>
        <item h="1" m="1" x="5691"/>
        <item h="1" m="1" x="4016"/>
        <item h="1" m="1" x="4733"/>
        <item h="1" m="1" x="5964"/>
        <item h="1" m="1" x="5966"/>
        <item h="1" m="1" x="1522"/>
        <item h="1" m="1" x="5967"/>
        <item h="1" m="1" x="5968"/>
        <item h="1" x="74"/>
        <item h="1" m="1" x="5969"/>
        <item h="1" m="1" x="5970"/>
        <item h="1" m="1" x="5971"/>
        <item h="1" m="1" x="5495"/>
        <item h="1" m="1" x="5972"/>
        <item h="1" m="1" x="5973"/>
        <item h="1" m="1" x="2481"/>
        <item h="1" m="1" x="1627"/>
        <item h="1" m="1" x="5974"/>
        <item h="1" m="1" x="5975"/>
        <item h="1" m="1" x="5865"/>
        <item h="1" m="1" x="5264"/>
        <item h="1" m="1" x="1566"/>
        <item h="1" m="1" x="5976"/>
        <item h="1" m="1" x="5490"/>
        <item h="1" m="1" x="5977"/>
        <item h="1" m="1" x="5980"/>
        <item h="1" m="1" x="5981"/>
        <item h="1" m="1" x="5982"/>
        <item h="1" m="1" x="5983"/>
        <item h="1" m="1" x="5984"/>
        <item h="1" m="1" x="5985"/>
        <item h="1" m="1" x="5986"/>
        <item h="1" m="1" x="5061"/>
        <item h="1" m="1" x="5987"/>
        <item h="1" m="1" x="5063"/>
        <item h="1" m="1" x="3828"/>
        <item h="1" m="1" x="4046"/>
        <item h="1" m="1" x="5992"/>
        <item h="1" m="1" x="5993"/>
        <item h="1" m="1" x="5071"/>
        <item h="1" m="1" x="5070"/>
        <item h="1" m="1" x="5724"/>
        <item h="1" m="1" x="5723"/>
        <item h="1" m="1" x="5995"/>
        <item h="1" m="1" x="5996"/>
        <item h="1" m="1" x="5728"/>
        <item h="1" m="1" x="5737"/>
        <item h="1" m="1" x="5738"/>
        <item h="1" m="1" x="5998"/>
        <item h="1" m="1" x="5743"/>
        <item h="1" m="1" x="5744"/>
        <item h="1" m="1" x="5532"/>
        <item h="1" m="1" x="6003"/>
        <item h="1" m="1" x="6004"/>
        <item h="1" m="1" x="6005"/>
        <item h="1" m="1" x="6006"/>
        <item h="1" m="1" x="6008"/>
        <item h="1" m="1" x="6009"/>
        <item h="1" m="1" x="6012"/>
        <item h="1" m="1" x="6014"/>
        <item h="1" m="1" x="6016"/>
        <item h="1" m="1" x="6017"/>
        <item h="1" m="1" x="6018"/>
        <item h="1" m="1" x="6019"/>
        <item h="1" m="1" x="6021"/>
        <item h="1" m="1" x="6022"/>
        <item h="1" m="1" x="6023"/>
        <item h="1" m="1" x="6024"/>
        <item h="1" m="1" x="6028"/>
        <item h="1" m="1" x="6030"/>
        <item h="1" m="1" x="5775"/>
        <item h="1" m="1" x="5770"/>
        <item h="1" m="1" x="5771"/>
        <item h="1" m="1" x="5774"/>
        <item h="1" m="1" x="6037"/>
        <item h="1" m="1" x="6038"/>
        <item h="1" m="1" x="6039"/>
        <item h="1" m="1" x="6040"/>
        <item h="1" m="1" x="6041"/>
        <item h="1" m="1" x="6042"/>
        <item h="1" m="1" x="6043"/>
        <item h="1" m="1" x="1903"/>
        <item h="1" m="1" x="6046"/>
        <item h="1" m="1" x="5322"/>
        <item h="1" m="1" x="5559"/>
        <item h="1" m="1" x="5334"/>
        <item h="1" m="1" x="5335"/>
        <item h="1" m="1" x="5799"/>
        <item h="1" m="1" x="5565"/>
        <item h="1" m="1" x="5566"/>
        <item h="1" m="1" x="5561"/>
        <item h="1" m="1" x="1369"/>
        <item h="1" m="1" x="5800"/>
        <item h="1" m="1" x="4849"/>
        <item h="1" m="1" x="4472"/>
        <item h="1" x="193"/>
        <item h="1" m="1" x="5802"/>
        <item h="1" m="1" x="4833"/>
        <item h="1" m="1" x="5803"/>
        <item h="1" m="1" x="5804"/>
        <item h="1" m="1" x="5805"/>
        <item h="1" m="1" x="4566"/>
        <item h="1" m="1" x="5807"/>
        <item h="1" m="1" x="5809"/>
        <item h="1" m="1" x="5813"/>
        <item h="1" m="1" x="5583"/>
        <item h="1" m="1" x="5584"/>
        <item h="1" m="1" x="3611"/>
        <item h="1" m="1" x="5586"/>
        <item h="1" m="1" x="5815"/>
        <item h="1" m="1" x="5816"/>
        <item h="1" m="1" x="5593"/>
        <item h="1" m="1" x="4687"/>
        <item h="1" m="1" x="3873"/>
        <item h="1" m="1" x="5601"/>
        <item h="1" m="1" x="5818"/>
        <item h="1" m="1" x="5412"/>
        <item h="1" m="1" x="5408"/>
        <item h="1" m="1" x="5819"/>
        <item h="1" m="1" x="5427"/>
        <item h="1" m="1" x="5426"/>
        <item h="1" m="1" x="5821"/>
        <item h="1" m="1" x="4930"/>
        <item h="1" m="1" x="5436"/>
        <item h="1" m="1" x="5822"/>
        <item h="1" m="1" x="5823"/>
        <item h="1" m="1" x="5824"/>
        <item h="1" m="1" x="5826"/>
        <item h="1" m="1" x="5653"/>
        <item h="1" m="1" x="4941"/>
        <item h="1" m="1" x="5827"/>
        <item h="1" m="1" x="5828"/>
        <item h="1" m="1" x="5829"/>
        <item h="1" m="1" x="5830"/>
        <item h="1" m="1" x="5831"/>
        <item h="1" m="1" x="5833"/>
        <item h="1" m="1" x="5834"/>
        <item h="1" m="1" x="5451"/>
        <item h="1" m="1" x="5836"/>
        <item h="1" m="1" x="5837"/>
        <item h="1" m="1" x="4006"/>
        <item h="1" m="1" x="4953"/>
        <item h="1" m="1" x="5838"/>
        <item h="1" m="1" x="5839"/>
        <item h="1" m="1" x="5840"/>
        <item h="1" m="1" x="3724"/>
        <item h="1" m="1" x="4967"/>
        <item h="1" m="1" x="5841"/>
        <item h="1" m="1" x="4019"/>
        <item h="1" m="1" x="5682"/>
        <item h="1" m="1" x="5683"/>
        <item h="1" m="1" x="5694"/>
        <item h="1" m="1" x="5695"/>
        <item h="1" m="1" x="5693"/>
        <item h="1" m="1" x="5844"/>
        <item h="1" m="1" x="5845"/>
        <item h="1" m="1" x="5846"/>
        <item h="1" m="1" x="5847"/>
        <item h="1" x="368"/>
        <item h="1" m="1" x="5848"/>
        <item h="1" m="1" x="5849"/>
        <item h="1" x="196"/>
        <item h="1" m="1" x="5850"/>
        <item h="1" m="1" x="5851"/>
        <item h="1" m="1" x="5852"/>
        <item h="1" m="1" x="5853"/>
        <item h="1" m="1" x="5855"/>
        <item h="1" m="1" x="3562"/>
        <item h="1" m="1" x="5856"/>
        <item h="1" m="1" x="5857"/>
        <item h="1" m="1" x="5858"/>
        <item h="1" m="1" x="5859"/>
        <item h="1" m="1" x="5496"/>
        <item h="1" m="1" x="5860"/>
        <item h="1" m="1" x="5861"/>
        <item h="1" m="1" x="5862"/>
        <item h="1" m="1" x="5863"/>
        <item h="1" m="1" x="5711"/>
        <item h="1" m="1" x="5864"/>
        <item h="1" m="1" x="5867"/>
        <item h="1" m="1" x="2358"/>
        <item h="1" m="1" x="5868"/>
        <item h="1" m="1" x="5869"/>
        <item h="1" m="1" x="5870"/>
        <item h="1" m="1" x="5871"/>
        <item h="1" m="1" x="699"/>
        <item h="1" m="1" x="5715"/>
        <item h="1" m="1" x="5050"/>
        <item h="1" m="1" x="5716"/>
        <item h="1" m="1" x="5069"/>
        <item h="1" m="1" x="5721"/>
        <item h="1" m="1" x="5876"/>
        <item h="1" m="1" x="5719"/>
        <item h="1" m="1" x="5720"/>
        <item h="1" m="1" x="5877"/>
        <item h="1" m="1" x="5878"/>
        <item h="1" m="1" x="5879"/>
        <item h="1" m="1" x="5880"/>
        <item h="1" m="1" x="5881"/>
        <item h="1" m="1" x="5882"/>
        <item h="1" m="1" x="5729"/>
        <item h="1" m="1" x="5884"/>
        <item h="1" m="1" x="5491"/>
        <item h="1" m="1" x="5886"/>
        <item h="1" m="1" x="5887"/>
        <item h="1" m="1" x="5888"/>
        <item h="1" m="1" x="5749"/>
        <item h="1" m="1" x="5889"/>
        <item h="1" m="1" x="5745"/>
        <item h="1" m="1" x="5890"/>
        <item h="1" m="1" x="5756"/>
        <item h="1" m="1" x="5750"/>
        <item h="1" m="1" x="5757"/>
        <item h="1" m="1" x="5753"/>
        <item h="1" m="1" x="5528"/>
        <item h="1" m="1" x="5759"/>
        <item h="1" m="1" x="5766"/>
        <item h="1" m="1" x="5767"/>
        <item h="1" m="1" x="5758"/>
        <item h="1" m="1" x="2017"/>
        <item h="1" m="1" x="5762"/>
        <item h="1" m="1" x="5763"/>
        <item h="1" m="1" x="5544"/>
        <item h="1" x="11"/>
        <item h="1" m="1" x="5891"/>
        <item h="1" m="1" x="5892"/>
        <item h="1" m="1" x="5893"/>
        <item h="1" m="1" x="5790"/>
        <item h="1" m="1" x="5787"/>
        <item h="1" m="1" x="5788"/>
        <item h="1" m="1" x="5789"/>
        <item h="1" m="1" x="5782"/>
        <item h="1" m="1" x="5783"/>
        <item h="1" m="1" x="5784"/>
        <item h="1" m="1" x="5785"/>
        <item h="1" m="1" x="1185"/>
        <item h="1" m="1" x="5794"/>
        <item h="1" m="1" x="5791"/>
        <item h="1" m="1" x="5792"/>
        <item h="1" m="1" x="5793"/>
        <item h="1" m="1" x="5895"/>
        <item h="1" m="1" x="1905"/>
        <item h="1" m="1" x="3967"/>
        <item h="1" m="1" x="3968"/>
        <item h="1" m="1" x="3969"/>
        <item h="1" m="1" x="3989"/>
        <item h="1" m="1" x="4827"/>
        <item h="1" m="1" x="3988"/>
        <item h="1" m="1" x="5569"/>
        <item h="1" m="1" x="5570"/>
        <item h="1" m="1" x="4839"/>
        <item h="1" m="1" x="5369"/>
        <item h="1" m="1" x="5572"/>
        <item h="1" m="1" x="5573"/>
        <item h="1" m="1" x="4471"/>
        <item h="1" m="1" x="765"/>
        <item h="1" m="1" x="5576"/>
        <item h="1" m="1" x="4843"/>
        <item h="1" m="1" x="761"/>
        <item h="1" m="1" x="3942"/>
        <item h="1" m="1" x="763"/>
        <item h="1" m="1" x="764"/>
        <item h="1" m="1" x="4884"/>
        <item h="1" m="1" x="5585"/>
        <item h="1" m="1" x="5396"/>
        <item h="1" m="1" x="5590"/>
        <item h="1" m="1" x="5591"/>
        <item h="1" m="1" x="5592"/>
        <item h="1" m="1" x="4030"/>
        <item h="1" m="1" x="4031"/>
        <item h="1" m="1" x="4032"/>
        <item h="1" x="416"/>
        <item h="1" m="1" x="5596"/>
        <item h="1" m="1" x="5597"/>
        <item h="1" m="1" x="5182"/>
        <item h="1" m="1" x="5652"/>
        <item h="1" m="1" x="5663"/>
        <item h="1" m="1" x="5667"/>
        <item h="1" m="1" x="5669"/>
        <item h="1" m="1" x="5670"/>
        <item h="1" m="1" x="5671"/>
        <item h="1" m="1" x="4976"/>
        <item h="1" m="1" x="2029"/>
        <item h="1" m="1" x="4975"/>
        <item h="1" m="1" x="5676"/>
        <item h="1" m="1" x="3827"/>
        <item h="1" m="1" x="5678"/>
        <item h="1" x="201"/>
        <item h="1" m="1" x="5679"/>
        <item h="1" m="1" x="5680"/>
        <item h="1" m="1" x="5681"/>
        <item h="1" m="1" x="5696"/>
        <item h="1" m="1" x="5698"/>
        <item h="1" m="1" x="3810"/>
        <item h="1" m="1" x="2643"/>
        <item h="1" m="1" x="5700"/>
        <item h="1" m="1" x="3771"/>
        <item h="1" m="1" x="5701"/>
        <item h="1" m="1" x="5704"/>
        <item h="1" m="1" x="5705"/>
        <item h="1" m="1" x="5706"/>
        <item h="1" m="1" x="5707"/>
        <item h="1" m="1" x="5710"/>
        <item h="1" m="1" x="1289"/>
        <item h="1" m="1" x="5713"/>
        <item h="1" m="1" x="5714"/>
        <item h="1" m="1" x="4045"/>
        <item h="1" m="1" x="5718"/>
        <item h="1" m="1" x="5722"/>
        <item h="1" m="1" x="5725"/>
        <item h="1" m="1" x="5726"/>
        <item h="1" m="1" x="5727"/>
        <item h="1" m="1" x="5730"/>
        <item h="1" m="1" x="3192"/>
        <item h="1" m="1" x="2681"/>
        <item h="1" m="1" x="5732"/>
        <item h="1" m="1" x="5733"/>
        <item h="1" m="1" x="5734"/>
        <item h="1" m="1" x="5735"/>
        <item h="1" m="1" x="5736"/>
        <item h="1" m="1" x="5739"/>
        <item h="1" m="1" x="2010"/>
        <item h="1" m="1" x="5740"/>
        <item h="1" m="1" x="5741"/>
        <item h="1" m="1" x="5742"/>
        <item h="1" m="1" x="5286"/>
        <item h="1" m="1" x="5751"/>
        <item h="1" m="1" x="5752"/>
        <item h="1" m="1" x="5754"/>
        <item h="1" m="1" x="5755"/>
        <item h="1" x="290"/>
        <item h="1" m="1" x="5760"/>
        <item h="1" m="1" x="5761"/>
        <item h="1" m="1" x="5765"/>
        <item h="1" m="1" x="5768"/>
        <item h="1" m="1" x="5129"/>
        <item h="1" m="1" x="5769"/>
        <item h="1" m="1" x="5772"/>
        <item h="1" m="1" x="5773"/>
        <item h="1" m="1" x="5776"/>
        <item h="1" m="1" x="5777"/>
        <item h="1" m="1" x="5778"/>
        <item h="1" m="1" x="5779"/>
        <item h="1" m="1" x="5780"/>
        <item h="1" m="1" x="5781"/>
        <item h="1" m="1" x="5786"/>
        <item h="1" m="1" x="5317"/>
        <item h="1" m="1" x="5318"/>
        <item h="1" m="1" x="5325"/>
        <item h="1" m="1" x="5340"/>
        <item h="1" m="1" x="5342"/>
        <item h="1" m="1" x="4817"/>
        <item h="1" m="1" x="5165"/>
        <item h="1" m="1" x="3971"/>
        <item h="1" m="1" x="3970"/>
        <item h="1" m="1" x="3966"/>
        <item h="1" m="1" x="3965"/>
        <item h="1" m="1" x="3972"/>
        <item h="1" m="1" x="5348"/>
        <item h="1" m="1" x="5349"/>
        <item h="1" m="1" x="3993"/>
        <item h="1" m="1" x="5350"/>
        <item h="1" m="1" x="5351"/>
        <item h="1" m="1" x="4834"/>
        <item h="1" m="1" x="5354"/>
        <item h="1" m="1" x="5355"/>
        <item h="1" m="1" x="5356"/>
        <item h="1" m="1" x="3549"/>
        <item h="1" m="1" x="4282"/>
        <item h="1" m="1" x="5359"/>
        <item h="1" m="1" x="5360"/>
        <item h="1" x="202"/>
        <item h="1" m="1" x="4850"/>
        <item h="1" m="1" x="5370"/>
        <item h="1" m="1" x="684"/>
        <item h="1" m="1" x="5371"/>
        <item h="1" m="1" x="5372"/>
        <item h="1" m="1" x="5373"/>
        <item h="1" m="1" x="2932"/>
        <item h="1" m="1" x="5374"/>
        <item h="1" m="1" x="4841"/>
        <item h="1" m="1" x="4840"/>
        <item h="1" m="1" x="5383"/>
        <item h="1" m="1" x="5384"/>
        <item h="1" m="1" x="451"/>
        <item h="1" m="1" x="762"/>
        <item h="1" m="1" x="3943"/>
        <item h="1" m="1" x="3944"/>
        <item h="1" m="1" x="5395"/>
        <item h="1" m="1" x="4875"/>
        <item h="1" m="1" x="4874"/>
        <item h="1" m="1" x="4867"/>
        <item h="1" m="1" x="3960"/>
        <item h="1" m="1" x="4881"/>
        <item h="1" m="1" x="5398"/>
        <item h="1" m="1" x="5400"/>
        <item h="1" m="1" x="4888"/>
        <item h="1" m="1" x="4887"/>
        <item h="1" x="25"/>
        <item h="1" m="1" x="5406"/>
        <item h="1" m="1" x="4896"/>
        <item h="1" m="1" x="4894"/>
        <item h="1" m="1" x="4895"/>
        <item h="1" m="1" x="5407"/>
        <item h="1" m="1" x="4899"/>
        <item h="1" m="1" x="4892"/>
        <item h="1" m="1" x="5414"/>
        <item h="1" m="1" x="5415"/>
        <item h="1" m="1" x="5416"/>
        <item h="1" m="1" x="4902"/>
        <item h="1" m="1" x="5417"/>
        <item h="1" m="1" x="5419"/>
        <item h="1" m="1" x="5420"/>
        <item h="1" m="1" x="5421"/>
        <item h="1" m="1" x="5174"/>
        <item h="1" m="1" x="5431"/>
        <item h="1" m="1" x="4917"/>
        <item h="1" m="1" x="5432"/>
        <item h="1" m="1" x="5433"/>
        <item h="1" m="1" x="4920"/>
        <item h="1" m="1" x="4922"/>
        <item h="1" m="1" x="1629"/>
        <item h="1" m="1" x="5440"/>
        <item h="1" m="1" x="5441"/>
        <item h="1" m="1" x="4923"/>
        <item h="1" m="1" x="4938"/>
        <item h="1" m="1" x="4940"/>
        <item h="1" m="1" x="5442"/>
        <item h="1" m="1" x="5184"/>
        <item h="1" m="1" x="5443"/>
        <item h="1" m="1" x="5444"/>
        <item h="1" m="1" x="5445"/>
        <item h="1" m="1" x="5186"/>
        <item h="1" m="1" x="4948"/>
        <item h="1" m="1" x="4305"/>
        <item h="1" m="1" x="4956"/>
        <item h="1" m="1" x="5454"/>
        <item h="1" m="1" x="1682"/>
        <item h="1" m="1" x="1679"/>
        <item h="1" m="1" x="4962"/>
        <item h="1" m="1" x="4963"/>
        <item h="1" m="1" x="5456"/>
        <item h="1" m="1" x="5457"/>
        <item h="1" m="1" x="5459"/>
        <item h="1" m="1" x="4965"/>
        <item h="1" m="1" x="5461"/>
        <item h="1" m="1" x="5462"/>
        <item h="1" m="1" x="5463"/>
        <item h="1" m="1" x="4017"/>
        <item h="1" m="1" x="4992"/>
        <item h="1" m="1" x="4995"/>
        <item h="1" m="1" x="5466"/>
        <item h="1" m="1" x="5467"/>
        <item h="1" m="1" x="3499"/>
        <item h="1" m="1" x="5468"/>
        <item h="1" m="1" x="3722"/>
        <item h="1" m="1" x="5469"/>
        <item h="1" m="1" x="4783"/>
        <item h="1" m="1" x="5054"/>
        <item h="1" m="1" x="5471"/>
        <item h="1" m="1" x="5472"/>
        <item h="1" m="1" x="5473"/>
        <item h="1" m="1" x="5474"/>
        <item h="1" m="1" x="5475"/>
        <item h="1" m="1" x="5022"/>
        <item h="1" m="1" x="5476"/>
        <item h="1" m="1" x="5477"/>
        <item h="1" m="1" x="5478"/>
        <item h="1" m="1" x="5479"/>
        <item h="1" m="1" x="5485"/>
        <item h="1" m="1" x="2359"/>
        <item h="1" m="1" x="5038"/>
        <item h="1" m="1" x="5049"/>
        <item h="1" m="1" x="5492"/>
        <item h="1" m="1" x="5493"/>
        <item h="1" m="1" x="5494"/>
        <item h="1" m="1" x="5498"/>
        <item h="1" m="1" x="5189"/>
        <item h="1" m="1" x="5499"/>
        <item h="1" m="1" x="5064"/>
        <item h="1" m="1" x="5191"/>
        <item h="1" m="1" x="5076"/>
        <item h="1" m="1" x="5077"/>
        <item h="1" m="1" x="5075"/>
        <item h="1" m="1" x="5073"/>
        <item h="1" m="1" x="5074"/>
        <item h="1" m="1" x="5079"/>
        <item h="1" m="1" x="5503"/>
        <item h="1" m="1" x="3480"/>
        <item h="1" m="1" x="5505"/>
        <item h="1" m="1" x="5277"/>
        <item h="1" m="1" x="5506"/>
        <item h="1" m="1" x="5507"/>
        <item h="1" m="1" x="5508"/>
        <item h="1" m="1" x="5509"/>
        <item h="1" m="1" x="5510"/>
        <item h="1" m="1" x="5511"/>
        <item h="1" m="1" x="5512"/>
        <item h="1" m="1" x="5513"/>
        <item h="1" m="1" x="4206"/>
        <item h="1" m="1" x="5514"/>
        <item h="1" m="1" x="5515"/>
        <item h="1" m="1" x="5516"/>
        <item h="1" m="1" x="5517"/>
        <item h="1" m="1" x="5518"/>
        <item h="1" m="1" x="5193"/>
        <item h="1" m="1" x="5278"/>
        <item h="1" m="1" x="5519"/>
        <item h="1" m="1" x="5520"/>
        <item h="1" m="1" x="5521"/>
        <item h="1" m="1" x="5522"/>
        <item h="1" m="1" x="5523"/>
        <item h="1" m="1" x="5524"/>
        <item h="1" m="1" x="5525"/>
        <item h="1" m="1" x="5084"/>
        <item h="1" m="1" x="2366"/>
        <item h="1" m="1" x="5085"/>
        <item h="1" m="1" x="5526"/>
        <item h="1" m="1" x="5527"/>
        <item h="1" m="1" x="5282"/>
        <item h="1" m="1" x="5529"/>
        <item h="1" m="1" x="5530"/>
        <item h="1" m="1" x="5292"/>
        <item h="1" m="1" x="5291"/>
        <item h="1" m="1" x="5533"/>
        <item h="1" m="1" x="5534"/>
        <item h="1" m="1" x="5535"/>
        <item h="1" m="1" x="5536"/>
        <item h="1" m="1" x="5287"/>
        <item h="1" m="1" x="5537"/>
        <item h="1" m="1" x="5538"/>
        <item h="1" m="1" x="5289"/>
        <item h="1" m="1" x="5295"/>
        <item h="1" m="1" x="5296"/>
        <item h="1" m="1" x="5543"/>
        <item h="1" m="1" x="5545"/>
        <item h="1" m="1" x="5301"/>
        <item h="1" m="1" x="5546"/>
        <item h="1" m="1" x="5304"/>
        <item h="1" m="1" x="2903"/>
        <item h="1" m="1" x="5312"/>
        <item h="1" m="1" x="5547"/>
        <item h="1" m="1" x="5548"/>
        <item h="1" m="1" x="5549"/>
        <item h="1" m="1" x="5310"/>
        <item h="1" m="1" x="5311"/>
        <item h="1" m="1" x="5309"/>
        <item h="1" m="1" x="5139"/>
        <item h="1" m="1" x="5550"/>
        <item h="1" m="1" x="5551"/>
        <item h="1" m="1" x="5552"/>
        <item h="1" m="1" x="5143"/>
        <item h="1" m="1" x="5145"/>
        <item h="1" m="1" x="5133"/>
        <item h="1" m="1" x="5313"/>
        <item h="1" m="1" x="5134"/>
        <item h="1" m="1" x="5315"/>
        <item h="1" m="1" x="3788"/>
        <item h="1" m="1" x="4244"/>
        <item h="1" m="1" x="1915"/>
        <item h="1" m="1" x="5149"/>
        <item h="1" m="1" x="5554"/>
        <item h="1" m="1" x="5556"/>
        <item h="1" m="1" x="1917"/>
        <item h="1" m="1" x="5326"/>
        <item h="1" m="1" x="5327"/>
        <item h="1" m="1" x="5331"/>
        <item h="1" m="1" x="3641"/>
        <item h="1" m="1" x="5333"/>
        <item h="1" m="1" x="5157"/>
        <item h="1" m="1" x="5338"/>
        <item h="1" m="1" x="5344"/>
        <item h="1" m="1" x="5162"/>
        <item h="1" m="1" x="5164"/>
        <item h="1" m="1" x="5216"/>
        <item h="1" m="1" x="4828"/>
        <item h="1" m="1" x="5217"/>
        <item h="1" m="1" x="1204"/>
        <item h="1" m="1" x="5218"/>
        <item h="1" m="1" x="5219"/>
        <item h="1" m="1" x="1120"/>
        <item h="1" m="1" x="5225"/>
        <item h="1" m="1" x="4859"/>
        <item h="1" m="1" x="3941"/>
        <item h="1" m="1" x="4865"/>
        <item h="1" m="1" x="4873"/>
        <item h="1" m="1" x="5169"/>
        <item h="1" m="1" x="5170"/>
        <item h="1" m="1" x="4883"/>
        <item h="1" m="1" x="1190"/>
        <item h="1" m="1" x="4897"/>
        <item h="1" m="1" x="5226"/>
        <item h="1" m="1" x="3093"/>
        <item h="1" m="1" x="5227"/>
        <item h="1" m="1" x="5228"/>
        <item h="1" m="1" x="4916"/>
        <item h="1" m="1" x="5229"/>
        <item h="1" m="1" x="2960"/>
        <item h="1" m="1" x="4662"/>
        <item h="1" m="1" x="5230"/>
        <item h="1" m="1" x="5231"/>
        <item h="1" m="1" x="5232"/>
        <item h="1" m="1" x="5183"/>
        <item h="1" m="1" x="4946"/>
        <item h="1" m="1" x="4947"/>
        <item h="1" m="1" x="2218"/>
        <item h="1" m="1" x="4955"/>
        <item h="1" m="1" x="5233"/>
        <item h="1" m="1" x="5234"/>
        <item h="1" m="1" x="4964"/>
        <item h="1" m="1" x="4960"/>
        <item h="1" m="1" x="4020"/>
        <item h="1" m="1" x="4466"/>
        <item h="1" m="1" x="4993"/>
        <item h="1" m="1" x="4994"/>
        <item h="1" m="1" x="4696"/>
        <item h="1" m="1" x="4989"/>
        <item h="1" m="1" x="4990"/>
        <item h="1" m="1" x="4991"/>
        <item h="1" m="1" x="5235"/>
        <item h="1" m="1" x="4762"/>
        <item h="1" m="1" x="5236"/>
        <item h="1" m="1" x="4745"/>
        <item h="1" m="1" x="5237"/>
        <item h="1" m="1" x="5238"/>
        <item h="1" m="1" x="5239"/>
        <item h="1" m="1" x="5055"/>
        <item h="1" m="1" x="5240"/>
        <item h="1" m="1" x="5241"/>
        <item h="1" m="1" x="5242"/>
        <item h="1" m="1" x="5243"/>
        <item h="1" m="1" x="5244"/>
        <item h="1" m="1" x="5245"/>
        <item h="1" m="1" x="5246"/>
        <item h="1" m="1" x="5247"/>
        <item h="1" m="1" x="5248"/>
        <item h="1" m="1" x="2641"/>
        <item h="1" m="1" x="5021"/>
        <item h="1" m="1" x="5250"/>
        <item h="1" m="1" x="5251"/>
        <item h="1" m="1" x="5252"/>
        <item h="1" m="1" x="5253"/>
        <item h="1" m="1" x="5254"/>
        <item h="1" m="1" x="5255"/>
        <item h="1" m="1" x="5256"/>
        <item h="1" m="1" x="5257"/>
        <item h="1" m="1" x="4984"/>
        <item h="1" m="1" x="4985"/>
        <item h="1" m="1" x="4986"/>
        <item h="1" m="1" x="5258"/>
        <item h="1" m="1" x="5004"/>
        <item h="1" m="1" x="5261"/>
        <item h="1" m="1" x="5056"/>
        <item h="1" m="1" x="5262"/>
        <item h="1" m="1" x="5263"/>
        <item h="1" m="1" x="5265"/>
        <item h="1" m="1" x="5266"/>
        <item h="1" m="1" x="2214"/>
        <item h="1" m="1" x="5268"/>
        <item h="1" m="1" x="3862"/>
        <item h="1" m="1" x="5269"/>
        <item h="1" m="1" x="1157"/>
        <item h="1" m="1" x="5190"/>
        <item h="1" m="1" x="5053"/>
        <item h="1" m="1" x="5270"/>
        <item h="1" m="1" x="5271"/>
        <item h="1" m="1" x="5272"/>
        <item h="1" m="1" x="5273"/>
        <item h="1" m="1" x="1464"/>
        <item h="1" m="1" x="5066"/>
        <item h="1" m="1" x="5274"/>
        <item h="1" m="1" x="5275"/>
        <item h="1" m="1" x="5276"/>
        <item h="1" m="1" x="5279"/>
        <item h="1" m="1" x="5280"/>
        <item h="1" m="1" x="5281"/>
        <item h="1" m="1" x="5086"/>
        <item h="1" m="1" x="5283"/>
        <item h="1" m="1" x="5284"/>
        <item h="1" m="1" x="5285"/>
        <item h="1" m="1" x="5288"/>
        <item h="1" m="1" x="5113"/>
        <item h="1" m="1" x="5293"/>
        <item h="1" m="1" x="5294"/>
        <item h="1" m="1" x="5297"/>
        <item h="1" m="1" x="5298"/>
        <item h="1" m="1" x="5299"/>
        <item h="1" m="1" x="5300"/>
        <item h="1" m="1" x="5141"/>
        <item h="1" m="1" x="5306"/>
        <item h="1" m="1" x="5307"/>
        <item h="1" m="1" x="5308"/>
        <item h="1" m="1" x="5314"/>
        <item h="1" m="1" x="5321"/>
        <item h="1" m="1" x="1526"/>
        <item h="1" m="1" x="5336"/>
        <item h="1" m="1" x="5337"/>
        <item h="1" m="1" x="4818"/>
        <item h="1" m="1" x="5161"/>
        <item h="1" m="1" x="5163"/>
        <item h="1" m="1" x="3964"/>
        <item h="1" m="1" x="4470"/>
        <item h="1" m="1" x="4830"/>
        <item h="1" m="1" x="1238"/>
        <item h="1" m="1" x="5166"/>
        <item h="1" m="1" x="4835"/>
        <item h="1" x="168"/>
        <item h="1" m="1" x="4844"/>
        <item h="1" m="1" x="4860"/>
        <item h="1" m="1" x="2935"/>
        <item h="1" m="1" x="4880"/>
        <item h="1" m="1" x="5171"/>
        <item h="1" m="1" x="3404"/>
        <item h="1" m="1" x="4913"/>
        <item h="1" m="1" x="4903"/>
        <item h="1" m="1" x="5172"/>
        <item h="1" m="1" x="5173"/>
        <item h="1" m="1" x="4910"/>
        <item h="1" m="1" x="4908"/>
        <item h="1" m="1" x="4909"/>
        <item h="1" m="1" x="4660"/>
        <item h="1" m="1" x="3306"/>
        <item h="1" m="1" x="4918"/>
        <item h="1" m="1" x="5175"/>
        <item h="1" m="1" x="4931"/>
        <item h="1" m="1" x="4921"/>
        <item h="1" m="1" x="4942"/>
        <item h="1" m="1" x="5176"/>
        <item h="1" m="1" x="5177"/>
        <item h="1" m="1" x="4943"/>
        <item h="1" m="1" x="4957"/>
        <item h="1" m="1" x="4958"/>
        <item h="1" m="1" x="4971"/>
        <item h="1" m="1" x="4972"/>
        <item h="1" m="1" x="769"/>
        <item h="1" m="1" x="4988"/>
        <item h="1" m="1" x="4978"/>
        <item h="1" m="1" x="4996"/>
        <item h="1" m="1" x="4997"/>
        <item h="1" m="1" x="4998"/>
        <item h="1" m="1" x="5187"/>
        <item h="1" m="1" x="5188"/>
        <item h="1" m="1" x="5002"/>
        <item h="1" m="1" x="5014"/>
        <item h="1" m="1" x="5015"/>
        <item h="1" m="1" x="5016"/>
        <item h="1" m="1" x="5057"/>
        <item h="1" m="1" x="5025"/>
        <item h="1" m="1" x="5024"/>
        <item h="1" m="1" x="2913"/>
        <item h="1" m="1" x="5030"/>
        <item h="1" m="1" x="5023"/>
        <item h="1" m="1" x="3457"/>
        <item h="1" m="1" x="5037"/>
        <item h="1" m="1" x="5045"/>
        <item h="1" m="1" x="5046"/>
        <item h="1" m="1" x="5047"/>
        <item h="1" m="1" x="5078"/>
        <item h="1" m="1" x="5192"/>
        <item h="1" m="1" x="5195"/>
        <item h="1" m="1" x="2605"/>
        <item h="1" m="1" x="5196"/>
        <item h="1" m="1" x="5087"/>
        <item h="1" m="1" x="5197"/>
        <item h="1" m="1" x="5199"/>
        <item h="1" m="1" x="4240"/>
        <item h="1" m="1" x="5104"/>
        <item h="1" m="1" x="5095"/>
        <item h="1" m="1" x="5094"/>
        <item h="1" m="1" x="5096"/>
        <item h="1" m="1" x="5103"/>
        <item h="1" m="1" x="5105"/>
        <item h="1" m="1" x="5108"/>
        <item h="1" m="1" x="5200"/>
        <item h="1" m="1" x="5106"/>
        <item h="1" m="1" x="5107"/>
        <item h="1" m="1" x="5102"/>
        <item h="1" m="1" x="5101"/>
        <item h="1" m="1" x="5112"/>
        <item h="1" m="1" x="5110"/>
        <item h="1" m="1" x="5201"/>
        <item h="1" m="1" x="5202"/>
        <item h="1" m="1" x="5114"/>
        <item h="1" m="1" x="5122"/>
        <item h="1" m="1" x="5118"/>
        <item h="1" m="1" x="5119"/>
        <item h="1" m="1" x="5121"/>
        <item h="1" m="1" x="5120"/>
        <item h="1" m="1" x="5123"/>
        <item h="1" m="1" x="5124"/>
        <item h="1" m="1" x="5125"/>
        <item h="1" m="1" x="5203"/>
        <item h="1" m="1" x="5204"/>
        <item h="1" m="1" x="5132"/>
        <item h="1" m="1" x="5140"/>
        <item h="1" m="1" x="5138"/>
        <item h="1" m="1" x="5205"/>
        <item h="1" m="1" x="5206"/>
        <item h="1" m="1" x="5207"/>
        <item h="1" m="1" x="5208"/>
        <item h="1" m="1" x="5209"/>
        <item h="1" m="1" x="5210"/>
        <item h="1" m="1" x="5211"/>
        <item h="1" m="1" x="5212"/>
        <item h="1" m="1" x="5213"/>
        <item h="1" m="1" x="5214"/>
        <item h="1" m="1" x="5136"/>
        <item h="1" m="1" x="5151"/>
        <item h="1" m="1" x="5150"/>
        <item h="1" m="1" x="3405"/>
        <item h="1" m="1" x="3406"/>
        <item h="1" m="1" x="4454"/>
        <item h="1" m="1" x="3924"/>
        <item h="1" m="1" x="4822"/>
        <item h="1" m="1" x="4823"/>
        <item h="1" m="1" x="4824"/>
        <item h="1" m="1" x="4825"/>
        <item h="1" m="1" x="3963"/>
        <item h="1" m="1" x="4836"/>
        <item h="1" m="1" x="3063"/>
        <item h="1" m="1" x="3064"/>
        <item h="1" m="1" x="4845"/>
        <item h="1" m="1" x="4846"/>
        <item h="1" m="1" x="4847"/>
        <item h="1" m="1" x="4851"/>
        <item h="1" m="1" x="3219"/>
        <item h="1" m="1" x="2930"/>
        <item h="1" m="1" x="4852"/>
        <item h="1" m="1" x="4855"/>
        <item h="1" m="1" x="4468"/>
        <item h="1" m="1" x="4861"/>
        <item h="1" m="1" x="4863"/>
        <item h="1" m="1" x="4864"/>
        <item h="1" m="1" x="4866"/>
        <item h="1" m="1" x="4876"/>
        <item h="1" m="1" x="4877"/>
        <item h="1" m="1" x="4885"/>
        <item h="1" m="1" x="4886"/>
        <item h="1" m="1" x="4889"/>
        <item h="1" m="1" x="4890"/>
        <item h="1" m="1" x="4904"/>
        <item h="1" m="1" x="4905"/>
        <item h="1" m="1" x="4906"/>
        <item h="1" m="1" x="4907"/>
        <item h="1" m="1" x="4911"/>
        <item h="1" m="1" x="4912"/>
        <item h="1" m="1" x="4932"/>
        <item h="1" m="1" x="4933"/>
        <item h="1" m="1" x="4934"/>
        <item h="1" m="1" x="4935"/>
        <item h="1" m="1" x="2959"/>
        <item h="1" m="1" x="4944"/>
        <item h="1" m="1" x="3140"/>
        <item h="1" m="1" x="4959"/>
        <item h="1" m="1" x="4968"/>
        <item h="1" m="1" x="2640"/>
        <item h="1" m="1" x="4969"/>
        <item h="1" m="1" x="4970"/>
        <item h="1" m="1" x="4974"/>
        <item h="1" m="1" x="4010"/>
        <item h="1" m="1" x="4979"/>
        <item h="1" m="1" x="4999"/>
        <item h="1" m="1" x="5000"/>
        <item h="1" m="1" x="5003"/>
        <item h="1" m="1" x="5007"/>
        <item h="1" m="1" x="5010"/>
        <item h="1" m="1" x="5011"/>
        <item h="1" m="1" x="5012"/>
        <item h="1" m="1" x="5013"/>
        <item h="1" m="1" x="5017"/>
        <item h="1" m="1" x="5018"/>
        <item h="1" m="1" x="5019"/>
        <item h="1" m="1" x="5026"/>
        <item h="1" m="1" x="5027"/>
        <item h="1" m="1" x="5028"/>
        <item h="1" m="1" x="5029"/>
        <item h="1" m="1" x="5031"/>
        <item h="1" m="1" x="5032"/>
        <item h="1" m="1" x="5035"/>
        <item h="1" m="1" x="5036"/>
        <item h="1" m="1" x="5039"/>
        <item h="1" m="1" x="963"/>
        <item h="1" m="1" x="5042"/>
        <item h="1" m="1" x="5043"/>
        <item h="1" m="1" x="5044"/>
        <item h="1" m="1" x="5052"/>
        <item h="1" m="1" x="5058"/>
        <item h="1" m="1" x="5059"/>
        <item h="1" m="1" x="5062"/>
        <item h="1" m="1" x="5080"/>
        <item h="1" m="1" x="5081"/>
        <item h="1" m="1" x="5082"/>
        <item h="1" m="1" x="1523"/>
        <item h="1" m="1" x="5090"/>
        <item h="1" m="1" x="5091"/>
        <item h="1" m="1" x="5092"/>
        <item h="1" m="1" x="5093"/>
        <item h="1" m="1" x="5098"/>
        <item h="1" m="1" x="5099"/>
        <item h="1" m="1" x="5100"/>
        <item h="1" m="1" x="5109"/>
        <item h="1" x="424"/>
        <item h="1" m="1" x="4288"/>
        <item h="1" m="1" x="5115"/>
        <item h="1" m="1" x="5116"/>
        <item h="1" m="1" x="5117"/>
        <item h="1" m="1" x="5126"/>
        <item h="1" m="1" x="5127"/>
        <item h="1" m="1" x="5128"/>
        <item h="1" m="1" x="5130"/>
        <item h="1" m="1" x="5131"/>
        <item h="1" m="1" x="3258"/>
        <item h="1" m="1" x="5142"/>
        <item h="1" m="1" x="5144"/>
        <item h="1" m="1" x="5152"/>
        <item h="1" m="1" x="5154"/>
        <item h="1" m="1" x="5155"/>
        <item h="1" m="1" x="5156"/>
        <item h="1" m="1" x="4473"/>
        <item h="1" m="1" x="3819"/>
        <item h="1" m="1" x="4474"/>
        <item h="1" m="1" x="3821"/>
        <item h="1" m="1" x="3164"/>
        <item h="1" m="1" x="3820"/>
        <item h="1" m="1" x="4475"/>
        <item h="1" m="1" x="4476"/>
        <item h="1" m="1" x="4477"/>
        <item h="1" m="1" x="3818"/>
        <item h="1" m="1" x="4478"/>
        <item h="1" m="1" x="4479"/>
        <item h="1" m="1" x="3822"/>
        <item h="1" m="1" x="4480"/>
        <item h="1" m="1" x="4481"/>
        <item h="1" m="1" x="4482"/>
        <item h="1" m="1" x="4483"/>
        <item h="1" m="1" x="4484"/>
        <item h="1" m="1" x="4485"/>
        <item h="1" m="1" x="4486"/>
        <item h="1" m="1" x="4487"/>
        <item h="1" m="1" x="4488"/>
        <item h="1" m="1" x="3151"/>
        <item h="1" m="1" x="4489"/>
        <item h="1" m="1" x="4490"/>
        <item h="1" m="1" x="4492"/>
        <item h="1" m="1" x="4494"/>
        <item h="1" m="1" x="4495"/>
        <item h="1" m="1" x="4496"/>
        <item h="1" m="1" x="4497"/>
        <item h="1" m="1" x="4498"/>
        <item h="1" m="1" x="4499"/>
        <item h="1" m="1" x="4500"/>
        <item h="1" m="1" x="4501"/>
        <item h="1" m="1" x="4503"/>
        <item h="1" m="1" x="4504"/>
        <item h="1" m="1" x="4505"/>
        <item h="1" m="1" x="4506"/>
        <item h="1" m="1" x="4507"/>
        <item h="1" m="1" x="4508"/>
        <item h="1" m="1" x="4509"/>
        <item h="1" m="1" x="2009"/>
        <item h="1" m="1" x="4510"/>
        <item h="1" m="1" x="4512"/>
        <item h="1" m="1" x="4514"/>
        <item h="1" m="1" x="4517"/>
        <item h="1" m="1" x="4518"/>
        <item h="1" m="1" x="4519"/>
        <item h="1" m="1" x="4520"/>
        <item h="1" m="1" x="4521"/>
        <item h="1" m="1" x="3473"/>
        <item h="1" m="1" x="4238"/>
        <item h="1" m="1" x="4337"/>
        <item h="1" m="1" x="4338"/>
        <item h="1" m="1" x="4241"/>
        <item h="1" m="1" x="4243"/>
        <item h="1" m="1" x="4237"/>
        <item h="1" m="1" x="4522"/>
        <item h="1" m="1" x="4523"/>
        <item h="1" m="1" x="3789"/>
        <item h="1" m="1" x="3790"/>
        <item h="1" m="1" x="4341"/>
        <item h="1" m="1" x="4524"/>
        <item h="1" m="1" x="4526"/>
        <item h="1" m="1" x="4527"/>
        <item h="1" m="1" x="4528"/>
        <item h="1" m="1" x="4529"/>
        <item h="1" m="1" x="4530"/>
        <item h="1" m="1" x="2673"/>
        <item h="1" m="1" x="4531"/>
        <item h="1" m="1" x="4532"/>
        <item h="1" m="1" x="4533"/>
        <item h="1" m="1" x="4534"/>
        <item h="1" m="1" x="4535"/>
        <item h="1" m="1" x="4536"/>
        <item h="1" m="1" x="4537"/>
        <item h="1" m="1" x="4538"/>
        <item h="1" m="1" x="4539"/>
        <item h="1" m="1" x="4540"/>
        <item h="1" m="1" x="4541"/>
        <item h="1" m="1" x="4542"/>
        <item h="1" m="1" x="4543"/>
        <item h="1" m="1" x="4544"/>
        <item h="1" m="1" x="1907"/>
        <item h="1" m="1" x="785"/>
        <item h="1" m="1" x="1914"/>
        <item h="1" m="1" x="1908"/>
        <item h="1" m="1" x="2890"/>
        <item h="1" m="1" x="2861"/>
        <item h="1" m="1" x="2862"/>
        <item h="1" m="1" x="4547"/>
        <item h="1" m="1" x="4548"/>
        <item h="1" m="1" x="4549"/>
        <item h="1" m="1" x="2897"/>
        <item h="1" m="1" x="4551"/>
        <item h="1" m="1" x="4552"/>
        <item h="1" m="1" x="4553"/>
        <item h="1" m="1" x="4554"/>
        <item h="1" m="1" x="4555"/>
        <item h="1" m="1" x="4556"/>
        <item h="1" m="1" x="4557"/>
        <item h="1" m="1" x="2523"/>
        <item h="1" m="1" x="4558"/>
        <item h="1" m="1" x="4559"/>
        <item h="1" m="1" x="2881"/>
        <item h="1" m="1" x="4461"/>
        <item h="1" m="1" x="3051"/>
        <item h="1" x="18"/>
        <item h="1" x="15"/>
        <item h="1" x="19"/>
        <item h="1" x="39"/>
        <item h="1" x="22"/>
        <item h="1" m="1" x="3841"/>
        <item h="1" m="1" x="4560"/>
        <item h="1" m="1" x="4256"/>
        <item h="1" m="1" x="4561"/>
        <item h="1" m="1" x="1885"/>
        <item h="1" m="1" x="1956"/>
        <item h="1" m="1" x="2403"/>
        <item h="1" m="1" x="4562"/>
        <item h="1" m="1" x="2775"/>
        <item h="1" m="1" x="4563"/>
        <item h="1" m="1" x="1906"/>
        <item h="1" m="1" x="2866"/>
        <item h="1" x="21"/>
        <item h="1" x="13"/>
        <item h="1" m="1" x="3089"/>
        <item h="1" m="1" x="4373"/>
        <item h="1" m="1" x="1911"/>
        <item h="1" m="1" x="4568"/>
        <item h="1" m="1" x="4569"/>
        <item h="1" m="1" x="4570"/>
        <item h="1" m="1" x="514"/>
        <item h="1" m="1" x="4571"/>
        <item h="1" m="1" x="4093"/>
        <item h="1" m="1" x="4574"/>
        <item h="1" m="1" x="4576"/>
        <item h="1" m="1" x="4577"/>
        <item h="1" m="1" x="4578"/>
        <item h="1" m="1" x="4579"/>
        <item h="1" m="1" x="4580"/>
        <item h="1" m="1" x="4581"/>
        <item h="1" m="1" x="4582"/>
        <item h="1" m="1" x="4584"/>
        <item h="1" m="1" x="4586"/>
        <item h="1" m="1" x="1948"/>
        <item h="1" m="1" x="4587"/>
        <item h="1" m="1" x="4588"/>
        <item h="1" m="1" x="1923"/>
        <item h="1" m="1" x="3053"/>
        <item h="1" m="1" x="4589"/>
        <item h="1" m="1" x="3607"/>
        <item h="1" m="1" x="4591"/>
        <item h="1" m="1" x="4592"/>
        <item h="1" m="1" x="4593"/>
        <item h="1" m="1" x="4594"/>
        <item h="1" m="1" x="4596"/>
        <item h="1" m="1" x="4597"/>
        <item h="1" m="1" x="4598"/>
        <item h="1" m="1" x="4599"/>
        <item h="1" m="1" x="4600"/>
        <item h="1" m="1" x="4601"/>
        <item h="1" m="1" x="4602"/>
        <item h="1" m="1" x="4603"/>
        <item h="1" m="1" x="4604"/>
        <item h="1" m="1" x="4605"/>
        <item h="1" m="1" x="4606"/>
        <item h="1" m="1" x="4607"/>
        <item h="1" m="1" x="4608"/>
        <item h="1" m="1" x="4609"/>
        <item h="1" m="1" x="3844"/>
        <item h="1" m="1" x="3807"/>
        <item h="1" x="36"/>
        <item h="1" m="1" x="4271"/>
        <item h="1" m="1" x="3067"/>
        <item h="1" m="1" x="3066"/>
        <item h="1" m="1" x="4610"/>
        <item h="1" m="1" x="4611"/>
        <item h="1" m="1" x="4612"/>
        <item h="1" m="1" x="2769"/>
        <item h="1" m="1" x="2114"/>
        <item h="1" m="1" x="4614"/>
        <item h="1" m="1" x="2786"/>
        <item h="1" m="1" x="4615"/>
        <item h="1" m="1" x="4616"/>
        <item h="1" m="1" x="4617"/>
        <item h="1" m="1" x="4618"/>
        <item h="1" m="1" x="4619"/>
        <item h="1" m="1" x="3133"/>
        <item h="1" m="1" x="4620"/>
        <item h="1" m="1" x="4621"/>
        <item h="1" m="1" x="4622"/>
        <item h="1" m="1" x="4623"/>
        <item h="1" m="1" x="4624"/>
        <item h="1" m="1" x="2443"/>
        <item h="1" m="1" x="2455"/>
        <item h="1" m="1" x="1713"/>
        <item h="1" m="1" x="1716"/>
        <item h="1" m="1" x="2108"/>
        <item h="1" m="1" x="4626"/>
        <item h="1" m="1" x="1302"/>
        <item h="1" m="1" x="4628"/>
        <item h="1" m="1" x="4629"/>
        <item h="1" m="1" x="4630"/>
        <item h="1" m="1" x="4631"/>
        <item h="1" m="1" x="2927"/>
        <item h="1" m="1" x="1681"/>
        <item h="1" m="1" x="1680"/>
        <item h="1" m="1" x="3934"/>
        <item h="1" x="38"/>
        <item h="1" m="1" x="2792"/>
        <item h="1" m="1" x="2978"/>
        <item h="1" m="1" x="4632"/>
        <item h="1" m="1" x="2895"/>
        <item h="1" m="1" x="1901"/>
        <item h="1" m="1" x="3937"/>
        <item h="1" m="1" x="3647"/>
        <item h="1" m="1" x="2237"/>
        <item h="1" m="1" x="3947"/>
        <item h="1" m="1" x="3948"/>
        <item h="1" m="1" x="3946"/>
        <item h="1" m="1" x="3940"/>
        <item h="1" m="1" x="3950"/>
        <item h="1" m="1" x="3938"/>
        <item h="1" m="1" x="3939"/>
        <item h="1" m="1" x="767"/>
        <item h="1" m="1" x="4280"/>
        <item h="1" m="1" x="4281"/>
        <item h="1" m="1" x="450"/>
        <item h="1" m="1" x="768"/>
        <item h="1" m="1" x="2760"/>
        <item h="1" m="1" x="4633"/>
        <item h="1" m="1" x="4634"/>
        <item h="1" m="1" x="2761"/>
        <item h="1" m="1" x="4635"/>
        <item h="1" m="1" x="4636"/>
        <item h="1" m="1" x="1732"/>
        <item h="1" m="1" x="2919"/>
        <item h="1" m="1" x="2918"/>
        <item h="1" m="1" x="3062"/>
        <item h="1" m="1" x="4451"/>
        <item h="1" m="1" x="4638"/>
        <item h="1" m="1" x="4465"/>
        <item h="1" m="1" x="4450"/>
        <item h="1" m="1" x="4440"/>
        <item h="1" m="1" x="4459"/>
        <item h="1" m="1" x="3956"/>
        <item h="1" m="1" x="3957"/>
        <item h="1" m="1" x="3958"/>
        <item h="1" m="1" x="1831"/>
        <item h="1" m="1" x="1798"/>
        <item h="1" x="17"/>
        <item h="1" m="1" x="3959"/>
        <item h="1" m="1" x="4640"/>
        <item h="1" x="354"/>
        <item h="1" m="1" x="4641"/>
        <item h="1" m="1" x="4642"/>
        <item h="1" m="1" x="4127"/>
        <item h="1" m="1" x="1183"/>
        <item h="1" m="1" x="4644"/>
        <item h="1" m="1" x="4645"/>
        <item h="1" m="1" x="4284"/>
        <item h="1" m="1" x="3962"/>
        <item h="1" m="1" x="3975"/>
        <item h="1" m="1" x="3974"/>
        <item h="1" m="1" x="3978"/>
        <item h="1" m="1" x="3977"/>
        <item h="1" m="1" x="3973"/>
        <item h="1" m="1" x="3976"/>
        <item h="1" m="1" x="3985"/>
        <item h="1" m="1" x="3983"/>
        <item h="1" m="1" x="3982"/>
        <item h="1" m="1" x="3979"/>
        <item h="1" m="1" x="3984"/>
        <item h="1" m="1" x="3992"/>
        <item h="1" m="1" x="4444"/>
        <item h="1" m="1" x="2875"/>
        <item h="1" m="1" x="1909"/>
        <item h="1" m="1" x="4457"/>
        <item h="1" m="1" x="4646"/>
        <item h="1" m="1" x="4647"/>
        <item h="1" m="1" x="4648"/>
        <item h="1" m="1" x="4649"/>
        <item h="1" m="1" x="4650"/>
        <item h="1" m="1" x="4445"/>
        <item h="1" m="1" x="4651"/>
        <item h="1" m="1" x="612"/>
        <item h="1" m="1" x="2910"/>
        <item h="1" m="1" x="4653"/>
        <item h="1" m="1" x="4137"/>
        <item h="1" m="1" x="4654"/>
        <item h="1" m="1" x="3097"/>
        <item h="1" m="1" x="4655"/>
        <item h="1" m="1" x="4656"/>
        <item h="1" m="1" x="4458"/>
        <item h="1" m="1" x="3096"/>
        <item h="1" m="1" x="4657"/>
        <item h="1" m="1" x="2940"/>
        <item h="1" m="1" x="4658"/>
        <item h="1" m="1" x="2939"/>
        <item h="1" m="1" x="4659"/>
        <item h="1" m="1" x="3095"/>
        <item h="1" m="1" x="4664"/>
        <item h="1" m="1" x="4666"/>
        <item h="1" m="1" x="1568"/>
        <item h="1" m="1" x="4667"/>
        <item h="1" x="183"/>
        <item h="1" m="1" x="4669"/>
        <item h="1" m="1" x="4670"/>
        <item h="1" m="1" x="4671"/>
        <item h="1" m="1" x="4672"/>
        <item h="1" m="1" x="4673"/>
        <item h="1" m="1" x="3110"/>
        <item h="1" m="1" x="4674"/>
        <item h="1" m="1" x="3111"/>
        <item h="1" m="1" x="3113"/>
        <item h="1" m="1" x="4676"/>
        <item h="1" m="1" x="4677"/>
        <item h="1" m="1" x="4678"/>
        <item h="1" m="1" x="4679"/>
        <item h="1" m="1" x="3112"/>
        <item h="1" m="1" x="3115"/>
        <item h="1" m="1" x="4680"/>
        <item h="1" m="1" x="4453"/>
        <item h="1" m="1" x="4296"/>
        <item h="1" m="1" x="4000"/>
        <item h="1" m="1" x="4443"/>
        <item h="1" m="1" x="1525"/>
        <item h="1" m="1" x="4448"/>
        <item h="1" m="1" x="4447"/>
        <item h="1" m="1" x="4446"/>
        <item h="1" m="1" x="4462"/>
        <item h="1" m="1" x="2367"/>
        <item h="1" m="1" x="2354"/>
        <item h="1" m="1" x="2355"/>
        <item h="1" m="1" x="2356"/>
        <item h="1" m="1" x="2379"/>
        <item h="1" m="1" x="2375"/>
        <item h="1" m="1" x="2369"/>
        <item h="1" m="1" x="2370"/>
        <item h="1" m="1" x="2384"/>
        <item h="1" m="1" x="2388"/>
        <item h="1" m="1" x="2399"/>
        <item h="1" m="1" x="2400"/>
        <item h="1" m="1" x="2401"/>
        <item h="1" m="1" x="2402"/>
        <item h="1" m="1" x="2391"/>
        <item h="1" m="1" x="2392"/>
        <item h="1" m="1" x="2233"/>
        <item h="1" m="1" x="3397"/>
        <item h="1" m="1" x="3661"/>
        <item h="1" m="1" x="4682"/>
        <item h="1" m="1" x="4460"/>
        <item h="1" m="1" x="2397"/>
        <item h="1" m="1" x="4684"/>
        <item h="1" m="1" x="4685"/>
        <item h="1" m="1" x="4686"/>
        <item h="1" m="1" x="3401"/>
        <item h="1" m="1" x="3402"/>
        <item h="1" m="1" x="1833"/>
        <item h="1" m="1" x="3426"/>
        <item h="1" m="1" x="3516"/>
        <item h="1" m="1" x="3425"/>
        <item h="1" m="1" x="3515"/>
        <item h="1" m="1" x="4143"/>
        <item h="1" m="1" x="4144"/>
        <item h="1" m="1" x="4145"/>
        <item h="1" m="1" x="3536"/>
        <item h="1" m="1" x="3537"/>
        <item h="1" m="1" x="3684"/>
        <item h="1" m="1" x="4002"/>
        <item h="1" m="1" x="3403"/>
        <item h="1" m="1" x="3408"/>
        <item h="1" m="1" x="3409"/>
        <item h="1" m="1" x="4692"/>
        <item h="1" m="1" x="3165"/>
        <item h="1" m="1" x="3407"/>
        <item h="1" m="1" x="4693"/>
        <item h="1" m="1" x="3855"/>
        <item h="1" m="1" x="3857"/>
        <item h="1" m="1" x="4694"/>
        <item h="1" m="1" x="3559"/>
        <item h="1" m="1" x="4695"/>
        <item h="1" m="1" x="1952"/>
        <item h="1" m="1" x="1953"/>
        <item h="1" m="1" x="1951"/>
        <item h="1" x="340"/>
        <item h="1" m="1" x="4697"/>
        <item h="1" m="1" x="4698"/>
        <item h="1" m="1" x="4699"/>
        <item h="1" m="1" x="4700"/>
        <item h="1" m="1" x="3824"/>
        <item h="1" m="1" x="1961"/>
        <item h="1" m="1" x="2595"/>
        <item h="1" x="24"/>
        <item h="1" m="1" x="1962"/>
        <item h="1" m="1" x="4702"/>
        <item h="1" m="1" x="4703"/>
        <item h="1" m="1" x="2381"/>
        <item h="1" m="1" x="2610"/>
        <item h="1" m="1" x="4704"/>
        <item h="1" m="1" x="4705"/>
        <item h="1" m="1" x="4706"/>
        <item h="1" m="1" x="3430"/>
        <item h="1" m="1" x="4707"/>
        <item h="1" m="1" x="4708"/>
        <item h="1" m="1" x="4709"/>
        <item h="1" m="1" x="4710"/>
        <item h="1" m="1" x="4711"/>
        <item h="1" m="1" x="4712"/>
        <item h="1" m="1" x="4713"/>
        <item h="1" m="1" x="4714"/>
        <item h="1" m="1" x="4715"/>
        <item h="1" m="1" x="4716"/>
        <item h="1" m="1" x="4717"/>
        <item h="1" m="1" x="686"/>
        <item h="1" m="1" x="4720"/>
        <item h="1" m="1" x="4721"/>
        <item h="1" m="1" x="4722"/>
        <item h="1" m="1" x="3660"/>
        <item h="1" m="1" x="4723"/>
        <item h="1" m="1" x="4724"/>
        <item h="1" m="1" x="4725"/>
        <item h="1" m="1" x="4467"/>
        <item h="1" m="1" x="4727"/>
        <item h="1" m="1" x="4729"/>
        <item h="1" m="1" x="4730"/>
        <item h="1" m="1" x="4731"/>
        <item h="1" m="1" x="4732"/>
        <item h="1" m="1" x="454"/>
        <item h="1" m="1" x="453"/>
        <item h="1" m="1" x="4013"/>
        <item h="1" m="1" x="4011"/>
        <item h="1" m="1" x="4012"/>
        <item h="1" m="1" x="4014"/>
        <item h="1" m="1" x="452"/>
        <item h="1" m="1" x="4442"/>
        <item h="1" m="1" x="4437"/>
        <item h="1" m="1" x="4438"/>
        <item h="1" m="1" x="4439"/>
        <item h="1" m="1" x="621"/>
        <item h="1" m="1" x="2902"/>
        <item h="1" m="1" x="4018"/>
        <item h="1" m="1" x="4174"/>
        <item h="1" m="1" x="2893"/>
        <item h="1" m="1" x="4175"/>
        <item h="1" m="1" x="4129"/>
        <item h="1" m="1" x="3437"/>
        <item h="1" m="1" x="2373"/>
        <item h="1" m="1" x="2371"/>
        <item h="1" m="1" x="2360"/>
        <item h="1" m="1" x="2365"/>
        <item h="1" m="1" x="2372"/>
        <item h="1" m="1" x="2362"/>
        <item h="1" m="1" x="2363"/>
        <item h="1" m="1" x="2364"/>
        <item h="1" m="1" x="1895"/>
        <item h="1" m="1" x="1894"/>
        <item h="1" m="1" x="2353"/>
        <item h="1" m="1" x="1896"/>
        <item h="1" m="1" x="2231"/>
        <item h="1" m="1" x="2232"/>
        <item h="1" m="1" x="4449"/>
        <item h="1" m="1" x="4734"/>
        <item h="1" m="1" x="4423"/>
        <item h="1" m="1" x="3159"/>
        <item h="1" m="1" x="1913"/>
        <item h="1" m="1" x="4193"/>
        <item h="1" m="1" x="4737"/>
        <item h="1" m="1" x="4738"/>
        <item h="1" m="1" x="4739"/>
        <item h="1" m="1" x="4740"/>
        <item h="1" m="1" x="4741"/>
        <item h="1" m="1" x="4742"/>
        <item h="1" m="1" x="4743"/>
        <item h="1" m="1" x="4744"/>
        <item h="1" m="1" x="4746"/>
        <item h="1" m="1" x="4747"/>
        <item h="1" m="1" x="2235"/>
        <item h="1" m="1" x="4027"/>
        <item h="1" m="1" x="4028"/>
        <item h="1" m="1" x="4748"/>
        <item h="1" m="1" x="4749"/>
        <item h="1" m="1" x="4750"/>
        <item h="1" m="1" x="4751"/>
        <item h="1" m="1" x="4752"/>
        <item h="1" m="1" x="4322"/>
        <item h="1" m="1" x="3555"/>
        <item h="1" m="1" x="4753"/>
        <item h="1" m="1" x="4754"/>
        <item h="1" m="1" x="3135"/>
        <item h="1" m="1" x="1280"/>
        <item h="1" m="1" x="4755"/>
        <item h="1" m="1" x="4756"/>
        <item h="1" m="1" x="2236"/>
        <item h="1" m="1" x="4757"/>
        <item h="1" m="1" x="2637"/>
        <item h="1" m="1" x="4758"/>
        <item h="1" m="1" x="4759"/>
        <item h="1" m="1" x="4760"/>
        <item h="1" m="1" x="4761"/>
        <item h="1" m="1" x="4763"/>
        <item h="1" m="1" x="4764"/>
        <item h="1" m="1" x="4765"/>
        <item h="1" m="1" x="1270"/>
        <item h="1" m="1" x="4766"/>
        <item h="1" m="1" x="4215"/>
        <item h="1" m="1" x="4767"/>
        <item h="1" m="1" x="4768"/>
        <item h="1" m="1" x="4769"/>
        <item h="1" m="1" x="4770"/>
        <item h="1" m="1" x="4771"/>
        <item h="1" m="1" x="4772"/>
        <item h="1" m="1" x="4773"/>
        <item h="1" m="1" x="4774"/>
        <item h="1" m="1" x="4775"/>
        <item h="1" m="1" x="1797"/>
        <item h="1" m="1" x="4463"/>
        <item h="1" m="1" x="1916"/>
        <item h="1" m="1" x="4776"/>
        <item h="1" m="1" x="4777"/>
        <item h="1" m="1" x="4778"/>
        <item h="1" m="1" x="4779"/>
        <item h="1" m="1" x="4780"/>
        <item h="1" m="1" x="4781"/>
        <item h="1" m="1" x="3777"/>
        <item h="1" m="1" x="4782"/>
        <item h="1" m="1" x="3139"/>
        <item h="1" m="1" x="4784"/>
        <item h="1" m="1" x="3137"/>
        <item h="1" m="1" x="4785"/>
        <item h="1" m="1" x="4786"/>
        <item h="1" m="1" x="4787"/>
        <item h="1" m="1" x="4788"/>
        <item h="1" m="1" x="4789"/>
        <item h="1" m="1" x="4790"/>
        <item h="1" m="1" x="4791"/>
        <item h="1" m="1" x="3730"/>
        <item h="1" m="1" x="4792"/>
        <item h="1" m="1" x="3141"/>
        <item h="1" m="1" x="3462"/>
        <item h="1" m="1" x="3460"/>
        <item h="1" m="1" x="3461"/>
        <item h="1" m="1" x="4793"/>
        <item h="1" m="1" x="4794"/>
        <item h="1" m="1" x="1830"/>
        <item h="1" m="1" x="3458"/>
        <item h="1" m="1" x="4795"/>
        <item h="1" m="1" x="3459"/>
        <item h="1" m="1" x="4796"/>
        <item h="1" m="1" x="4797"/>
        <item h="1" m="1" x="4798"/>
        <item h="1" m="1" x="4799"/>
        <item h="1" m="1" x="4800"/>
        <item h="1" m="1" x="4801"/>
        <item h="1" m="1" x="4802"/>
        <item h="1" m="1" x="4803"/>
        <item h="1" m="1" x="4804"/>
        <item h="1" m="1" x="4806"/>
        <item h="1" m="1" x="4807"/>
        <item h="1" m="1" x="4033"/>
        <item h="1" m="1" x="3865"/>
        <item h="1" m="1" x="3866"/>
        <item h="1" m="1" x="3867"/>
        <item h="1" m="1" x="4808"/>
        <item h="1" m="1" x="4809"/>
        <item h="1" m="1" x="4810"/>
        <item h="1" m="1" x="4811"/>
        <item h="1" m="1" x="3872"/>
        <item h="1" m="1" x="4812"/>
        <item h="1" m="1" x="3871"/>
        <item h="1" m="1" x="4813"/>
        <item h="1" m="1" x="4814"/>
        <item h="1" m="1" x="4815"/>
        <item h="1" m="1" x="4816"/>
        <item h="1" m="1" x="4333"/>
        <item h="1" m="1" x="4044"/>
        <item h="1" m="1" x="4331"/>
        <item h="1" m="1" x="4334"/>
        <item h="1" m="1" x="4336"/>
        <item h="1" m="1" x="4039"/>
        <item h="1" m="1" x="4040"/>
        <item h="1" m="1" x="4042"/>
        <item h="1" m="1" x="4043"/>
        <item h="1" m="1" x="4335"/>
        <item h="1" x="49"/>
        <item h="1" m="1" x="4245"/>
        <item h="1" m="1" x="4422"/>
        <item h="1" m="1" x="4419"/>
        <item h="1" m="1" x="3797"/>
        <item h="1" m="1" x="3900"/>
        <item h="1" m="1" x="3903"/>
        <item h="1" m="1" x="1920"/>
        <item h="1" m="1" x="4076"/>
        <item h="1" m="1" x="4078"/>
        <item h="1" m="1" x="1960"/>
        <item h="1" m="1" x="4418"/>
        <item h="1" m="1" x="4420"/>
        <item h="1" m="1" x="4254"/>
        <item h="1" m="1" x="4255"/>
        <item h="1" m="1" x="4247"/>
        <item h="1" m="1" x="4414"/>
        <item h="1" m="1" x="4257"/>
        <item h="1" m="1" x="4258"/>
        <item h="1" m="1" x="4085"/>
        <item h="1" m="1" x="1924"/>
        <item h="1" m="1" x="4083"/>
        <item h="1" m="1" x="781"/>
        <item h="1" m="1" x="774"/>
        <item h="1" m="1" x="775"/>
        <item h="1" m="1" x="4084"/>
        <item h="1" m="1" x="4421"/>
        <item h="1" m="1" x="1777"/>
        <item h="1" m="1" x="3925"/>
        <item h="1" m="1" x="3933"/>
        <item h="1" m="1" x="4261"/>
        <item h="1" m="1" x="4260"/>
        <item h="1" m="1" x="3928"/>
        <item h="1" m="1" x="3930"/>
        <item h="1" m="1" x="4259"/>
        <item h="1" m="1" x="3929"/>
        <item h="1" m="1" x="3927"/>
        <item h="1" m="1" x="4096"/>
        <item h="1" m="1" x="4375"/>
        <item h="1" m="1" x="1709"/>
        <item h="1" m="1" x="4097"/>
        <item h="1" m="1" x="1184"/>
        <item h="1" m="1" x="4104"/>
        <item h="1" m="1" x="4377"/>
        <item h="1" m="1" x="4381"/>
        <item h="1" m="1" x="1949"/>
        <item h="1" m="1" x="4384"/>
        <item h="1" m="1" x="4413"/>
        <item h="1" m="1" x="2898"/>
        <item h="1" m="1" x="3945"/>
        <item h="1" m="1" x="4435"/>
        <item h="1" m="1" x="2386"/>
        <item h="1" m="1" x="2385"/>
        <item h="1" m="1" x="4428"/>
        <item h="1" m="1" x="4285"/>
        <item h="1" m="1" x="4286"/>
        <item h="1" m="1" x="4289"/>
        <item h="1" m="1" x="3990"/>
        <item h="1" m="1" x="3980"/>
        <item h="1" m="1" x="3981"/>
        <item h="1" m="1" x="4412"/>
        <item h="1" m="1" x="3100"/>
        <item h="1" m="1" x="4388"/>
        <item h="1" m="1" x="4427"/>
        <item h="1" m="1" x="3850"/>
        <item h="1" m="1" x="3851"/>
        <item h="1" m="1" x="3534"/>
        <item h="1" m="1" x="3533"/>
        <item h="1" m="1" x="3526"/>
        <item h="1" m="1" x="3524"/>
        <item h="1" m="1" x="3525"/>
        <item h="1" m="1" x="2836"/>
        <item h="1" m="1" x="1818"/>
        <item h="1" m="1" x="3041"/>
        <item h="1" m="1" x="2594"/>
        <item h="1" m="1" x="1805"/>
        <item h="1" m="1" x="4417"/>
        <item h="1" m="1" x="4434"/>
        <item h="1" m="1" x="4433"/>
        <item h="1" m="1" x="3385"/>
        <item h="1" m="1" x="4426"/>
        <item h="1" m="1" x="4425"/>
        <item h="1" m="1" x="4432"/>
        <item h="1" m="1" x="4431"/>
        <item h="1" m="1" x="4429"/>
        <item h="1" m="1" x="4430"/>
        <item h="1" m="1" x="4424"/>
        <item h="1" m="1" x="4416"/>
        <item h="1" m="1" x="2888"/>
        <item h="1" m="1" x="2858"/>
        <item h="1" m="1" x="2891"/>
        <item h="1" m="1" x="4205"/>
        <item h="1" m="1" x="4324"/>
        <item h="1" m="1" x="4402"/>
        <item h="1" m="1" x="3463"/>
        <item h="1" m="1" x="4406"/>
        <item h="1" m="1" x="3340"/>
        <item h="1" m="1" x="4226"/>
        <item h="1" m="1" x="1808"/>
        <item h="1" m="1" x="3142"/>
        <item h="1" m="1" x="4408"/>
        <item h="1" m="1" x="4231"/>
        <item h="1" m="1" x="4409"/>
        <item h="1" m="1" x="3863"/>
        <item h="1" m="1" x="3864"/>
        <item h="1" m="1" x="4411"/>
        <item h="1" m="1" x="3869"/>
        <item h="1" m="1" x="3870"/>
        <item h="1" m="1" x="3868"/>
        <item h="1" m="1" x="4339"/>
        <item h="1" m="1" x="4340"/>
        <item h="1" m="1" x="4074"/>
        <item h="1" m="1" x="4342"/>
        <item h="1" m="1" x="4344"/>
        <item h="1" m="1" x="4345"/>
        <item h="1" m="1" x="4346"/>
        <item h="1" m="1" x="4347"/>
        <item h="1" m="1" x="4348"/>
        <item h="1" m="1" x="4349"/>
        <item h="1" m="1" x="4350"/>
        <item h="1" m="1" x="4351"/>
        <item h="1" m="1" x="4352"/>
        <item h="1" m="1" x="4353"/>
        <item h="1" m="1" x="4354"/>
        <item h="1" m="1" x="2014"/>
        <item h="1" m="1" x="4355"/>
        <item h="1" m="1" x="4356"/>
        <item h="1" m="1" x="4357"/>
        <item h="1" m="1" x="4358"/>
        <item h="1" m="1" x="4359"/>
        <item h="1" m="1" x="4360"/>
        <item h="1" m="1" x="4361"/>
        <item h="1" m="1" x="4362"/>
        <item h="1" m="1" x="3906"/>
        <item h="1" m="1" x="4363"/>
        <item h="1" m="1" x="4364"/>
        <item h="1" m="1" x="4365"/>
        <item h="1" m="1" x="4366"/>
        <item h="1" m="1" x="4081"/>
        <item h="1" m="1" x="4367"/>
        <item h="1" m="1" x="4368"/>
        <item h="1" m="1" x="4369"/>
        <item h="1" m="1" x="2777"/>
        <item h="1" m="1" x="4371"/>
        <item h="1" m="1" x="3362"/>
        <item h="1" m="1" x="4372"/>
        <item h="1" m="1" x="3932"/>
        <item h="1" m="1" x="4262"/>
        <item h="1" m="1" x="4263"/>
        <item h="1" m="1" x="4264"/>
        <item h="1" m="1" x="4265"/>
        <item h="1" m="1" x="4374"/>
        <item h="1" m="1" x="1922"/>
        <item h="1" m="1" x="4095"/>
        <item h="1" m="1" x="586"/>
        <item h="1" m="1" x="4094"/>
        <item h="1" m="1" x="4378"/>
        <item h="1" m="1" x="4379"/>
        <item h="1" m="1" x="4380"/>
        <item h="1" m="1" x="4114"/>
        <item h="1" m="1" x="4383"/>
        <item h="1" m="1" x="4385"/>
        <item h="1" m="1" x="4386"/>
        <item h="1" m="1" x="4126"/>
        <item h="1" m="1" x="3986"/>
        <item h="1" m="1" x="4387"/>
        <item h="1" m="1" x="492"/>
        <item h="1" m="1" x="1802"/>
        <item h="1" m="1" x="3114"/>
        <item h="1" m="1" x="4389"/>
        <item h="1" m="1" x="4390"/>
        <item h="1" x="436"/>
        <item h="1" m="1" x="3520"/>
        <item h="1" m="1" x="4391"/>
        <item h="1" m="1" x="4148"/>
        <item h="1" m="1" x="4005"/>
        <item h="1" m="1" x="4392"/>
        <item h="1" m="1" x="1945"/>
        <item h="1" m="1" x="1946"/>
        <item h="1" m="1" x="1954"/>
        <item h="1" m="1" x="1955"/>
        <item h="1" m="1" x="3823"/>
        <item h="1" m="1" x="4393"/>
        <item h="1" m="1" x="4396"/>
        <item h="1" m="1" x="4397"/>
        <item h="1" m="1" x="481"/>
        <item h="1" m="1" x="4398"/>
        <item h="1" m="1" x="2968"/>
        <item h="1" m="1" x="4314"/>
        <item h="1" m="1" x="1491"/>
        <item h="1" m="1" x="4190"/>
        <item h="1" m="1" x="529"/>
        <item h="1" m="1" x="4183"/>
        <item h="1" m="1" x="4184"/>
        <item h="1" m="1" x="4185"/>
        <item h="1" m="1" x="2877"/>
        <item h="1" m="1" x="4399"/>
        <item h="1" m="1" x="4400"/>
        <item h="1" m="1" x="4401"/>
        <item h="1" m="1" x="4403"/>
        <item h="1" m="1" x="4405"/>
        <item h="1" m="1" x="4407"/>
        <item h="1" x="411"/>
        <item h="1" m="1" x="4410"/>
        <item h="1" m="1" x="4332"/>
        <item h="1" m="1" x="4235"/>
        <item h="1" m="1" x="4236"/>
        <item h="1" m="1" x="4049"/>
        <item h="1" m="1" x="4050"/>
        <item h="1" m="1" x="3874"/>
        <item h="1" m="1" x="4063"/>
        <item h="1" m="1" x="4061"/>
        <item h="1" m="1" x="4059"/>
        <item h="1" m="1" x="4060"/>
        <item h="1" m="1" x="4062"/>
        <item h="1" m="1" x="3880"/>
        <item h="1" m="1" x="3881"/>
        <item h="1" m="1" x="3882"/>
        <item h="1" m="1" x="3883"/>
        <item h="1" m="1" x="3884"/>
        <item h="1" m="1" x="3885"/>
        <item h="1" m="1" x="3886"/>
        <item h="1" m="1" x="3891"/>
        <item h="1" m="1" x="3892"/>
        <item h="1" m="1" x="4073"/>
        <item h="1" m="1" x="3879"/>
        <item h="1" m="1" x="3888"/>
        <item h="1" m="1" x="4064"/>
        <item h="1" m="1" x="3893"/>
        <item h="1" m="1" x="4065"/>
        <item h="1" m="1" x="4066"/>
        <item h="1" m="1" x="4067"/>
        <item h="1" m="1" x="4068"/>
        <item h="1" m="1" x="3187"/>
        <item h="1" m="1" x="3894"/>
        <item h="1" m="1" x="4070"/>
        <item h="1" m="1" x="4071"/>
        <item h="1" m="1" x="4072"/>
        <item h="1" m="1" x="3889"/>
        <item h="1" m="1" x="3890"/>
        <item h="1" m="1" x="3583"/>
        <item h="1" m="1" x="4246"/>
        <item h="1" m="1" x="3907"/>
        <item h="1" m="1" x="3908"/>
        <item h="1" m="1" x="1422"/>
        <item h="1" m="1" x="4248"/>
        <item h="1" m="1" x="4249"/>
        <item h="1" m="1" x="4250"/>
        <item h="1" m="1" x="4080"/>
        <item h="1" m="1" x="4079"/>
        <item h="1" m="1" x="4251"/>
        <item h="1" m="1" x="4252"/>
        <item h="1" m="1" x="4253"/>
        <item h="1" m="1" x="4082"/>
        <item h="1" m="1" x="1929"/>
        <item h="1" m="1" x="1931"/>
        <item h="1" m="1" x="1930"/>
        <item h="1" m="1" x="1927"/>
        <item h="1" m="1" x="1928"/>
        <item h="1" m="1" x="4087"/>
        <item h="1" m="1" x="4266"/>
        <item h="1" m="1" x="1799"/>
        <item h="1" m="1" x="4267"/>
        <item h="1" m="1" x="4098"/>
        <item h="1" m="1" x="1959"/>
        <item h="1" m="1" x="4100"/>
        <item h="1" m="1" x="4269"/>
        <item h="1" m="1" x="1950"/>
        <item h="1" m="1" x="4270"/>
        <item h="1" m="1" x="4115"/>
        <item h="1" m="1" x="2441"/>
        <item h="1" m="1" x="3298"/>
        <item h="1" m="1" x="4274"/>
        <item h="1" m="1" x="4275"/>
        <item h="1" m="1" x="4276"/>
        <item h="1" m="1" x="3377"/>
        <item h="1" m="1" x="4277"/>
        <item h="1" m="1" x="2883"/>
        <item h="1" m="1" x="4278"/>
        <item h="1" m="1" x="4279"/>
        <item h="1" m="1" x="1919"/>
        <item h="1" m="1" x="1937"/>
        <item h="1" m="1" x="1957"/>
        <item h="1" m="1" x="1939"/>
        <item h="1" m="1" x="1936"/>
        <item h="1" m="1" x="4283"/>
        <item h="1" m="1" x="4124"/>
        <item h="1" m="1" x="4291"/>
        <item h="1" m="1" x="4292"/>
        <item h="1" m="1" x="4293"/>
        <item h="1" m="1" x="1801"/>
        <item h="1" m="1" x="4294"/>
        <item h="1" m="1" x="515"/>
        <item h="1" m="1" x="4136"/>
        <item h="1" m="1" x="3813"/>
        <item h="1" m="1" x="4295"/>
        <item h="1" m="1" x="3166"/>
        <item h="1" m="1" x="4297"/>
        <item h="1" m="1" x="4298"/>
        <item h="1" m="1" x="4299"/>
        <item h="1" m="1" x="4300"/>
        <item h="1" m="1" x="4142"/>
        <item h="1" m="1" x="3519"/>
        <item h="1" m="1" x="3522"/>
        <item h="1" m="1" x="3422"/>
        <item h="1" m="1" x="3521"/>
        <item h="1" m="1" x="2616"/>
        <item h="1" m="1" x="4301"/>
        <item h="1" m="1" x="4149"/>
        <item h="1" m="1" x="4302"/>
        <item h="1" m="1" x="2911"/>
        <item h="1" m="1" x="4306"/>
        <item h="1" m="1" x="2549"/>
        <item h="1" m="1" x="4307"/>
        <item h="1" m="1" x="4154"/>
        <item h="1" m="1" x="4308"/>
        <item h="1" m="1" x="4309"/>
        <item h="1" m="1" x="4310"/>
        <item h="1" m="1" x="4311"/>
        <item h="1" m="1" x="3136"/>
        <item h="1" m="1" x="4312"/>
        <item h="1" m="1" x="4313"/>
        <item h="1" m="1" x="2589"/>
        <item h="1" m="1" x="1806"/>
        <item h="1" m="1" x="4315"/>
        <item h="1" m="1" x="4316"/>
        <item h="1" m="1" x="4317"/>
        <item h="1" m="1" x="4318"/>
        <item h="1" m="1" x="4021"/>
        <item h="1" m="1" x="4321"/>
        <item h="1" m="1" x="2064"/>
        <item h="1" m="1" x="4189"/>
        <item h="1" m="1" x="4187"/>
        <item h="1" m="1" x="4188"/>
        <item h="1" m="1" x="4186"/>
        <item h="1" m="1" x="1807"/>
        <item h="1" m="1" x="1224"/>
        <item h="1" m="1" x="4207"/>
        <item h="1" m="1" x="4208"/>
        <item h="1" m="1" x="4325"/>
        <item h="1" m="1" x="4326"/>
        <item h="1" m="1" x="4327"/>
        <item h="1" m="1" x="4328"/>
        <item h="1" m="1" x="4329"/>
        <item h="1" m="1" x="4330"/>
        <item h="1" m="1" x="4036"/>
        <item h="1" m="1" x="4234"/>
        <item h="1" m="1" x="4048"/>
        <item h="1" m="1" x="1964"/>
        <item h="1" m="1" x="4051"/>
        <item h="1" m="1" x="4052"/>
        <item h="1" m="1" x="4053"/>
        <item h="1" m="1" x="4054"/>
        <item h="1" m="1" x="4055"/>
        <item h="1" m="1" x="4056"/>
        <item h="1" m="1" x="4057"/>
        <item h="1" m="1" x="4058"/>
        <item h="1" m="1" x="1441"/>
        <item h="1" m="1" x="3590"/>
        <item h="1" m="1" x="4077"/>
        <item h="1" m="1" x="3910"/>
        <item h="1" m="1" x="3913"/>
        <item h="1" m="1" x="3838"/>
        <item h="1" m="1" x="2773"/>
        <item h="1" m="1" x="4086"/>
        <item h="1" m="1" x="4089"/>
        <item h="1" m="1" x="4090"/>
        <item h="1" m="1" x="1800"/>
        <item h="1" m="1" x="1529"/>
        <item h="1" m="1" x="4091"/>
        <item h="1" m="1" x="4092"/>
        <item h="1" m="1" x="588"/>
        <item h="1" m="1" x="4101"/>
        <item h="1" m="1" x="4105"/>
        <item h="1" m="1" x="4106"/>
        <item h="1" m="1" x="4107"/>
        <item h="1" m="1" x="4109"/>
        <item h="1" m="1" x="4110"/>
        <item h="1" m="1" x="4111"/>
        <item h="1" m="1" x="4112"/>
        <item h="1" m="1" x="4113"/>
        <item h="1" m="1" x="3083"/>
        <item h="1" m="1" x="2925"/>
        <item h="1" m="1" x="3935"/>
        <item h="1" m="1" x="3936"/>
        <item h="1" m="1" x="4119"/>
        <item h="1" m="1" x="4120"/>
        <item h="1" m="1" x="3951"/>
        <item h="1" m="1" x="4121"/>
        <item h="1" m="1" x="3812"/>
        <item h="1" m="1" x="4122"/>
        <item h="1" m="1" x="3952"/>
        <item h="1" x="200"/>
        <item h="1" m="1" x="1958"/>
        <item h="1" m="1" x="1487"/>
        <item h="1" m="1" x="3103"/>
        <item h="1" m="1" x="4128"/>
        <item h="1" m="1" x="4130"/>
        <item h="1" m="1" x="4131"/>
        <item h="1" m="1" x="4133"/>
        <item h="1" m="1" x="1804"/>
        <item h="1" m="1" x="3109"/>
        <item h="1" m="1" x="1803"/>
        <item h="1" m="1" x="3852"/>
        <item h="1" m="1" x="4138"/>
        <item h="1" m="1" x="4139"/>
        <item h="1" m="1" x="860"/>
        <item h="1" m="1" x="4140"/>
        <item h="1" m="1" x="4141"/>
        <item h="1" m="1" x="3532"/>
        <item h="1" m="1" x="4001"/>
        <item h="1" m="1" x="4146"/>
        <item h="1" m="1" x="4147"/>
        <item h="1" m="1" x="4150"/>
        <item h="1" m="1" x="2606"/>
        <item h="1" m="1" x="4152"/>
        <item h="1" m="1" x="2825"/>
        <item h="1" m="1" x="4156"/>
        <item h="1" m="1" x="4157"/>
        <item h="1" m="1" x="4158"/>
        <item h="1" m="1" x="4159"/>
        <item h="1" m="1" x="4160"/>
        <item h="1" m="1" x="4161"/>
        <item h="1" m="1" x="4162"/>
        <item h="1" m="1" x="4163"/>
        <item h="1" m="1" x="4164"/>
        <item h="1" m="1" x="4165"/>
        <item h="1" m="1" x="4166"/>
        <item h="1" m="1" x="4167"/>
        <item h="1" m="1" x="4169"/>
        <item h="1" m="1" x="4170"/>
        <item h="1" m="1" x="4171"/>
        <item h="1" m="1" x="4172"/>
        <item h="1" m="1" x="4015"/>
        <item h="1" m="1" x="4177"/>
        <item h="1" m="1" x="4178"/>
        <item h="1" m="1" x="4179"/>
        <item h="1" m="1" x="4181"/>
        <item h="1" m="1" x="4182"/>
        <item h="1" m="1" x="4191"/>
        <item h="1" m="1" x="4192"/>
        <item h="1" m="1" x="4194"/>
        <item h="1" m="1" x="4195"/>
        <item h="1" m="1" x="4196"/>
        <item h="1" m="1" x="4197"/>
        <item h="1" m="1" x="4198"/>
        <item h="1" m="1" x="4199"/>
        <item h="1" m="1" x="4201"/>
        <item h="1" m="1" x="4202"/>
        <item h="1" m="1" x="4203"/>
        <item h="1" m="1" x="4204"/>
        <item h="1" m="1" x="1973"/>
        <item h="1" m="1" x="4209"/>
        <item h="1" m="1" x="4210"/>
        <item h="1" m="1" x="4211"/>
        <item h="1" m="1" x="3325"/>
        <item h="1" m="1" x="4212"/>
        <item h="1" m="1" x="4214"/>
        <item h="1" m="1" x="4216"/>
        <item h="1" m="1" x="4217"/>
        <item h="1" m="1" x="4218"/>
        <item h="1" m="1" x="4219"/>
        <item h="1" m="1" x="4220"/>
        <item h="1" m="1" x="1018"/>
        <item h="1" m="1" x="4221"/>
        <item h="1" m="1" x="4222"/>
        <item h="1" m="1" x="4223"/>
        <item h="1" m="1" x="4224"/>
        <item h="1" m="1" x="4225"/>
        <item h="1" m="1" x="4227"/>
        <item h="1" m="1" x="4228"/>
        <item h="1" m="1" x="4229"/>
        <item h="1" m="1" x="4230"/>
        <item h="1" m="1" x="961"/>
        <item h="1" m="1" x="2072"/>
        <item h="1" x="59"/>
        <item h="1" m="1" x="3465"/>
        <item h="1" m="1" x="4233"/>
        <item h="1" m="1" x="4035"/>
        <item h="1" m="1" x="4037"/>
        <item h="1" m="1" x="4038"/>
        <item h="1" m="1" x="3875"/>
        <item h="1" m="1" x="3876"/>
        <item h="1" m="1" x="3877"/>
        <item h="1" m="1" x="3878"/>
        <item h="1" m="1" x="3895"/>
        <item h="1" m="1" x="3896"/>
        <item h="1" m="1" x="3897"/>
        <item h="1" m="1" x="3898"/>
        <item h="1" m="1" x="3899"/>
        <item h="1" m="1" x="449"/>
        <item h="1" m="1" x="2878"/>
        <item h="1" m="1" x="2879"/>
        <item h="1" m="1" x="2880"/>
        <item h="1" m="1" x="3158"/>
        <item h="1" m="1" x="3835"/>
        <item h="1" m="1" x="3902"/>
        <item h="1" m="1" x="3904"/>
        <item h="1" m="1" x="3905"/>
        <item h="1" m="1" x="3589"/>
        <item h="1" m="1" x="3909"/>
        <item h="1" m="1" x="3912"/>
        <item h="1" m="1" x="3914"/>
        <item h="1" m="1" x="3915"/>
        <item h="1" m="1" x="3916"/>
        <item h="1" m="1" x="3917"/>
        <item h="1" m="1" x="3918"/>
        <item h="1" m="1" x="3919"/>
        <item h="1" m="1" x="3920"/>
        <item h="1" m="1" x="3839"/>
        <item h="1" m="1" x="3921"/>
        <item h="1" m="1" x="3840"/>
        <item h="1" m="1" x="3923"/>
        <item h="1" m="1" x="3926"/>
        <item h="1" m="1" x="3843"/>
        <item h="1" m="1" x="3949"/>
        <item h="1" m="1" x="771"/>
        <item h="1" m="1" x="3953"/>
        <item h="1" m="1" x="1934"/>
        <item h="1" m="1" x="3954"/>
        <item h="1" m="1" x="1534"/>
        <item h="1" m="1" x="3649"/>
        <item h="1" m="1" x="3996"/>
        <item h="1" m="1" x="3997"/>
        <item h="1" m="1" x="3998"/>
        <item h="1" m="1" x="3848"/>
        <item h="1" m="1" x="3098"/>
        <item h="1" m="1" x="3853"/>
        <item h="1" m="1" x="3854"/>
        <item h="1" m="1" x="3528"/>
        <item h="1" m="1" x="3517"/>
        <item h="1" m="1" x="3413"/>
        <item h="1" m="1" x="3415"/>
        <item h="1" m="1" x="4003"/>
        <item h="1" m="1" x="448"/>
        <item h="1" m="1" x="4004"/>
        <item h="1" m="1" x="3692"/>
        <item h="1" m="1" x="4007"/>
        <item h="1" m="1" x="3825"/>
        <item h="1" m="1" x="3826"/>
        <item h="1" m="1" x="4022"/>
        <item h="1" m="1" x="4023"/>
        <item h="1" m="1" x="4024"/>
        <item h="1" m="1" x="4025"/>
        <item h="1" m="1" x="4026"/>
        <item h="1" m="1" x="4034"/>
        <item h="1" m="1" x="3831"/>
        <item h="1" m="1" x="3832"/>
        <item h="1" m="1" x="3833"/>
        <item h="1" m="1" x="3834"/>
        <item h="1" m="1" x="1932"/>
        <item h="1" m="1" x="1832"/>
        <item h="1" m="1" x="3836"/>
        <item h="1" m="1" x="1926"/>
        <item h="1" m="1" x="757"/>
        <item h="1" m="1" x="2687"/>
        <item h="1" m="1" x="3842"/>
        <item h="1" x="47"/>
        <item h="1" m="1" x="3804"/>
        <item h="1" m="1" x="2776"/>
        <item h="1" m="1" x="3845"/>
        <item h="1" m="1" x="3846"/>
        <item h="1" m="1" x="2885"/>
        <item h="1" m="1" x="3847"/>
        <item h="1" m="1" x="770"/>
        <item h="1" m="1" x="1940"/>
        <item h="1" m="1" x="1933"/>
        <item h="1" m="1" x="1938"/>
        <item h="1" m="1" x="1935"/>
        <item h="1" m="1" x="3849"/>
        <item h="1" m="1" x="2631"/>
        <item h="1" m="1" x="3523"/>
        <item h="1" m="1" x="3518"/>
        <item h="1" m="1" x="3856"/>
        <item h="1" m="1" x="3858"/>
        <item h="1" m="1" x="2952"/>
        <item h="1" m="1" x="3861"/>
        <item h="1" m="1" x="3791"/>
        <item h="1" m="1" x="3792"/>
        <item h="1" m="1" x="2688"/>
        <item h="1" m="1" x="3793"/>
        <item h="1" m="1" x="3794"/>
        <item h="1" m="1" x="3795"/>
        <item h="1" m="1" x="3796"/>
        <item h="1" m="1" x="3798"/>
        <item h="1" m="1" x="3799"/>
        <item h="1" m="1" x="3800"/>
        <item h="1" m="1" x="2864"/>
        <item h="1" m="1" x="1690"/>
        <item h="1" m="1" x="1691"/>
        <item h="1" m="1" x="3593"/>
        <item h="1" m="1" x="3488"/>
        <item h="1" m="1" x="1921"/>
        <item h="1" x="51"/>
        <item h="1" m="1" x="3801"/>
        <item h="1" m="1" x="3802"/>
        <item h="1" m="1" x="3803"/>
        <item h="1" m="1" x="3805"/>
        <item h="1" m="1" x="3806"/>
        <item h="1" x="214"/>
        <item h="1" m="1" x="3174"/>
        <item h="1" m="1" x="3808"/>
        <item h="1" m="1" x="3809"/>
        <item h="1" m="1" x="3811"/>
        <item h="1" m="1" x="1944"/>
        <item h="1" m="1" x="1889"/>
        <item h="1" m="1" x="3383"/>
        <item h="1" m="1" x="2908"/>
        <item h="1" m="1" x="3671"/>
        <item h="1" m="1" x="3106"/>
        <item h="1" m="1" x="986"/>
        <item h="1" m="1" x="3531"/>
        <item h="1" m="1" x="3815"/>
        <item h="1" m="1" x="3816"/>
        <item h="1" m="1" x="3817"/>
        <item h="1" m="1" x="3829"/>
        <item h="1" m="1" x="3830"/>
        <item h="1" m="1" x="3467"/>
        <item h="1" m="1" x="3469"/>
        <item h="1" m="1" x="3470"/>
        <item h="1" m="1" x="3471"/>
        <item h="1" m="1" x="3333"/>
        <item h="1" m="1" x="3574"/>
        <item h="1" m="1" x="3575"/>
        <item h="1" m="1" x="3576"/>
        <item h="1" m="1" x="3578"/>
        <item h="1" m="1" x="3579"/>
        <item h="1" m="1" x="3580"/>
        <item h="1" m="1" x="3581"/>
        <item h="1" m="1" x="3582"/>
        <item h="1" m="1" x="3584"/>
        <item h="1" m="1" x="3477"/>
        <item h="1" m="1" x="3585"/>
        <item h="1" m="1" x="3586"/>
        <item h="1" m="1" x="3587"/>
        <item h="1" m="1" x="3588"/>
        <item h="1" m="1" x="1684"/>
        <item h="1" m="1" x="3357"/>
        <item h="1" m="1" x="3358"/>
        <item h="1" m="1" x="3359"/>
        <item h="1" m="1" x="3351"/>
        <item h="1" m="1" x="3592"/>
        <item h="1" m="1" x="3594"/>
        <item h="1" m="1" x="3595"/>
        <item h="1" m="1" x="3356"/>
        <item h="1" m="1" x="3487"/>
        <item h="1" x="50"/>
        <item h="1" x="32"/>
        <item h="1" m="1" x="1813"/>
        <item h="1" m="1" x="3596"/>
        <item h="1" m="1" x="3597"/>
        <item h="1" m="1" x="3598"/>
        <item h="1" m="1" x="3366"/>
        <item h="1" m="1" x="3600"/>
        <item h="1" m="1" x="3601"/>
        <item h="1" m="1" x="1527"/>
        <item h="1" m="1" x="3602"/>
        <item h="1" m="1" x="3603"/>
        <item h="1" m="1" x="3604"/>
        <item h="1" m="1" x="3605"/>
        <item h="1" m="1" x="3606"/>
        <item h="1" m="1" x="673"/>
        <item h="1" m="1" x="3608"/>
        <item h="1" m="1" x="3609"/>
        <item h="1" m="1" x="3610"/>
        <item h="1" m="1" x="3612"/>
        <item h="1" m="1" x="1530"/>
        <item h="1" m="1" x="1531"/>
        <item h="1" m="1" x="3614"/>
        <item h="1" m="1" x="3615"/>
        <item h="1" m="1" x="3616"/>
        <item h="1" m="1" x="3617"/>
        <item h="1" m="1" x="3618"/>
        <item h="1" m="1" x="3619"/>
        <item h="1" m="1" x="3620"/>
        <item h="1" m="1" x="2188"/>
        <item h="1" m="1" x="3621"/>
        <item h="1" m="1" x="3069"/>
        <item h="1" m="1" x="3070"/>
        <item h="1" m="1" x="3623"/>
        <item h="1" m="1" x="3624"/>
        <item h="1" m="1" x="1715"/>
        <item h="1" m="1" x="3625"/>
        <item h="1" m="1" x="3627"/>
        <item h="1" m="1" x="3629"/>
        <item h="1" m="1" x="1099"/>
        <item h="1" m="1" x="3630"/>
        <item h="1" m="1" x="3631"/>
        <item h="1" m="1" x="3632"/>
        <item h="1" m="1" x="3634"/>
        <item h="1" m="1" x="2239"/>
        <item h="1" m="1" x="3635"/>
        <item h="1" m="1" x="3636"/>
        <item h="1" m="1" x="3637"/>
        <item h="1" m="1" x="3638"/>
        <item h="1" m="1" x="3639"/>
        <item h="1" m="1" x="3640"/>
        <item h="1" m="1" x="3643"/>
        <item h="1" m="1" x="3644"/>
        <item h="1" m="1" x="3645"/>
        <item h="1" m="1" x="3646"/>
        <item h="1" m="1" x="3211"/>
        <item h="1" m="1" x="3081"/>
        <item h="1" m="1" x="527"/>
        <item h="1" m="1" x="3502"/>
        <item h="1" m="1" x="773"/>
        <item h="1" m="1" x="3648"/>
        <item h="1" m="1" x="2407"/>
        <item h="1" m="1" x="2408"/>
        <item h="1" m="1" x="2409"/>
        <item h="1" m="1" x="2410"/>
        <item h="1" m="1" x="2411"/>
        <item h="1" m="1" x="2413"/>
        <item h="1" m="1" x="2419"/>
        <item h="1" m="1" x="2404"/>
        <item h="1" m="1" x="2427"/>
        <item h="1" m="1" x="2414"/>
        <item h="1" m="1" x="2420"/>
        <item h="1" m="1" x="2421"/>
        <item h="1" m="1" x="2422"/>
        <item h="1" m="1" x="2412"/>
        <item h="1" m="1" x="2406"/>
        <item h="1" m="1" x="1205"/>
        <item h="1" m="1" x="3652"/>
        <item h="1" m="1" x="3653"/>
        <item h="1" m="1" x="3654"/>
        <item h="1" m="1" x="2602"/>
        <item h="1" m="1" x="3382"/>
        <item h="1" m="1" x="3658"/>
        <item h="1" m="1" x="3659"/>
        <item h="1" m="1" x="3662"/>
        <item h="1" m="1" x="3663"/>
        <item h="1" m="1" x="3664"/>
        <item h="1" m="1" x="3665"/>
        <item h="1" m="1" x="3666"/>
        <item h="1" m="1" x="3667"/>
        <item h="1" m="1" x="3668"/>
        <item h="1" m="1" x="3669"/>
        <item h="1" m="1" x="3670"/>
        <item h="1" m="1" x="3099"/>
        <item h="1" m="1" x="3108"/>
        <item h="1" m="1" x="3107"/>
        <item h="1" m="1" x="3672"/>
        <item h="1" m="1" x="3674"/>
        <item h="1" x="127"/>
        <item h="1" m="1" x="3676"/>
        <item h="1" m="1" x="3677"/>
        <item h="1" m="1" x="3678"/>
        <item h="1" m="1" x="3679"/>
        <item h="1" m="1" x="3680"/>
        <item h="1" m="1" x="2558"/>
        <item h="1" m="1" x="3681"/>
        <item h="1" m="1" x="3682"/>
        <item h="1" m="1" x="3423"/>
        <item h="1" m="1" x="3527"/>
        <item h="1" m="1" x="3685"/>
        <item h="1" m="1" x="1739"/>
        <item h="1" m="1" x="3686"/>
        <item h="1" m="1" x="3687"/>
        <item h="1" m="1" x="3688"/>
        <item h="1" m="1" x="3689"/>
        <item h="1" m="1" x="3690"/>
        <item h="1" m="1" x="3691"/>
        <item h="1" m="1" x="3428"/>
        <item h="1" m="1" x="2593"/>
        <item h="1" m="1" x="2604"/>
        <item h="1" m="1" x="2609"/>
        <item h="1" m="1" x="2607"/>
        <item h="1" m="1" x="2608"/>
        <item h="1" m="1" x="2032"/>
        <item h="1" m="1" x="3693"/>
        <item h="1" m="1" x="3694"/>
        <item h="1" m="1" x="3695"/>
        <item h="1" m="1" x="1688"/>
        <item h="1" m="1" x="3696"/>
        <item h="1" m="1" x="3697"/>
        <item h="1" m="1" x="3698"/>
        <item h="1" m="1" x="3699"/>
        <item h="1" m="1" x="3700"/>
        <item h="1" m="1" x="3701"/>
        <item h="1" m="1" x="3702"/>
        <item h="1" m="1" x="3703"/>
        <item h="1" m="1" x="3704"/>
        <item h="1" m="1" x="3705"/>
        <item h="1" m="1" x="3706"/>
        <item h="1" m="1" x="3707"/>
        <item h="1" m="1" x="3708"/>
        <item h="1" m="1" x="3709"/>
        <item h="1" m="1" x="3710"/>
        <item h="1" m="1" x="3711"/>
        <item h="1" m="1" x="3712"/>
        <item h="1" m="1" x="3713"/>
        <item h="1" m="1" x="3714"/>
        <item h="1" m="1" x="3715"/>
        <item h="1" m="1" x="3716"/>
        <item h="1" m="1" x="2822"/>
        <item h="1" m="1" x="3717"/>
        <item h="1" m="1" x="3718"/>
        <item h="1" m="1" x="3719"/>
        <item h="1" m="1" x="3720"/>
        <item h="1" m="1" x="3721"/>
        <item h="1" m="1" x="3723"/>
        <item h="1" m="1" x="3127"/>
        <item h="1" m="1" x="3725"/>
        <item h="1" m="1" x="2793"/>
        <item h="1" m="1" x="3726"/>
        <item h="1" m="1" x="3727"/>
        <item h="1" m="1" x="3728"/>
        <item h="1" m="1" x="3729"/>
        <item h="1" m="1" x="1226"/>
        <item h="1" m="1" x="3731"/>
        <item h="1" m="1" x="3732"/>
        <item h="1" m="1" x="3432"/>
        <item h="1" m="1" x="3431"/>
        <item h="1" m="1" x="3552"/>
        <item h="1" m="1" x="3734"/>
        <item h="1" m="1" x="2007"/>
        <item h="1" m="1" x="3735"/>
        <item h="1" m="1" x="3737"/>
        <item h="1" m="1" x="3738"/>
        <item h="1" m="1" x="3101"/>
        <item h="1" m="1" x="3739"/>
        <item h="1" m="1" x="3740"/>
        <item h="1" m="1" x="3446"/>
        <item h="1" m="1" x="3741"/>
        <item h="1" m="1" x="3742"/>
        <item h="1" m="1" x="3743"/>
        <item h="1" m="1" x="3744"/>
        <item h="1" m="1" x="3745"/>
        <item h="1" m="1" x="3746"/>
        <item h="1" m="1" x="3747"/>
        <item h="1" m="1" x="3748"/>
        <item h="1" m="1" x="3749"/>
        <item h="1" m="1" x="3751"/>
        <item h="1" m="1" x="3752"/>
        <item h="1" m="1" x="3753"/>
        <item h="1" m="1" x="3754"/>
        <item h="1" m="1" x="3755"/>
        <item h="1" m="1" x="3756"/>
        <item h="1" m="1" x="3757"/>
        <item h="1" m="1" x="3758"/>
        <item h="1" m="1" x="3132"/>
        <item h="1" m="1" x="3759"/>
        <item h="1" m="1" x="1161"/>
        <item h="1" m="1" x="2645"/>
        <item h="1" m="1" x="2646"/>
        <item h="1" m="1" x="3762"/>
        <item h="1" m="1" x="3763"/>
        <item h="1" m="1" x="3448"/>
        <item h="1" m="1" x="3764"/>
        <item h="1" m="1" x="3765"/>
        <item h="1" m="1" x="3767"/>
        <item h="1" m="1" x="3768"/>
        <item h="1" m="1" x="3769"/>
        <item h="1" m="1" x="3770"/>
        <item h="1" m="1" x="3772"/>
        <item h="1" m="1" x="3773"/>
        <item h="1" m="1" x="3774"/>
        <item h="1" m="1" x="3775"/>
        <item h="1" m="1" x="3776"/>
        <item h="1" m="1" x="3778"/>
        <item h="1" m="1" x="3779"/>
        <item h="1" m="1" x="3780"/>
        <item h="1" m="1" x="1689"/>
        <item h="1" m="1" x="3781"/>
        <item h="1" m="1" x="3782"/>
        <item h="1" m="1" x="3784"/>
        <item h="1" m="1" x="3785"/>
        <item h="1" m="1" x="3786"/>
        <item h="1" m="1" x="3787"/>
        <item h="1" m="1" x="3468"/>
        <item h="1" m="1" x="3474"/>
        <item h="1" m="1" x="3475"/>
        <item h="1" m="1" x="3476"/>
        <item h="1" m="1" x="3478"/>
        <item h="1" m="1" x="2853"/>
        <item h="1" m="1" x="3479"/>
        <item h="1" m="1" x="3481"/>
        <item h="1" m="1" x="2039"/>
        <item h="1" m="1" x="3482"/>
        <item h="1" m="1" x="3483"/>
        <item h="1" m="1" x="3484"/>
        <item h="1" m="1" x="3485"/>
        <item h="1" m="1" x="3486"/>
        <item h="1" m="1" x="3360"/>
        <item h="1" m="1" x="3489"/>
        <item h="1" m="1" x="3490"/>
        <item h="1" m="1" x="3354"/>
        <item h="1" m="1" x="3491"/>
        <item h="1" m="1" x="601"/>
        <item h="1" m="1" x="3493"/>
        <item h="1" m="1" x="3361"/>
        <item h="1" m="1" x="3494"/>
        <item h="1" m="1" x="3495"/>
        <item h="1" m="1" x="935"/>
        <item h="1" m="1" x="1685"/>
        <item h="1" m="1" x="2144"/>
        <item h="1" m="1" x="3496"/>
        <item h="1" m="1" x="3497"/>
        <item h="1" m="1" x="3498"/>
        <item h="1" m="1" x="3124"/>
        <item h="1" m="1" x="3500"/>
        <item h="1" x="54"/>
        <item h="1" m="1" x="3503"/>
        <item h="1" m="1" x="3505"/>
        <item h="1" m="1" x="1898"/>
        <item h="1" m="1" x="1101"/>
        <item h="1" m="1" x="2246"/>
        <item h="1" m="1" x="3506"/>
        <item h="1" m="1" x="2418"/>
        <item h="1" m="1" x="2428"/>
        <item h="1" m="1" x="2245"/>
        <item h="1" m="1" x="2415"/>
        <item h="1" m="1" x="2426"/>
        <item h="1" m="1" x="2423"/>
        <item h="1" m="1" x="2425"/>
        <item h="1" m="1" x="2416"/>
        <item h="1" m="1" x="2417"/>
        <item h="1" m="1" x="2405"/>
        <item h="1" m="1" x="3507"/>
        <item h="1" m="1" x="2036"/>
        <item h="1" m="1" x="2037"/>
        <item h="1" m="1" x="2038"/>
        <item h="1" m="1" x="3508"/>
        <item h="1" m="1" x="3509"/>
        <item h="1" m="1" x="3510"/>
        <item h="1" m="1" x="3511"/>
        <item h="1" m="1" x="3116"/>
        <item h="1" m="1" x="3396"/>
        <item h="1" m="1" x="3512"/>
        <item h="1" m="1" x="2357"/>
        <item h="1" m="1" x="3513"/>
        <item h="1" m="1" x="3514"/>
        <item h="1" m="1" x="2387"/>
        <item h="1" m="1" x="2374"/>
        <item h="1" m="1" x="3417"/>
        <item h="1" m="1" x="3421"/>
        <item h="1" m="1" x="3529"/>
        <item h="1" m="1" x="3530"/>
        <item h="1" m="1" x="3538"/>
        <item h="1" m="1" x="3539"/>
        <item h="1" x="44"/>
        <item h="1" x="43"/>
        <item h="1" m="1" x="3540"/>
        <item h="1" m="1" x="3541"/>
        <item h="1" m="1" x="2905"/>
        <item h="1" m="1" x="2596"/>
        <item h="1" m="1" x="3542"/>
        <item h="1" m="1" x="3543"/>
        <item h="1" m="1" x="3544"/>
        <item h="1" m="1" x="3545"/>
        <item h="1" m="1" x="3546"/>
        <item h="1" m="1" x="3547"/>
        <item h="1" m="1" x="3548"/>
        <item h="1" m="1" x="3550"/>
        <item h="1" m="1" x="2795"/>
        <item h="1" m="1" x="3433"/>
        <item h="1" m="1" x="3435"/>
        <item h="1" m="1" x="3436"/>
        <item h="1" m="1" x="2005"/>
        <item h="1" m="1" x="3305"/>
        <item h="1" m="1" x="3304"/>
        <item h="1" m="1" x="2006"/>
        <item h="1" m="1" x="2859"/>
        <item h="1" m="1" x="2368"/>
        <item h="1" m="1" x="3157"/>
        <item h="1" m="1" x="3553"/>
        <item h="1" m="1" x="3554"/>
        <item h="1" m="1" x="3556"/>
        <item h="1" m="1" x="3557"/>
        <item h="1" m="1" x="3558"/>
        <item h="1" m="1" x="3560"/>
        <item h="1" m="1" x="3561"/>
        <item h="1" m="1" x="1160"/>
        <item h="1" m="1" x="3563"/>
        <item h="1" m="1" x="3564"/>
        <item h="1" m="1" x="3565"/>
        <item h="1" m="1" x="3566"/>
        <item h="1" m="1" x="3567"/>
        <item h="1" m="1" x="3447"/>
        <item h="1" m="1" x="2229"/>
        <item h="1" m="1" x="2393"/>
        <item h="1" m="1" x="2396"/>
        <item h="1" m="1" x="1887"/>
        <item h="1" m="1" x="2230"/>
        <item h="1" m="1" x="3568"/>
        <item h="1" m="1" x="3569"/>
        <item h="1" m="1" x="3570"/>
        <item h="1" m="1" x="3138"/>
        <item h="1" m="1" x="3454"/>
        <item h="1" m="1" x="3571"/>
        <item h="1" m="1" x="2782"/>
        <item h="1" m="1" x="3572"/>
        <item h="1" m="1" x="3573"/>
        <item h="1" m="1" x="3331"/>
        <item h="1" m="1" x="3148"/>
        <item h="1" m="1" x="3466"/>
        <item h="1" m="1" x="3334"/>
        <item h="1" m="1" x="3335"/>
        <item h="1" m="1" x="1979"/>
        <item h="1" m="1" x="3336"/>
        <item h="1" m="1" x="3337"/>
        <item h="1" m="1" x="3339"/>
        <item h="1" m="1" x="3341"/>
        <item h="1" m="1" x="3342"/>
        <item h="1" m="1" x="2772"/>
        <item h="1" m="1" x="3344"/>
        <item h="1" m="1" x="3345"/>
        <item h="1" m="1" x="3346"/>
        <item h="1" m="1" x="3347"/>
        <item h="1" m="1" x="3348"/>
        <item h="1" m="1" x="3349"/>
        <item h="1" m="1" x="3350"/>
        <item h="1" m="1" x="3355"/>
        <item h="1" x="48"/>
        <item h="1" m="1" x="3363"/>
        <item h="1" m="1" x="3054"/>
        <item h="1" m="1" x="3364"/>
        <item h="1" m="1" x="3365"/>
        <item h="1" m="1" x="1811"/>
        <item h="1" m="1" x="3367"/>
        <item h="1" m="1" x="3369"/>
        <item h="1" m="1" x="1706"/>
        <item h="1" m="1" x="2008"/>
        <item h="1" m="1" x="3203"/>
        <item h="1" m="1" x="3370"/>
        <item h="1" m="1" x="2933"/>
        <item h="1" m="1" x="3230"/>
        <item h="1" m="1" x="1624"/>
        <item h="1" m="1" x="3371"/>
        <item h="1" m="1" x="3372"/>
        <item h="1" m="1" x="3373"/>
        <item h="1" m="1" x="3374"/>
        <item h="1" m="1" x="3375"/>
        <item h="1" m="1" x="3376"/>
        <item h="1" m="1" x="3378"/>
        <item h="1" m="1" x="1810"/>
        <item h="1" m="1" x="3379"/>
        <item h="1" x="102"/>
        <item h="1" m="1" x="2247"/>
        <item h="1" m="1" x="2243"/>
        <item h="1" m="1" x="2244"/>
        <item h="1" m="1" x="2255"/>
        <item h="1" m="1" x="2249"/>
        <item h="1" m="1" x="2250"/>
        <item h="1" m="1" x="3381"/>
        <item h="1" m="1" x="3384"/>
        <item h="1" m="1" x="3386"/>
        <item h="1" m="1" x="3387"/>
        <item h="1" m="1" x="2570"/>
        <item h="1" m="1" x="3267"/>
        <item h="1" m="1" x="3388"/>
        <item h="1" m="1" x="3390"/>
        <item h="1" m="1" x="3391"/>
        <item h="1" m="1" x="3393"/>
        <item h="1" m="1" x="3394"/>
        <item h="1" m="1" x="3395"/>
        <item h="1" m="1" x="3120"/>
        <item h="1" m="1" x="3271"/>
        <item h="1" m="1" x="3398"/>
        <item h="1" m="1" x="3399"/>
        <item h="1" m="1" x="3400"/>
        <item h="1" m="1" x="3418"/>
        <item h="1" m="1" x="3420"/>
        <item h="1" m="1" x="716"/>
        <item h="1" m="1" x="3424"/>
        <item h="1" m="1" x="3281"/>
        <item h="1" m="1" x="3427"/>
        <item h="1" m="1" x="3282"/>
        <item h="1" m="1" x="3283"/>
        <item h="1" m="1" x="3429"/>
        <item h="1" m="1" x="3285"/>
        <item h="1" m="1" x="3297"/>
        <item h="1" m="1" x="3295"/>
        <item h="1" m="1" x="3296"/>
        <item h="1" m="1" x="3293"/>
        <item h="1" m="1" x="3294"/>
        <item h="1" m="1" x="3302"/>
        <item h="1" m="1" x="3303"/>
        <item h="1" m="1" x="3300"/>
        <item h="1" m="1" x="2794"/>
        <item h="1" m="1" x="3301"/>
        <item h="1" m="1" x="3442"/>
        <item h="1" m="1" x="3443"/>
        <item h="1" m="1" x="3444"/>
        <item h="1" m="1" x="3313"/>
        <item h="1" m="1" x="3314"/>
        <item h="1" m="1" x="3445"/>
        <item h="1" m="1" x="3315"/>
        <item h="1" m="1" x="3449"/>
        <item h="1" m="1" x="3450"/>
        <item h="1" m="1" x="3451"/>
        <item h="1" m="1" x="3324"/>
        <item h="1" m="1" x="3452"/>
        <item h="1" m="1" x="3453"/>
        <item h="1" m="1" x="3326"/>
        <item h="1" m="1" x="3455"/>
        <item h="1" m="1" x="3464"/>
        <item h="1" m="1" x="3329"/>
        <item h="1" m="1" x="3330"/>
        <item h="1" m="1" x="3175"/>
        <item h="1" m="1" x="3176"/>
        <item h="1" m="1" x="3177"/>
        <item h="1" m="1" x="3178"/>
        <item h="1" m="1" x="3179"/>
        <item h="1" m="1" x="3180"/>
        <item h="1" m="1" x="3181"/>
        <item h="1" m="1" x="3182"/>
        <item h="1" m="1" x="3043"/>
        <item h="1" m="1" x="3183"/>
        <item h="1" m="1" x="3184"/>
        <item h="1" m="1" x="3185"/>
        <item h="1" m="1" x="3186"/>
        <item h="1" m="1" x="3188"/>
        <item h="1" m="1" x="3189"/>
        <item h="1" m="1" x="3190"/>
        <item h="1" m="1" x="3191"/>
        <item h="1" m="1" x="779"/>
        <item h="1" m="1" x="3193"/>
        <item h="1" m="1" x="3194"/>
        <item h="1" m="1" x="3195"/>
        <item h="1" m="1" x="1815"/>
        <item h="1" m="1" x="3196"/>
        <item h="1" m="1" x="3167"/>
        <item h="1" m="1" x="3154"/>
        <item h="1" m="1" x="3197"/>
        <item h="1" m="1" x="3198"/>
        <item h="1" m="1" x="3199"/>
        <item h="1" m="1" x="3200"/>
        <item h="1" m="1" x="3201"/>
        <item h="1" m="1" x="1837"/>
        <item h="1" x="334"/>
        <item h="1" m="1" x="3204"/>
        <item h="1" m="1" x="1475"/>
        <item h="1" m="1" x="3205"/>
        <item h="1" m="1" x="1213"/>
        <item h="1" m="1" x="3207"/>
        <item h="1" m="1" x="3208"/>
        <item h="1" m="1" x="3075"/>
        <item h="1" m="1" x="3209"/>
        <item h="1" m="1" x="3210"/>
        <item h="1" m="1" x="3074"/>
        <item h="1" m="1" x="3212"/>
        <item h="1" m="1" x="3213"/>
        <item h="1" m="1" x="3214"/>
        <item h="1" m="1" x="3215"/>
        <item h="1" m="1" x="3216"/>
        <item h="1" m="1" x="3217"/>
        <item h="1" m="1" x="3220"/>
        <item h="1" m="1" x="3221"/>
        <item h="1" m="1" x="3086"/>
        <item h="1" m="1" x="3222"/>
        <item h="1" m="1" x="3223"/>
        <item h="1" m="1" x="3224"/>
        <item h="1" m="1" x="3225"/>
        <item h="1" m="1" x="3226"/>
        <item h="1" m="1" x="3227"/>
        <item h="1" m="1" x="3228"/>
        <item h="1" m="1" x="3229"/>
        <item h="1" m="1" x="3231"/>
        <item h="1" m="1" x="3080"/>
        <item h="1" m="1" x="3232"/>
        <item h="1" m="1" x="3233"/>
        <item h="1" m="1" x="3234"/>
        <item h="1" m="1" x="3235"/>
        <item h="1" m="1" x="3236"/>
        <item h="1" m="1" x="3237"/>
        <item h="1" m="1" x="3238"/>
        <item h="1" m="1" x="3239"/>
        <item h="1" m="1" x="3240"/>
        <item h="1" m="1" x="3241"/>
        <item h="1" m="1" x="3242"/>
        <item h="1" m="1" x="3243"/>
        <item h="1" m="1" x="3244"/>
        <item h="1" m="1" x="3245"/>
        <item h="1" m="1" x="3246"/>
        <item h="1" m="1" x="3247"/>
        <item h="1" m="1" x="3248"/>
        <item h="1" m="1" x="3249"/>
        <item h="1" m="1" x="3250"/>
        <item h="1" m="1" x="3251"/>
        <item h="1" m="1" x="3252"/>
        <item h="1" m="1" x="3253"/>
        <item h="1" m="1" x="3254"/>
        <item h="1" m="1" x="3039"/>
        <item h="1" x="37"/>
        <item h="1" m="1" x="3255"/>
        <item h="1" m="1" x="3257"/>
        <item h="1" x="34"/>
        <item h="1" m="1" x="833"/>
        <item h="1" m="1" x="2254"/>
        <item h="1" m="1" x="2251"/>
        <item h="1" m="1" x="2252"/>
        <item h="1" m="1" x="2035"/>
        <item h="1" m="1" x="3259"/>
        <item h="1" m="1" x="3261"/>
        <item h="1" m="1" x="3262"/>
        <item h="1" m="1" x="3263"/>
        <item h="1" m="1" x="3264"/>
        <item h="1" m="1" x="3265"/>
        <item h="1" m="1" x="3117"/>
        <item h="1" m="1" x="3118"/>
        <item h="1" m="1" x="3119"/>
        <item h="1" m="1" x="3269"/>
        <item h="1" m="1" x="2394"/>
        <item h="1" m="1" x="2389"/>
        <item h="1" m="1" x="2390"/>
        <item h="1" m="1" x="2395"/>
        <item h="1" m="1" x="2376"/>
        <item h="1" m="1" x="2377"/>
        <item h="1" m="1" x="3270"/>
        <item h="1" m="1" x="1969"/>
        <item h="1" m="1" x="3272"/>
        <item h="1" m="1" x="3273"/>
        <item h="1" m="1" x="3274"/>
        <item h="1" m="1" x="3275"/>
        <item h="1" m="1" x="3276"/>
        <item h="1" m="1" x="3277"/>
        <item h="1" m="1" x="3091"/>
        <item h="1" m="1" x="3278"/>
        <item h="1" m="1" x="3279"/>
        <item h="1" m="1" x="3280"/>
        <item h="1" m="1" x="2045"/>
        <item h="1" m="1" x="3286"/>
        <item h="1" m="1" x="3287"/>
        <item h="1" m="1" x="3288"/>
        <item h="1" m="1" x="3289"/>
        <item h="1" m="1" x="3290"/>
        <item h="1" m="1" x="3291"/>
        <item h="1" m="1" x="3292"/>
        <item h="1" m="1" x="3125"/>
        <item h="1" m="1" x="3126"/>
        <item h="1" m="1" x="3299"/>
        <item h="1" m="1" x="714"/>
        <item h="1" m="1" x="715"/>
        <item h="1" m="1" x="3308"/>
        <item h="1" x="142"/>
        <item h="1" m="1" x="923"/>
        <item h="1" m="1" x="3309"/>
        <item h="1" m="1" x="3310"/>
        <item h="1" m="1" x="3311"/>
        <item h="1" m="1" x="3312"/>
        <item h="1" m="1" x="3316"/>
        <item h="1" m="1" x="3317"/>
        <item h="1" m="1" x="3318"/>
        <item h="1" m="1" x="972"/>
        <item h="1" m="1" x="3319"/>
        <item h="1" m="1" x="3320"/>
        <item h="1" m="1" x="3321"/>
        <item h="1" m="1" x="3323"/>
        <item h="1" m="1" x="1536"/>
        <item h="1" m="1" x="3327"/>
        <item h="1" m="1" x="3002"/>
        <item h="1" m="1" x="2835"/>
        <item h="1" m="1" x="2914"/>
        <item h="1" m="1" x="2756"/>
        <item h="1" m="1" x="3057"/>
        <item h="1" m="1" x="2916"/>
        <item h="1" m="1" x="2758"/>
        <item h="1" m="1" x="1694"/>
        <item h="1" m="1" x="3058"/>
        <item h="1" m="1" x="3059"/>
        <item h="1" m="1" x="3060"/>
        <item h="1" m="1" x="3061"/>
        <item h="1" m="1" x="3065"/>
        <item h="1" m="1" x="3068"/>
        <item h="1" m="1" x="1699"/>
        <item h="1" x="26"/>
        <item h="1" x="27"/>
        <item h="1" m="1" x="3072"/>
        <item h="1" m="1" x="3076"/>
        <item h="1" m="1" x="3077"/>
        <item h="1" m="1" x="3079"/>
        <item h="1" m="1" x="3082"/>
        <item h="1" x="28"/>
        <item h="1" m="1" x="3084"/>
        <item h="1" m="1" x="3085"/>
        <item h="1" m="1" x="3087"/>
        <item h="1" m="1" x="3088"/>
        <item h="1" m="1" x="1528"/>
        <item h="1" m="1" x="2934"/>
        <item h="1" x="41"/>
        <item h="1" m="1" x="2936"/>
        <item h="1" m="1" x="3090"/>
        <item h="1" m="1" x="1571"/>
        <item h="1" m="1" x="3092"/>
        <item h="1" m="1" x="2938"/>
        <item h="1" m="1" x="3094"/>
        <item h="1" m="1" x="1543"/>
        <item h="1" m="1" x="1702"/>
        <item h="1" m="1" x="3102"/>
        <item h="1" m="1" x="1701"/>
        <item h="1" m="1" x="3104"/>
        <item h="1" m="1" x="3105"/>
        <item h="1" m="1" x="3121"/>
        <item h="1" m="1" x="1703"/>
        <item h="1" m="1" x="3122"/>
        <item h="1" m="1" x="3128"/>
        <item h="1" m="1" x="2800"/>
        <item h="1" m="1" x="2801"/>
        <item h="1" m="1" x="2980"/>
        <item h="1" m="1" x="2805"/>
        <item h="1" m="1" x="2984"/>
        <item h="1" m="1" x="3130"/>
        <item h="1" m="1" x="3131"/>
        <item h="1" m="1" x="3134"/>
        <item h="1" m="1" x="2991"/>
        <item h="1" m="1" x="2995"/>
        <item h="1" m="1" x="3143"/>
        <item h="1" m="1" x="3144"/>
        <item h="1" m="1" x="3145"/>
        <item h="1" m="1" x="3146"/>
        <item h="1" m="1" x="3147"/>
        <item h="1" m="1" x="2240"/>
        <item h="1" m="1" x="3153"/>
        <item h="1" x="33"/>
        <item h="1" m="1" x="2241"/>
        <item h="1" m="1" x="2242"/>
        <item h="1" m="1" x="2663"/>
        <item h="1" m="1" x="3155"/>
        <item h="1" m="1" x="2850"/>
        <item h="1" m="1" x="2677"/>
        <item h="1" m="1" x="1987"/>
        <item h="1" m="1" x="2848"/>
        <item h="1" m="1" x="1996"/>
        <item h="1" m="1" x="2676"/>
        <item h="1" m="1" x="1977"/>
        <item h="1" m="1" x="1978"/>
        <item h="1" m="1" x="2674"/>
        <item h="1" m="1" x="1986"/>
        <item h="1" m="1" x="3011"/>
        <item h="1" m="1" x="1980"/>
        <item h="1" m="1" x="1981"/>
        <item h="1" m="1" x="1976"/>
        <item h="1" m="1" x="1993"/>
        <item h="1" m="1" x="2849"/>
        <item h="1" m="1" x="1985"/>
        <item h="1" m="1" x="2680"/>
        <item h="1" m="1" x="1995"/>
        <item h="1" m="1" x="2851"/>
        <item h="1" m="1" x="1983"/>
        <item h="1" m="1" x="1984"/>
        <item h="1" m="1" x="3012"/>
        <item h="1" m="1" x="1975"/>
        <item h="1" m="1" x="1970"/>
        <item h="1" m="1" x="2682"/>
        <item h="1" m="1" x="3014"/>
        <item h="1" m="1" x="2852"/>
        <item h="1" m="1" x="2854"/>
        <item h="1" m="1" x="3013"/>
        <item h="1" m="1" x="3016"/>
        <item h="1" m="1" x="3015"/>
        <item h="1" m="1" x="1997"/>
        <item h="1" m="1" x="2684"/>
        <item h="1" m="1" x="3017"/>
        <item h="1" m="1" x="2685"/>
        <item h="1" m="1" x="1998"/>
        <item h="1" m="1" x="3018"/>
        <item h="1" m="1" x="1972"/>
        <item h="1" m="1" x="1974"/>
        <item h="1" m="1" x="2001"/>
        <item h="1" m="1" x="3156"/>
        <item h="1" m="1" x="2002"/>
        <item h="1" m="1" x="1999"/>
        <item h="1" m="1" x="2000"/>
        <item h="1" m="1" x="2665"/>
        <item h="1" m="1" x="2666"/>
        <item h="1" m="1" x="2842"/>
        <item h="1" m="1" x="2843"/>
        <item h="1" m="1" x="2667"/>
        <item h="1" m="1" x="2668"/>
        <item h="1" m="1" x="2669"/>
        <item h="1" m="1" x="2670"/>
        <item h="1" m="1" x="2838"/>
        <item h="1" m="1" x="2845"/>
        <item h="1" m="1" x="2846"/>
        <item h="1" m="1" x="2847"/>
        <item h="1" m="1" x="2839"/>
        <item h="1" m="1" x="2840"/>
        <item h="1" m="1" x="2841"/>
        <item h="1" m="1" x="1971"/>
        <item h="1" m="1" x="2073"/>
        <item h="1" m="1" x="2178"/>
        <item h="1" m="1" x="3019"/>
        <item h="1" m="1" x="1994"/>
        <item h="1" m="1" x="2683"/>
        <item h="1" m="1" x="2660"/>
        <item h="1" m="1" x="1988"/>
        <item h="1" m="1" x="3020"/>
        <item h="1" m="1" x="1990"/>
        <item h="1" m="1" x="3021"/>
        <item h="1" m="1" x="2659"/>
        <item h="1" m="1" x="2664"/>
        <item h="1" m="1" x="1992"/>
        <item h="1" m="1" x="2662"/>
        <item h="1" m="1" x="2706"/>
        <item h="1" m="1" x="2248"/>
        <item h="1" m="1" x="2012"/>
        <item h="1" m="1" x="3029"/>
        <item h="1" m="1" x="2720"/>
        <item h="1" m="1" x="3030"/>
        <item h="1" m="1" x="2011"/>
        <item h="1" m="1" x="3031"/>
        <item h="1" m="1" x="2025"/>
        <item h="1" m="1" x="2700"/>
        <item h="1" m="1" x="3032"/>
        <item h="1" m="1" x="3033"/>
        <item h="1" m="1" x="2715"/>
        <item h="1" m="1" x="2074"/>
        <item h="1" m="1" x="2713"/>
        <item h="1" m="1" x="2714"/>
        <item h="1" m="1" x="2712"/>
        <item h="1" m="1" x="2716"/>
        <item h="1" m="1" x="712"/>
        <item h="1" m="1" x="2717"/>
        <item h="1" m="1" x="2718"/>
        <item h="1" m="1" x="2024"/>
        <item h="1" m="1" x="2697"/>
        <item h="1" m="1" x="1789"/>
        <item h="1" m="1" x="2698"/>
        <item h="1" m="1" x="2699"/>
        <item h="1" m="1" x="3036"/>
        <item h="1" m="1" x="3034"/>
        <item h="1" m="1" x="3035"/>
        <item h="1" m="1" x="1790"/>
        <item h="1" m="1" x="2015"/>
        <item h="1" m="1" x="2018"/>
        <item h="1" m="1" x="2016"/>
        <item h="1" m="1" x="2701"/>
        <item h="1" m="1" x="2020"/>
        <item h="1" m="1" x="2702"/>
        <item h="1" m="1" x="2021"/>
        <item h="1" m="1" x="2022"/>
        <item h="1" m="1" x="2019"/>
        <item h="1" m="1" x="2023"/>
        <item h="1" m="1" x="2703"/>
        <item h="1" m="1" x="2013"/>
        <item h="1" m="1" x="3160"/>
        <item h="1" m="1" x="3161"/>
        <item h="1" m="1" x="3162"/>
        <item h="1" m="1" x="2723"/>
        <item h="1" m="1" x="2253"/>
        <item h="1" m="1" x="2028"/>
        <item h="1" m="1" x="2030"/>
        <item h="1" m="1" x="2031"/>
        <item h="1" m="1" x="2033"/>
        <item h="1" m="1" x="1533"/>
        <item h="1" m="1" x="3045"/>
        <item h="1" m="1" x="2034"/>
        <item h="1" m="1" x="3046"/>
        <item h="1" m="1" x="2739"/>
        <item h="1" m="1" x="2732"/>
        <item h="1" m="1" x="2731"/>
        <item h="1" m="1" x="2730"/>
        <item h="1" m="1" x="2733"/>
        <item h="1" m="1" x="2740"/>
        <item h="1" m="1" x="2735"/>
        <item h="1" m="1" x="2727"/>
        <item h="1" m="1" x="2729"/>
        <item h="1" m="1" x="2728"/>
        <item h="1" m="1" x="3049"/>
        <item h="1" m="1" x="2738"/>
        <item h="1" m="1" x="3047"/>
        <item h="1" m="1" x="3048"/>
        <item h="1" m="1" x="2747"/>
        <item h="1" m="1" x="2742"/>
        <item h="1" m="1" x="2743"/>
        <item h="1" m="1" x="2744"/>
        <item h="1" m="1" x="2745"/>
        <item h="1" m="1" x="2746"/>
        <item h="1" m="1" x="2749"/>
        <item h="1" m="1" x="2750"/>
        <item h="1" m="1" x="2752"/>
        <item h="1" m="1" x="2748"/>
        <item h="1" m="1" x="3050"/>
        <item h="1" m="1" x="2896"/>
        <item h="1" m="1" x="3168"/>
        <item h="1" m="1" x="3169"/>
        <item h="1" m="1" x="2042"/>
        <item h="1" m="1" x="2043"/>
        <item h="1" m="1" x="2044"/>
        <item h="1" m="1" x="3055"/>
        <item h="1" m="1" x="3056"/>
        <item h="1" m="1" x="3170"/>
        <item h="1" m="1" x="3171"/>
        <item h="1" m="1" x="3172"/>
        <item h="1" m="1" x="3173"/>
        <item h="1" m="1" x="2915"/>
        <item h="1" m="1" x="2917"/>
        <item h="1" m="1" x="1698"/>
        <item h="1" m="1" x="2766"/>
        <item h="1" m="1" x="2920"/>
        <item h="1" m="1" x="2921"/>
        <item h="1" m="1" x="2922"/>
        <item h="1" m="1" x="1097"/>
        <item h="1" m="1" x="2924"/>
        <item h="1" m="1" x="2928"/>
        <item h="1" m="1" x="2931"/>
        <item h="1" m="1" x="2937"/>
        <item h="1" x="209"/>
        <item h="1" m="1" x="2942"/>
        <item h="1" m="1" x="2943"/>
        <item h="1" m="1" x="2944"/>
        <item h="1" m="1" x="2945"/>
        <item h="1" m="1" x="2946"/>
        <item h="1" m="1" x="2947"/>
        <item h="1" m="1" x="2949"/>
        <item h="1" m="1" x="2951"/>
        <item h="1" m="1" x="2954"/>
        <item h="1" m="1" x="491"/>
        <item h="1" m="1" x="2955"/>
        <item h="1" m="1" x="2956"/>
        <item h="1" m="1" x="937"/>
        <item h="1" m="1" x="2958"/>
        <item h="1" m="1" x="2961"/>
        <item h="1" m="1" x="2962"/>
        <item h="1" m="1" x="2963"/>
        <item h="1" m="1" x="2964"/>
        <item h="1" m="1" x="2966"/>
        <item h="1" m="1" x="2783"/>
        <item h="1" m="1" x="2967"/>
        <item h="1" m="1" x="1550"/>
        <item h="1" m="1" x="2790"/>
        <item h="1" m="1" x="2969"/>
        <item h="1" m="1" x="2970"/>
        <item h="1" m="1" x="2971"/>
        <item h="1" m="1" x="2972"/>
        <item h="1" m="1" x="2973"/>
        <item h="1" m="1" x="2797"/>
        <item h="1" m="1" x="2974"/>
        <item h="1" m="1" x="2975"/>
        <item h="1" m="1" x="2799"/>
        <item h="1" m="1" x="2977"/>
        <item h="1" m="1" x="2979"/>
        <item h="1" m="1" x="2982"/>
        <item h="1" m="1" x="2983"/>
        <item h="1" m="1" x="1049"/>
        <item h="1" m="1" x="1050"/>
        <item h="1" m="1" x="2985"/>
        <item h="1" m="1" x="2807"/>
        <item h="1" m="1" x="2986"/>
        <item h="1" m="1" x="2987"/>
        <item h="1" m="1" x="2821"/>
        <item h="1" m="1" x="2988"/>
        <item h="1" m="1" x="2989"/>
        <item h="1" m="1" x="2990"/>
        <item h="1" m="1" x="2992"/>
        <item h="1" m="1" x="2993"/>
        <item h="1" m="1" x="2994"/>
        <item h="1" m="1" x="2996"/>
        <item h="1" m="1" x="2997"/>
        <item h="1" m="1" x="2998"/>
        <item h="1" m="1" x="2999"/>
        <item h="1" m="1" x="3000"/>
        <item h="1" m="1" x="3001"/>
        <item h="1" m="1" x="3003"/>
        <item h="1" m="1" x="3004"/>
        <item h="1" m="1" x="3005"/>
        <item h="1" m="1" x="3006"/>
        <item h="1" x="35"/>
        <item h="1" m="1" x="3008"/>
        <item h="1" m="1" x="3009"/>
        <item h="1" m="1" x="3010"/>
        <item h="1" m="1" x="2671"/>
        <item h="1" m="1" x="3022"/>
        <item h="1" m="1" x="2857"/>
        <item h="1" m="1" x="3023"/>
        <item h="1" m="1" x="3024"/>
        <item h="1" m="1" x="3025"/>
        <item h="1" m="1" x="3026"/>
        <item h="1" m="1" x="3027"/>
        <item h="1" m="1" x="2865"/>
        <item h="1" m="1" x="3028"/>
        <item h="1" m="1" x="1186"/>
        <item h="1" m="1" x="2710"/>
        <item h="1" m="1" x="3037"/>
        <item h="1" m="1" x="3038"/>
        <item h="1" m="1" x="3040"/>
        <item h="1" m="1" x="2078"/>
        <item h="1" m="1" x="2876"/>
        <item h="1" m="1" x="3042"/>
        <item h="1" m="1" x="727"/>
        <item h="1" x="45"/>
        <item h="1" m="1" x="1187"/>
        <item h="1" m="1" x="2276"/>
        <item h="1" m="1" x="2628"/>
        <item h="1" m="1" x="2764"/>
        <item h="1" m="1" x="2445"/>
        <item h="1" m="1" x="2768"/>
        <item h="1" m="1" x="2770"/>
        <item h="1" m="1" x="2771"/>
        <item h="1" m="1" x="772"/>
        <item h="1" m="1" x="2774"/>
        <item h="1" m="1" x="2779"/>
        <item h="1" m="1" x="2085"/>
        <item h="1" m="1" x="1835"/>
        <item h="1" m="1" x="1834"/>
        <item h="1" m="1" x="2058"/>
        <item h="1" m="1" x="703"/>
        <item h="1" m="1" x="1704"/>
        <item h="1" m="1" x="1548"/>
        <item h="1" m="1" x="2784"/>
        <item h="1" m="1" x="2787"/>
        <item h="1" m="1" x="2788"/>
        <item h="1" m="1" x="2057"/>
        <item h="1" m="1" x="1159"/>
        <item h="1" m="1" x="2791"/>
        <item h="1" m="1" x="2796"/>
        <item h="1" m="1" x="2798"/>
        <item h="1" m="1" x="2802"/>
        <item h="1" m="1" x="2803"/>
        <item h="1" m="1" x="2804"/>
        <item h="1" m="1" x="2806"/>
        <item h="1" m="1" x="2808"/>
        <item h="1" m="1" x="2809"/>
        <item h="1" m="1" x="2810"/>
        <item h="1" m="1" x="627"/>
        <item h="1" m="1" x="2811"/>
        <item h="1" m="1" x="2812"/>
        <item h="1" m="1" x="2813"/>
        <item h="1" m="1" x="2814"/>
        <item h="1" m="1" x="2815"/>
        <item h="1" m="1" x="2816"/>
        <item h="1" m="1" x="2817"/>
        <item h="1" m="1" x="2818"/>
        <item h="1" m="1" x="2819"/>
        <item h="1" m="1" x="2820"/>
        <item h="1" m="1" x="2823"/>
        <item h="1" m="1" x="2824"/>
        <item h="1" m="1" x="2826"/>
        <item h="1" m="1" x="2827"/>
        <item h="1" m="1" x="1836"/>
        <item h="1" m="1" x="2828"/>
        <item h="1" m="1" x="2829"/>
        <item h="1" m="1" x="2830"/>
        <item h="1" m="1" x="2831"/>
        <item h="1" m="1" x="2832"/>
        <item h="1" m="1" x="2833"/>
        <item h="1" x="64"/>
        <item h="1" m="1" x="2429"/>
        <item h="1" m="1" x="2837"/>
        <item h="1" m="1" x="2658"/>
        <item h="1" m="1" x="2855"/>
        <item h="1" m="1" x="2856"/>
        <item h="1" m="1" x="2860"/>
        <item h="1" m="1" x="2863"/>
        <item h="1" m="1" x="2267"/>
        <item h="1" m="1" x="2430"/>
        <item h="1" m="1" x="2271"/>
        <item h="1" m="1" x="2603"/>
        <item h="1" m="1" x="2867"/>
        <item h="1" m="1" x="2868"/>
        <item h="1" m="1" x="2869"/>
        <item h="1" m="1" x="2690"/>
        <item h="1" m="1" x="2691"/>
        <item h="1" m="1" x="2870"/>
        <item h="1" m="1" x="2692"/>
        <item h="1" m="1" x="2871"/>
        <item h="1" m="1" x="2872"/>
        <item h="1" m="1" x="2711"/>
        <item h="1" m="1" x="2721"/>
        <item h="1" m="1" x="2708"/>
        <item h="1" m="1" x="2873"/>
        <item h="1" m="1" x="2874"/>
        <item h="1" m="1" x="2273"/>
        <item h="1" m="1" x="2882"/>
        <item h="1" m="1" x="2274"/>
        <item h="1" x="42"/>
        <item h="1" m="1" x="2086"/>
        <item h="1" m="1" x="2726"/>
        <item h="1" m="1" x="2734"/>
        <item h="1" x="80"/>
        <item h="1" m="1" x="2433"/>
        <item h="1" m="1" x="2089"/>
        <item h="1" m="1" x="2091"/>
        <item h="1" m="1" x="2904"/>
        <item h="1" m="1" x="2617"/>
        <item h="1" m="1" x="1838"/>
        <item h="1" m="1" x="1693"/>
        <item h="1" m="1" x="2515"/>
        <item h="1" m="1" x="2618"/>
        <item h="1" m="1" x="2619"/>
        <item h="1" m="1" x="2524"/>
        <item h="1" m="1" x="2620"/>
        <item h="1" m="1" x="2621"/>
        <item h="1" m="1" x="2624"/>
        <item h="1" m="1" x="2625"/>
        <item h="1" m="1" x="2626"/>
        <item h="1" m="1" x="2627"/>
        <item h="1" m="1" x="2629"/>
        <item h="1" m="1" x="718"/>
        <item h="1" m="1" x="719"/>
        <item h="1" m="1" x="2535"/>
        <item h="1" m="1" x="2538"/>
        <item h="1" m="1" x="2630"/>
        <item h="1" m="1" x="2544"/>
        <item h="1" m="1" x="2545"/>
        <item h="1" m="1" x="2546"/>
        <item h="1" m="1" x="2543"/>
        <item h="1" m="1" x="2632"/>
        <item h="1" m="1" x="2551"/>
        <item h="1" m="1" x="2056"/>
        <item h="1" m="1" x="2634"/>
        <item h="1" m="1" x="2635"/>
        <item h="1" m="1" x="2636"/>
        <item h="1" m="1" x="2638"/>
        <item h="1" m="1" x="2639"/>
        <item h="1" m="1" x="2564"/>
        <item h="1" m="1" x="2571"/>
        <item h="1" m="1" x="2572"/>
        <item h="1" m="1" x="2579"/>
        <item h="1" m="1" x="2573"/>
        <item h="1" m="1" x="2574"/>
        <item h="1" m="1" x="2575"/>
        <item h="1" m="1" x="2576"/>
        <item h="1" m="1" x="2566"/>
        <item h="1" m="1" x="2567"/>
        <item h="1" m="1" x="2578"/>
        <item h="1" m="1" x="2642"/>
        <item h="1" m="1" x="1753"/>
        <item h="1" m="1" x="2644"/>
        <item h="1" m="1" x="2647"/>
        <item h="1" m="1" x="2648"/>
        <item h="1" m="1" x="2649"/>
        <item h="1" m="1" x="2650"/>
        <item h="1" m="1" x="2651"/>
        <item h="1" m="1" x="2652"/>
        <item h="1" m="1" x="2653"/>
        <item h="1" m="1" x="2654"/>
        <item h="1" x="442"/>
        <item h="1" m="1" x="2655"/>
        <item h="1" m="1" x="725"/>
        <item h="1" m="1" x="2656"/>
        <item h="1" m="1" x="2657"/>
        <item h="1" m="1" x="2257"/>
        <item h="1" m="1" x="2672"/>
        <item h="1" m="1" x="2675"/>
        <item h="1" m="1" x="2678"/>
        <item h="1" m="1" x="2679"/>
        <item h="1" m="1" x="2689"/>
        <item h="1" m="1" x="2693"/>
        <item h="1" m="1" x="2694"/>
        <item h="1" m="1" x="2695"/>
        <item h="1" m="1" x="2696"/>
        <item h="1" m="1" x="2268"/>
        <item h="1" m="1" x="2269"/>
        <item h="1" m="1" x="2270"/>
        <item h="1" m="1" x="1193"/>
        <item h="1" m="1" x="777"/>
        <item h="1" m="1" x="2704"/>
        <item h="1" m="1" x="2705"/>
        <item h="1" m="1" x="2709"/>
        <item h="1" m="1" x="2263"/>
        <item h="1" m="1" x="2265"/>
        <item h="1" m="1" x="2722"/>
        <item h="1" m="1" x="2724"/>
        <item h="1" m="1" x="2424"/>
        <item h="1" m="1" x="2431"/>
        <item h="1" m="1" x="2611"/>
        <item h="1" m="1" x="2082"/>
        <item h="1" m="1" x="2083"/>
        <item h="1" m="1" x="1814"/>
        <item h="1" m="1" x="2736"/>
        <item h="1" m="1" x="2737"/>
        <item h="1" m="1" x="2087"/>
        <item h="1" m="1" x="2615"/>
        <item h="1" m="1" x="2278"/>
        <item h="1" m="1" x="2096"/>
        <item h="1" m="1" x="2754"/>
        <item h="1" m="1" x="2514"/>
        <item h="1" m="1" x="2516"/>
        <item h="1" m="1" x="2518"/>
        <item h="1" m="1" x="2519"/>
        <item h="1" m="1" x="2520"/>
        <item h="1" m="1" x="2522"/>
        <item h="1" m="1" x="2525"/>
        <item h="1" m="1" x="2526"/>
        <item h="1" m="1" x="2527"/>
        <item h="1" m="1" x="2528"/>
        <item h="1" m="1" x="930"/>
        <item h="1" m="1" x="2529"/>
        <item h="1" m="1" x="2530"/>
        <item h="1" m="1" x="2532"/>
        <item h="1" m="1" x="2534"/>
        <item h="1" m="1" x="2536"/>
        <item h="1" x="136"/>
        <item h="1" m="1" x="2537"/>
        <item h="1" m="1" x="2457"/>
        <item h="1" m="1" x="1540"/>
        <item h="1" m="1" x="2539"/>
        <item h="1" m="1" x="2540"/>
        <item h="1" m="1" x="2541"/>
        <item h="1" m="1" x="1546"/>
        <item h="1" m="1" x="1547"/>
        <item h="1" m="1" x="1545"/>
        <item h="1" m="1" x="2542"/>
        <item h="1" m="1" x="904"/>
        <item h="1" m="1" x="2552"/>
        <item h="1" m="1" x="2554"/>
        <item h="1" m="1" x="1551"/>
        <item h="1" m="1" x="1552"/>
        <item h="1" m="1" x="991"/>
        <item h="1" m="1" x="2555"/>
        <item h="1" m="1" x="2556"/>
        <item h="1" m="1" x="2557"/>
        <item h="1" m="1" x="2559"/>
        <item h="1" m="1" x="2560"/>
        <item h="1" m="1" x="2080"/>
        <item h="1" m="1" x="2095"/>
        <item h="1" m="1" x="1855"/>
        <item h="1" m="1" x="2562"/>
        <item h="1" m="1" x="2563"/>
        <item h="1" m="1" x="2069"/>
        <item h="1" m="1" x="1635"/>
        <item h="1" m="1" x="2568"/>
        <item h="1" m="1" x="2065"/>
        <item h="1" m="1" x="2577"/>
        <item h="1" m="1" x="2580"/>
        <item h="1" m="1" x="2581"/>
        <item h="1" m="1" x="2582"/>
        <item h="1" m="1" x="2583"/>
        <item h="1" m="1" x="2584"/>
        <item h="1" m="1" x="2585"/>
        <item h="1" m="1" x="2586"/>
        <item h="1" m="1" x="2587"/>
        <item h="1" m="1" x="2588"/>
        <item h="1" m="1" x="2590"/>
        <item h="1" m="1" x="2591"/>
        <item h="1" m="1" x="2592"/>
        <item h="1" m="1" x="1861"/>
        <item h="1" m="1" x="2070"/>
        <item h="1" m="1" x="1862"/>
        <item h="1" m="1" x="2256"/>
        <item h="1" m="1" x="2470"/>
        <item h="1" m="1" x="2259"/>
        <item h="1" m="1" x="2258"/>
        <item h="1" x="371"/>
        <item h="1" m="1" x="2597"/>
        <item h="1" m="1" x="1812"/>
        <item h="1" m="1" x="2598"/>
        <item h="1" m="1" x="2599"/>
        <item h="1" m="1" x="1867"/>
        <item h="1" m="1" x="2076"/>
        <item h="1" m="1" x="2264"/>
        <item h="1" m="1" x="2601"/>
        <item h="1" m="1" x="2322"/>
        <item h="1" m="1" x="2079"/>
        <item h="1" m="1" x="2272"/>
        <item h="1" m="1" x="2612"/>
        <item h="1" m="1" x="2081"/>
        <item h="1" m="1" x="994"/>
        <item h="1" m="1" x="2277"/>
        <item h="1" m="1" x="2511"/>
        <item h="1" m="1" x="2327"/>
        <item h="1" m="1" x="2614"/>
        <item h="1" m="1" x="1554"/>
        <item h="1" x="86"/>
        <item h="1" m="1" x="2092"/>
        <item h="1" m="1" x="2093"/>
        <item h="1" m="1" x="996"/>
        <item h="1" m="1" x="2098"/>
        <item h="1" m="1" x="2383"/>
        <item h="1" m="1" x="2434"/>
        <item h="1" m="1" x="2435"/>
        <item h="1" m="1" x="2046"/>
        <item h="1" m="1" x="2437"/>
        <item h="1" m="1" x="2439"/>
        <item h="1" m="1" x="2442"/>
        <item h="1" m="1" x="2444"/>
        <item h="1" m="1" x="2454"/>
        <item h="1" m="1" x="1844"/>
        <item h="1" m="1" x="2053"/>
        <item h="1" m="1" x="1751"/>
        <item h="1" x="55"/>
        <item h="1" m="1" x="2456"/>
        <item h="1" m="1" x="1537"/>
        <item h="1" m="1" x="1538"/>
        <item h="1" m="1" x="1539"/>
        <item h="1" m="1" x="1541"/>
        <item h="1" m="1" x="1542"/>
        <item h="1" m="1" x="2459"/>
        <item h="1" m="1" x="2460"/>
        <item h="1" m="1" x="1549"/>
        <item h="1" m="1" x="988"/>
        <item h="1" m="1" x="2461"/>
        <item h="1" m="1" x="2462"/>
        <item h="1" m="1" x="2060"/>
        <item h="1" m="1" x="2059"/>
        <item h="1" m="1" x="2066"/>
        <item h="1" m="1" x="2463"/>
        <item h="1" m="1" x="2464"/>
        <item h="1" m="1" x="2465"/>
        <item h="1" m="1" x="2466"/>
        <item h="1" m="1" x="2467"/>
        <item h="1" m="1" x="2468"/>
        <item h="1" m="1" x="2469"/>
        <item h="1" m="1" x="1860"/>
        <item h="1" m="1" x="723"/>
        <item h="1" m="1" x="724"/>
        <item h="1" m="1" x="992"/>
        <item h="1" m="1" x="2071"/>
        <item h="1" m="1" x="2313"/>
        <item h="1" m="1" x="2315"/>
        <item h="1" m="1" x="2260"/>
        <item h="1" m="1" x="2262"/>
        <item h="1" m="1" x="2261"/>
        <item h="1" x="301"/>
        <item h="1" x="72"/>
        <item h="1" m="1" x="2266"/>
        <item h="1" m="1" x="2075"/>
        <item h="1" m="1" x="2324"/>
        <item h="1" m="1" x="1194"/>
        <item h="1" m="1" x="2471"/>
        <item h="1" m="1" x="2325"/>
        <item h="1" m="1" x="2472"/>
        <item h="1" m="1" x="2326"/>
        <item h="1" m="1" x="2275"/>
        <item h="1" m="1" x="2088"/>
        <item h="1" x="94"/>
        <item h="1" m="1" x="2473"/>
        <item h="1" m="1" x="1535"/>
        <item h="1" m="1" x="1188"/>
        <item h="1" m="1" x="2474"/>
        <item h="1" m="1" x="2280"/>
        <item h="1" m="1" x="2291"/>
        <item h="1" m="1" x="2475"/>
        <item h="1" m="1" x="2476"/>
        <item h="1" m="1" x="2477"/>
        <item h="1" m="1" x="2478"/>
        <item h="1" m="1" x="2048"/>
        <item h="1" m="1" x="2049"/>
        <item h="1" m="1" x="2050"/>
        <item h="1" m="1" x="2051"/>
        <item h="1" m="1" x="2052"/>
        <item h="1" m="1" x="2054"/>
        <item h="1" m="1" x="2141"/>
        <item h="1" m="1" x="2300"/>
        <item h="1" m="1" x="2479"/>
        <item h="1" m="1" x="2063"/>
        <item h="1" m="1" x="2480"/>
        <item h="1" m="1" x="2068"/>
        <item h="1" m="1" x="2482"/>
        <item h="1" m="1" x="2483"/>
        <item h="1" m="1" x="2484"/>
        <item h="1" m="1" x="2485"/>
        <item h="1" m="1" x="2486"/>
        <item h="1" m="1" x="2487"/>
        <item h="1" m="1" x="2488"/>
        <item h="1" m="1" x="990"/>
        <item h="1" m="1" x="726"/>
        <item h="1" m="1" x="2490"/>
        <item h="1" m="1" x="2491"/>
        <item h="1" m="1" x="2492"/>
        <item h="1" m="1" x="1012"/>
        <item h="1" m="1" x="2493"/>
        <item h="1" m="1" x="2494"/>
        <item h="1" m="1" x="2495"/>
        <item h="1" m="1" x="2496"/>
        <item h="1" m="1" x="2497"/>
        <item h="1" m="1" x="2498"/>
        <item h="1" m="1" x="2499"/>
        <item h="1" m="1" x="2500"/>
        <item h="1" m="1" x="2501"/>
        <item h="1" m="1" x="2502"/>
        <item h="1" m="1" x="2504"/>
        <item h="1" m="1" x="2077"/>
        <item h="1" m="1" x="576"/>
        <item h="1" m="1" x="2323"/>
        <item h="1" m="1" x="2505"/>
        <item h="1" m="1" x="2506"/>
        <item h="1" m="1" x="2507"/>
        <item h="1" m="1" x="2508"/>
        <item h="1" m="1" x="1873"/>
        <item h="1" x="439"/>
        <item h="1" m="1" x="2509"/>
        <item h="1" m="1" x="2512"/>
        <item h="1" m="1" x="1196"/>
        <item h="1" m="1" x="1966"/>
        <item h="1" m="1" x="2099"/>
        <item h="1" m="1" x="2285"/>
        <item h="1" m="1" x="2286"/>
        <item h="1" m="1" x="2104"/>
        <item h="1" m="1" x="2288"/>
        <item h="1" m="1" x="2103"/>
        <item h="1" m="1" x="2289"/>
        <item h="1" m="1" x="2290"/>
        <item h="1" m="1" x="2116"/>
        <item h="1" m="1" x="2146"/>
        <item h="1" m="1" x="2292"/>
        <item h="1" m="1" x="2121"/>
        <item h="1" m="1" x="2122"/>
        <item h="1" m="1" x="2293"/>
        <item h="1" m="1" x="2123"/>
        <item h="1" m="1" x="2124"/>
        <item h="1" m="1" x="2125"/>
        <item h="1" m="1" x="2294"/>
        <item h="1" m="1" x="1849"/>
        <item h="1" m="1" x="2142"/>
        <item h="1" m="1" x="2143"/>
        <item h="1" m="1" x="2140"/>
        <item h="1" m="1" x="2148"/>
        <item h="1" m="1" x="2295"/>
        <item h="1" m="1" x="2296"/>
        <item h="1" m="1" x="2149"/>
        <item h="1" m="1" x="2150"/>
        <item h="1" m="1" x="2151"/>
        <item h="1" m="1" x="2120"/>
        <item h="1" m="1" x="2298"/>
        <item h="1" m="1" x="2299"/>
        <item h="1" m="1" x="2155"/>
        <item h="1" m="1" x="942"/>
        <item h="1" m="1" x="2156"/>
        <item h="1" m="1" x="2301"/>
        <item h="1" m="1" x="2302"/>
        <item h="1" m="1" x="2159"/>
        <item h="1" m="1" x="2303"/>
        <item h="1" m="1" x="2304"/>
        <item h="1" m="1" x="2305"/>
        <item h="1" m="1" x="2306"/>
        <item h="1" m="1" x="2307"/>
        <item h="1" m="1" x="2308"/>
        <item h="1" m="1" x="2309"/>
        <item h="1" m="1" x="2310"/>
        <item h="1" x="410"/>
        <item h="1" m="1" x="721"/>
        <item h="1" m="1" x="2312"/>
        <item h="1" m="1" x="2172"/>
        <item h="1" m="1" x="2314"/>
        <item h="1" m="1" x="2316"/>
        <item h="1" m="1" x="2317"/>
        <item h="1" m="1" x="2318"/>
        <item h="1" m="1" x="2319"/>
        <item h="1" m="1" x="2320"/>
        <item h="1" m="1" x="2321"/>
        <item h="1" m="1" x="2186"/>
        <item h="1" m="1" x="2328"/>
        <item h="1" m="1" x="2195"/>
        <item h="1" m="1" x="2100"/>
        <item h="1" m="1" x="2329"/>
        <item h="1" x="353"/>
        <item h="1" m="1" x="1567"/>
        <item h="1" m="1" x="2139"/>
        <item h="1" m="1" x="2332"/>
        <item h="1" m="1" x="2333"/>
        <item h="1" m="1" x="1553"/>
        <item h="1" m="1" x="2334"/>
        <item h="1" m="1" x="2335"/>
        <item h="1" m="1" x="2336"/>
        <item h="1" m="1" x="1482"/>
        <item h="1" m="1" x="2173"/>
        <item h="1" m="1" x="2337"/>
        <item h="1" m="1" x="2338"/>
        <item h="1" m="1" x="2339"/>
        <item h="1" m="1" x="2340"/>
        <item h="1" m="1" x="2341"/>
        <item h="1" m="1" x="2342"/>
        <item h="1" m="1" x="2343"/>
        <item h="1" m="1" x="2184"/>
        <item h="1" m="1" x="2185"/>
        <item h="1" m="1" x="2344"/>
        <item h="1" m="1" x="1485"/>
        <item h="1" m="1" x="2345"/>
        <item h="1" m="1" x="2346"/>
        <item h="1" m="1" x="2347"/>
        <item h="1" m="1" x="2348"/>
        <item h="1" m="1" x="2349"/>
        <item h="1" m="1" x="2350"/>
        <item h="1" m="1" x="2351"/>
        <item h="1" m="1" x="2352"/>
        <item h="1" m="1" x="2194"/>
        <item h="1" m="1" x="2197"/>
        <item h="1" m="1" x="1897"/>
        <item h="1" m="1" x="1900"/>
        <item h="1" m="1" x="1902"/>
        <item h="1" m="1" x="1942"/>
        <item h="1" m="1" x="1943"/>
        <item h="1" m="1" x="1697"/>
        <item h="1" m="1" x="2003"/>
        <item h="1" m="1" x="2004"/>
        <item h="1" m="1" x="2101"/>
        <item h="1" m="1" x="2102"/>
        <item h="1" m="1" x="2106"/>
        <item h="1" m="1" x="2107"/>
        <item h="1" m="1" x="2117"/>
        <item h="1" m="1" x="2118"/>
        <item h="1" m="1" x="2119"/>
        <item h="1" m="1" x="1587"/>
        <item h="1" m="1" x="2126"/>
        <item h="1" m="1" x="2127"/>
        <item h="1" m="1" x="2128"/>
        <item h="1" m="1" x="2129"/>
        <item h="1" m="1" x="2130"/>
        <item h="1" m="1" x="2131"/>
        <item h="1" m="1" x="2133"/>
        <item h="1" m="1" x="1052"/>
        <item h="1" m="1" x="2136"/>
        <item h="1" m="1" x="2137"/>
        <item h="1" m="1" x="2138"/>
        <item h="1" m="1" x="1633"/>
        <item h="1" m="1" x="2145"/>
        <item h="1" m="1" x="2147"/>
        <item h="1" m="1" x="1816"/>
        <item h="1" m="1" x="2153"/>
        <item h="1" m="1" x="2158"/>
        <item h="1" m="1" x="2161"/>
        <item h="1" m="1" x="2162"/>
        <item h="1" m="1" x="1110"/>
        <item h="1" m="1" x="2163"/>
        <item h="1" m="1" x="2164"/>
        <item h="1" m="1" x="2166"/>
        <item h="1" m="1" x="2167"/>
        <item h="1" m="1" x="2168"/>
        <item h="1" m="1" x="2169"/>
        <item h="1" m="1" x="2171"/>
        <item h="1" m="1" x="2174"/>
        <item h="1" m="1" x="2175"/>
        <item h="1" m="1" x="2176"/>
        <item h="1" m="1" x="2177"/>
        <item h="1" m="1" x="2179"/>
        <item h="1" m="1" x="2180"/>
        <item h="1" m="1" x="2181"/>
        <item h="1" m="1" x="2182"/>
        <item h="1" m="1" x="1605"/>
        <item h="1" m="1" x="2183"/>
        <item h="1" m="1" x="1486"/>
        <item h="1" x="73"/>
        <item h="1" m="1" x="2187"/>
        <item h="1" m="1" x="2189"/>
        <item h="1" x="269"/>
        <item h="1" m="1" x="2190"/>
        <item h="1" m="1" x="2191"/>
        <item h="1" m="1" x="2192"/>
        <item h="1" m="1" x="2193"/>
        <item h="1" m="1" x="995"/>
        <item h="1" m="1" x="2196"/>
        <item h="1" m="1" x="1047"/>
        <item h="1" m="1" x="2198"/>
        <item h="1" m="1" x="2199"/>
        <item h="1" m="1" x="987"/>
        <item h="1" m="1" x="2200"/>
        <item h="1" m="1" x="2201"/>
        <item h="1" m="1" x="2202"/>
        <item h="1" m="1" x="2203"/>
        <item h="1" m="1" x="2204"/>
        <item h="1" m="1" x="2206"/>
        <item h="1" m="1" x="2207"/>
        <item h="1" m="1" x="2208"/>
        <item h="1" m="1" x="2209"/>
        <item h="1" m="1" x="2210"/>
        <item h="1" m="1" x="2211"/>
        <item h="1" m="1" x="2212"/>
        <item h="1" m="1" x="2213"/>
        <item h="1" m="1" x="2215"/>
        <item h="1" m="1" x="2216"/>
        <item h="1" m="1" x="2217"/>
        <item h="1" m="1" x="2219"/>
        <item h="1" m="1" x="2220"/>
        <item h="1" m="1" x="2221"/>
        <item h="1" m="1" x="2222"/>
        <item h="1" m="1" x="1483"/>
        <item h="1" m="1" x="2224"/>
        <item h="1" m="1" x="2225"/>
        <item h="1" m="1" x="2226"/>
        <item h="1" m="1" x="2227"/>
        <item h="1" m="1" x="1884"/>
        <item h="1" m="1" x="2228"/>
        <item h="1" m="1" x="502"/>
        <item h="1" m="1" x="1017"/>
        <item h="1" m="1" x="1484"/>
        <item h="1" m="1" x="1874"/>
        <item h="1" x="75"/>
        <item h="1" x="82"/>
        <item h="1" m="1" x="1839"/>
        <item h="1" m="1" x="458"/>
        <item h="1" m="1" x="1841"/>
        <item h="1" m="1" x="1842"/>
        <item h="1" m="1" x="1845"/>
        <item h="1" m="1" x="1846"/>
        <item h="1" m="1" x="1847"/>
        <item h="1" m="1" x="1848"/>
        <item h="1" m="1" x="1573"/>
        <item h="1" x="370"/>
        <item h="1" m="1" x="1569"/>
        <item h="1" m="1" x="1851"/>
        <item h="1" m="1" x="1582"/>
        <item h="1" m="1" x="1852"/>
        <item h="1" m="1" x="460"/>
        <item h="1" m="1" x="1853"/>
        <item h="1" m="1" x="461"/>
        <item h="1" m="1" x="899"/>
        <item h="1" m="1" x="1720"/>
        <item h="1" m="1" x="1856"/>
        <item h="1" m="1" x="1857"/>
        <item h="1" m="1" x="1858"/>
        <item h="1" m="1" x="1859"/>
        <item h="1" m="1" x="549"/>
        <item h="1" m="1" x="1601"/>
        <item h="1" m="1" x="1031"/>
        <item h="1" m="1" x="1863"/>
        <item h="1" m="1" x="1864"/>
        <item h="1" m="1" x="1865"/>
        <item h="1" m="1" x="1866"/>
        <item h="1" m="1" x="1868"/>
        <item h="1" m="1" x="1869"/>
        <item h="1" m="1" x="1870"/>
        <item h="1" m="1" x="1871"/>
        <item h="1" m="1" x="1872"/>
        <item h="1" m="1" x="466"/>
        <item h="1" m="1" x="467"/>
        <item h="1" m="1" x="1875"/>
        <item h="1" m="1" x="1876"/>
        <item h="1" m="1" x="1197"/>
        <item h="1" m="1" x="1877"/>
        <item h="1" m="1" x="1878"/>
        <item h="1" m="1" x="1602"/>
        <item h="1" m="1" x="1879"/>
        <item h="1" m="1" x="1583"/>
        <item h="1" x="58"/>
        <item h="1" m="1" x="1028"/>
        <item h="1" m="1" x="459"/>
        <item h="1" m="1" x="1880"/>
        <item h="1" m="1" x="1881"/>
        <item h="1" m="1" x="1882"/>
        <item h="1" m="1" x="1883"/>
        <item h="1" x="79"/>
        <item h="1" m="1" x="1733"/>
        <item h="1" m="1" x="455"/>
        <item h="1" m="1" x="782"/>
        <item h="1" x="97"/>
        <item h="1" m="1" x="1714"/>
        <item h="1" m="1" x="701"/>
        <item h="1" m="1" x="1557"/>
        <item h="1" m="1" x="1578"/>
        <item h="1" m="1" x="1570"/>
        <item h="1" m="1" x="1027"/>
        <item h="1" m="1" x="1214"/>
        <item h="1" m="1" x="1718"/>
        <item h="1" m="1" x="1603"/>
        <item h="1" m="1" x="1191"/>
        <item h="1" m="1" x="1721"/>
        <item h="1" m="1" x="1722"/>
        <item h="1" m="1" x="1723"/>
        <item h="1" m="1" x="1724"/>
        <item h="1" m="1" x="1725"/>
        <item h="1" m="1" x="1726"/>
        <item h="1" m="1" x="1589"/>
        <item h="1" m="1" x="1590"/>
        <item h="1" m="1" x="1591"/>
        <item h="1" m="1" x="1192"/>
        <item h="1" m="1" x="1817"/>
        <item h="1" m="1" x="1032"/>
        <item h="1" x="308"/>
        <item h="1" m="1" x="1610"/>
        <item h="1" m="1" x="1611"/>
        <item h="1" m="1" x="1612"/>
        <item h="1" m="1" x="1033"/>
        <item h="1" m="1" x="1819"/>
        <item h="1" m="1" x="1820"/>
        <item h="1" m="1" x="1821"/>
        <item h="1" m="1" x="456"/>
        <item h="1" m="1" x="1555"/>
        <item h="1" m="1" x="1822"/>
        <item h="1" m="1" x="1203"/>
        <item h="1" m="1" x="1736"/>
        <item h="1" m="1" x="1489"/>
        <item h="1" m="1" x="1717"/>
        <item h="1" m="1" x="1025"/>
        <item h="1" m="1" x="1712"/>
        <item h="1" m="1" x="1556"/>
        <item h="1" m="1" x="989"/>
        <item h="1" m="1" x="1823"/>
        <item h="1" m="1" x="1824"/>
        <item h="1" m="1" x="1747"/>
        <item h="1" m="1" x="1576"/>
        <item h="1" m="1" x="1711"/>
        <item h="1" m="1" x="1710"/>
        <item h="1" m="1" x="1575"/>
        <item h="1" m="1" x="1580"/>
        <item h="1" m="1" x="1585"/>
        <item h="1" m="1" x="1225"/>
        <item h="1" m="1" x="900"/>
        <item h="1" m="1" x="1754"/>
        <item h="1" m="1" x="1755"/>
        <item h="1" m="1" x="1029"/>
        <item h="1" m="1" x="1756"/>
        <item h="1" m="1" x="1758"/>
        <item h="1" m="1" x="1763"/>
        <item h="1" m="1" x="1030"/>
        <item h="1" m="1" x="1728"/>
        <item h="1" m="1" x="465"/>
        <item h="1" m="1" x="1825"/>
        <item h="1" m="1" x="1769"/>
        <item h="1" m="1" x="1588"/>
        <item h="1" m="1" x="1770"/>
        <item h="1" m="1" x="1768"/>
        <item h="1" m="1" x="1604"/>
        <item h="1" m="1" x="1826"/>
        <item h="1" m="1" x="1729"/>
        <item h="1" m="1" x="1730"/>
        <item h="1" m="1" x="1827"/>
        <item h="1" m="1" x="1828"/>
        <item h="1" x="67"/>
        <item h="1" x="68"/>
        <item h="1" x="69"/>
        <item h="1" m="1" x="1829"/>
        <item h="1" x="70"/>
        <item h="1" m="1" x="1195"/>
        <item h="1" m="1" x="1731"/>
        <item h="1" x="83"/>
        <item h="1" m="1" x="1607"/>
        <item h="1" x="99"/>
        <item h="1" m="1" x="1488"/>
        <item h="1" m="1" x="1202"/>
        <item h="1" m="1" x="1734"/>
        <item h="1" m="1" x="1737"/>
        <item h="1" x="52"/>
        <item h="1" m="1" x="1738"/>
        <item h="1" m="1" x="1207"/>
        <item h="1" m="1" x="1618"/>
        <item h="1" m="1" x="1740"/>
        <item h="1" m="1" x="1741"/>
        <item h="1" m="1" x="940"/>
        <item h="1" m="1" x="1092"/>
        <item h="1" m="1" x="1744"/>
        <item h="1" m="1" x="1561"/>
        <item h="1" m="1" x="1562"/>
        <item h="1" m="1" x="1745"/>
        <item h="1" m="1" x="1563"/>
        <item h="1" m="1" x="1564"/>
        <item h="1" m="1" x="1625"/>
        <item h="1" m="1" x="1746"/>
        <item h="1" m="1" x="1574"/>
        <item h="1" m="1" x="1579"/>
        <item h="1" m="1" x="1039"/>
        <item h="1" m="1" x="1559"/>
        <item h="1" m="1" x="1560"/>
        <item h="1" m="1" x="1752"/>
        <item h="1" m="1" x="483"/>
        <item h="1" m="1" x="901"/>
        <item h="1" m="1" x="1757"/>
        <item h="1" m="1" x="1759"/>
        <item h="1" m="1" x="1760"/>
        <item h="1" m="1" x="1761"/>
        <item h="1" m="1" x="1228"/>
        <item h="1" m="1" x="1592"/>
        <item h="1" m="1" x="1593"/>
        <item h="1" m="1" x="1594"/>
        <item h="1" m="1" x="1595"/>
        <item h="1" m="1" x="1596"/>
        <item h="1" m="1" x="1597"/>
        <item h="1" m="1" x="1598"/>
        <item h="1" m="1" x="1599"/>
        <item h="1" m="1" x="1600"/>
        <item h="1" m="1" x="1762"/>
        <item h="1" m="1" x="1229"/>
        <item h="1" m="1" x="1056"/>
        <item h="1" m="1" x="1659"/>
        <item h="1" m="1" x="1764"/>
        <item h="1" m="1" x="1765"/>
        <item h="1" m="1" x="1766"/>
        <item h="1" m="1" x="1767"/>
        <item h="1" m="1" x="1771"/>
        <item h="1" m="1" x="1772"/>
        <item h="1" m="1" x="1773"/>
        <item h="1" m="1" x="1774"/>
        <item h="1" m="1" x="1776"/>
        <item h="1" m="1" x="1778"/>
        <item h="1" m="1" x="1779"/>
        <item h="1" m="1" x="1780"/>
        <item h="1" m="1" x="1781"/>
        <item h="1" m="1" x="1782"/>
        <item h="1" m="1" x="799"/>
        <item h="1" m="1" x="1783"/>
        <item h="1" m="1" x="1784"/>
        <item h="1" m="1" x="1785"/>
        <item h="1" m="1" x="1606"/>
        <item h="1" m="1" x="1609"/>
        <item h="1" x="66"/>
        <item h="1" m="1" x="1786"/>
        <item h="1" m="1" x="1787"/>
        <item h="1" m="1" x="1608"/>
        <item h="1" m="1" x="1067"/>
        <item h="1" m="1" x="1068"/>
        <item h="1" m="1" x="1791"/>
        <item h="1" m="1" x="1071"/>
        <item h="1" m="1" x="1069"/>
        <item h="1" m="1" x="1070"/>
        <item h="1" m="1" x="1073"/>
        <item h="1" m="1" x="1613"/>
        <item h="1" x="78"/>
        <item h="1" m="1" x="1232"/>
        <item h="1" m="1" x="1086"/>
        <item h="1" m="1" x="1792"/>
        <item h="1" m="1" x="1793"/>
        <item h="1" m="1" x="1614"/>
        <item h="1" m="1" x="1234"/>
        <item h="1" x="88"/>
        <item h="1" m="1" x="1616"/>
        <item h="1" m="1" x="984"/>
        <item h="1" m="1" x="780"/>
        <item h="1" x="208"/>
        <item h="1" m="1" x="1617"/>
        <item h="1" m="1" x="1201"/>
        <item h="1" m="1" x="1206"/>
        <item h="1" m="1" x="1619"/>
        <item h="1" m="1" x="1208"/>
        <item h="1" x="53"/>
        <item h="1" m="1" x="1209"/>
        <item h="1" m="1" x="783"/>
        <item h="1" m="1" x="1210"/>
        <item h="1" m="1" x="1211"/>
        <item h="1" m="1" x="1212"/>
        <item h="1" x="350"/>
        <item h="1" m="1" x="784"/>
        <item h="1" m="1" x="476"/>
        <item h="1" m="1" x="1620"/>
        <item h="1" m="1" x="480"/>
        <item h="1" m="1" x="1492"/>
        <item h="1" m="1" x="1493"/>
        <item h="1" m="1" x="1621"/>
        <item h="1" m="1" x="1622"/>
        <item h="1" m="1" x="1623"/>
        <item h="1" m="1" x="1626"/>
        <item h="1" m="1" x="1628"/>
        <item h="1" m="1" x="1630"/>
        <item h="1" m="1" x="479"/>
        <item h="1" m="1" x="1632"/>
        <item h="1" m="1" x="1636"/>
        <item h="1" m="1" x="1221"/>
        <item h="1" m="1" x="1222"/>
        <item h="1" m="1" x="1637"/>
        <item h="1" m="1" x="1638"/>
        <item h="1" m="1" x="1639"/>
        <item h="1" m="1" x="1640"/>
        <item h="1" m="1" x="1641"/>
        <item h="1" m="1" x="1642"/>
        <item h="1" m="1" x="1643"/>
        <item h="1" m="1" x="1644"/>
        <item h="1" m="1" x="1645"/>
        <item h="1" m="1" x="1646"/>
        <item h="1" m="1" x="1647"/>
        <item h="1" m="1" x="1648"/>
        <item h="1" m="1" x="1649"/>
        <item h="1" m="1" x="1650"/>
        <item h="1" m="1" x="1651"/>
        <item h="1" m="1" x="1652"/>
        <item h="1" m="1" x="1653"/>
        <item h="1" m="1" x="1654"/>
        <item h="1" m="1" x="1655"/>
        <item h="1" m="1" x="1656"/>
        <item h="1" m="1" x="1657"/>
        <item h="1" m="1" x="1658"/>
        <item h="1" m="1" x="499"/>
        <item h="1" m="1" x="1055"/>
        <item h="1" m="1" x="1230"/>
        <item h="1" m="1" x="497"/>
        <item h="1" m="1" x="1660"/>
        <item h="1" m="1" x="490"/>
        <item h="1" m="1" x="811"/>
        <item h="1" m="1" x="1227"/>
        <item h="1" m="1" x="1661"/>
        <item h="1" m="1" x="1662"/>
        <item h="1" m="1" x="1663"/>
        <item h="1" m="1" x="1664"/>
        <item h="1" m="1" x="503"/>
        <item h="1" m="1" x="1058"/>
        <item h="1" m="1" x="1665"/>
        <item h="1" m="1" x="1666"/>
        <item h="1" m="1" x="1667"/>
        <item h="1" m="1" x="1062"/>
        <item h="1" m="1" x="1063"/>
        <item h="1" m="1" x="1668"/>
        <item h="1" m="1" x="1669"/>
        <item h="1" m="1" x="1670"/>
        <item h="1" m="1" x="1072"/>
        <item h="1" m="1" x="1074"/>
        <item h="1" m="1" x="744"/>
        <item h="1" x="71"/>
        <item h="1" m="1" x="1671"/>
        <item h="1" m="1" x="1672"/>
        <item h="1" m="1" x="1673"/>
        <item h="1" m="1" x="1674"/>
        <item h="1" m="1" x="1675"/>
        <item h="1" m="1" x="831"/>
        <item h="1" m="1" x="1676"/>
        <item h="1" m="1" x="1677"/>
        <item h="1" x="77"/>
        <item h="1" m="1" x="1084"/>
        <item h="1" m="1" x="1678"/>
        <item h="1" x="81"/>
        <item h="1" x="90"/>
        <item h="1" m="1" x="1235"/>
        <item h="1" m="1" x="1199"/>
        <item h="1" x="104"/>
        <item h="1" m="1" x="1490"/>
        <item h="1" m="1" x="477"/>
        <item h="1" x="98"/>
        <item h="1" m="1" x="1216"/>
        <item h="1" m="1" x="1217"/>
        <item h="1" m="1" x="917"/>
        <item h="1" m="1" x="1231"/>
        <item h="1" m="1" x="1057"/>
        <item h="1" m="1" x="1494"/>
        <item h="1" x="280"/>
        <item h="1" m="1" x="1060"/>
        <item h="1" m="1" x="1061"/>
        <item h="1" m="1" x="1495"/>
        <item h="1" x="162"/>
        <item h="1" x="161"/>
        <item h="1" m="1" x="1076"/>
        <item h="1" m="1" x="1078"/>
        <item h="1" m="1" x="1079"/>
        <item h="1" m="1" x="1496"/>
        <item h="1" x="169"/>
        <item h="1" m="1" x="1233"/>
        <item h="1" x="84"/>
        <item h="1" x="95"/>
        <item h="1" x="189"/>
        <item h="1" m="1" x="1035"/>
        <item h="1" m="1" x="1036"/>
        <item h="1" m="1" x="1497"/>
        <item h="1" m="1" x="473"/>
        <item h="1" x="105"/>
        <item h="1" m="1" x="1240"/>
        <item h="1" m="1" x="1241"/>
        <item h="1" m="1" x="474"/>
        <item h="1" m="1" x="1243"/>
        <item h="1" m="1" x="1244"/>
        <item h="1" m="1" x="1245"/>
        <item h="1" m="1" x="1246"/>
        <item h="1" m="1" x="790"/>
        <item h="1" x="115"/>
        <item h="1" m="1" x="1038"/>
        <item h="1" m="1" x="903"/>
        <item h="1" m="1" x="1037"/>
        <item h="1" m="1" x="1249"/>
        <item h="1" x="117"/>
        <item h="1" m="1" x="1498"/>
        <item h="1" m="1" x="1499"/>
        <item h="1" m="1" x="1500"/>
        <item h="1" m="1" x="1501"/>
        <item h="1" m="1" x="1251"/>
        <item h="1" m="1" x="800"/>
        <item h="1" m="1" x="801"/>
        <item h="1" m="1" x="1255"/>
        <item h="1" m="1" x="1259"/>
        <item h="1" m="1" x="1260"/>
        <item h="1" m="1" x="1218"/>
        <item h="1" m="1" x="1258"/>
        <item h="1" m="1" x="1263"/>
        <item h="1" m="1" x="1043"/>
        <item h="1" x="122"/>
        <item h="1" x="123"/>
        <item h="1" m="1" x="1264"/>
        <item h="1" m="1" x="1265"/>
        <item h="1" m="1" x="1266"/>
        <item h="1" m="1" x="809"/>
        <item h="1" m="1" x="1269"/>
        <item h="1" m="1" x="1273"/>
        <item h="1" m="1" x="1274"/>
        <item h="1" m="1" x="1275"/>
        <item h="1" m="1" x="810"/>
        <item h="1" m="1" x="1271"/>
        <item h="1" m="1" x="1272"/>
        <item h="1" m="1" x="1278"/>
        <item h="1" m="1" x="1277"/>
        <item h="1" x="138"/>
        <item h="1" m="1" x="1041"/>
        <item h="1" m="1" x="1502"/>
        <item h="1" m="1" x="1045"/>
        <item h="1" m="1" x="916"/>
        <item h="1" m="1" x="488"/>
        <item h="1" m="1" x="1046"/>
        <item h="1" m="1" x="914"/>
        <item h="1" m="1" x="915"/>
        <item h="1" m="1" x="489"/>
        <item h="1" m="1" x="913"/>
        <item h="1" m="1" x="1279"/>
        <item h="1" m="1" x="1281"/>
        <item h="1" m="1" x="498"/>
        <item h="1" m="1" x="1282"/>
        <item h="1" m="1" x="1283"/>
        <item h="1" m="1" x="1284"/>
        <item h="1" m="1" x="1108"/>
        <item h="1" m="1" x="816"/>
        <item h="1" x="150"/>
        <item h="1" m="1" x="817"/>
        <item h="1" m="1" x="1051"/>
        <item h="1" m="1" x="926"/>
        <item h="1" m="1" x="818"/>
        <item h="1" m="1" x="1286"/>
        <item h="1" m="1" x="1285"/>
        <item h="1" m="1" x="830"/>
        <item h="1" m="1" x="1053"/>
        <item h="1" m="1" x="1054"/>
        <item h="1" m="1" x="1288"/>
        <item h="1" m="1" x="1291"/>
        <item h="1" m="1" x="1293"/>
        <item h="1" m="1" x="1503"/>
        <item h="1" m="1" x="814"/>
        <item h="1" m="1" x="1504"/>
        <item h="1" m="1" x="1059"/>
        <item h="1" m="1" x="1505"/>
        <item h="1" m="1" x="1506"/>
        <item h="1" m="1" x="1507"/>
        <item h="1" m="1" x="1064"/>
        <item h="1" m="1" x="1065"/>
        <item h="1" m="1" x="1066"/>
        <item h="1" m="1" x="1298"/>
        <item h="1" m="1" x="1508"/>
        <item h="1" m="1" x="1509"/>
        <item h="1" m="1" x="1510"/>
        <item h="1" m="1" x="1511"/>
        <item h="1" m="1" x="1512"/>
        <item h="1" m="1" x="1513"/>
        <item h="1" m="1" x="1514"/>
        <item h="1" m="1" x="1515"/>
        <item h="1" m="1" x="1516"/>
        <item h="1" m="1" x="1517"/>
        <item h="1" m="1" x="1518"/>
        <item h="1" m="1" x="1077"/>
        <item h="1" m="1" x="1519"/>
        <item h="1" m="1" x="1520"/>
        <item h="1" m="1" x="1521"/>
        <item h="1" m="1" x="1080"/>
        <item h="1" x="171"/>
        <item h="1" m="1" x="1081"/>
        <item h="1" m="1" x="1082"/>
        <item h="1" m="1" x="1083"/>
        <item h="1" m="1" x="1085"/>
        <item h="1" x="181"/>
        <item h="1" m="1" x="1299"/>
        <item h="1" x="46"/>
        <item h="1" x="65"/>
        <item h="1" m="1" x="469"/>
        <item h="1" m="1" x="1237"/>
        <item h="1" m="1" x="1239"/>
        <item h="1" m="1" x="1242"/>
        <item h="1" x="110"/>
        <item h="1" m="1" x="787"/>
        <item h="1" m="1" x="1247"/>
        <item h="1" m="1" x="1248"/>
        <item h="1" m="1" x="788"/>
        <item h="1" m="1" x="789"/>
        <item h="1" m="1" x="1250"/>
        <item h="1" m="1" x="1252"/>
        <item h="1" m="1" x="1253"/>
        <item h="1" m="1" x="1254"/>
        <item h="1" m="1" x="803"/>
        <item h="1" m="1" x="1256"/>
        <item h="1" m="1" x="1262"/>
        <item h="1" m="1" x="1104"/>
        <item h="1" m="1" x="1267"/>
        <item h="1" m="1" x="1268"/>
        <item h="1" m="1" x="486"/>
        <item h="1" m="1" x="924"/>
        <item h="1" m="1" x="1112"/>
        <item h="1" m="1" x="925"/>
        <item h="1" m="1" x="815"/>
        <item h="1" m="1" x="828"/>
        <item h="1" m="1" x="829"/>
        <item h="1" m="1" x="1126"/>
        <item h="1" m="1" x="927"/>
        <item h="1" m="1" x="1127"/>
        <item h="1" m="1" x="1292"/>
        <item h="1" x="107"/>
        <item h="1" m="1" x="729"/>
        <item h="1" m="1" x="1131"/>
        <item h="1" m="1" x="1294"/>
        <item h="1" x="157"/>
        <item h="1" m="1" x="1140"/>
        <item h="1" m="1" x="1136"/>
        <item h="1" m="1" x="1295"/>
        <item h="1" m="1" x="1296"/>
        <item h="1" m="1" x="1297"/>
        <item h="1" m="1" x="1147"/>
        <item h="1" m="1" x="1149"/>
        <item h="1" m="1" x="1150"/>
        <item h="1" m="1" x="1151"/>
        <item h="1" x="177"/>
        <item h="1" x="106"/>
        <item h="1" m="1" x="1300"/>
        <item h="1" m="1" x="1301"/>
        <item h="1" m="1" x="475"/>
        <item h="1" m="1" x="795"/>
        <item h="1" m="1" x="1303"/>
        <item h="1" m="1" x="1304"/>
        <item h="1" m="1" x="1305"/>
        <item h="1" m="1" x="1130"/>
        <item h="1" m="1" x="1306"/>
        <item h="1" m="1" x="1307"/>
        <item h="1" m="1" x="1308"/>
        <item h="1" m="1" x="1309"/>
        <item h="1" m="1" x="1310"/>
        <item h="1" m="1" x="1311"/>
        <item h="1" m="1" x="1312"/>
        <item h="1" m="1" x="1313"/>
        <item h="1" m="1" x="1314"/>
        <item h="1" m="1" x="1315"/>
        <item h="1" m="1" x="1316"/>
        <item h="1" m="1" x="1317"/>
        <item h="1" m="1" x="1318"/>
        <item h="1" m="1" x="1319"/>
        <item h="1" m="1" x="1320"/>
        <item h="1" m="1" x="1321"/>
        <item h="1" m="1" x="1322"/>
        <item h="1" m="1" x="1323"/>
        <item h="1" x="159"/>
        <item h="1" m="1" x="1324"/>
        <item h="1" m="1" x="1325"/>
        <item h="1" m="1" x="1326"/>
        <item h="1" m="1" x="1327"/>
        <item h="1" m="1" x="1328"/>
        <item h="1" m="1" x="1329"/>
        <item h="1" m="1" x="1330"/>
        <item h="1" m="1" x="1331"/>
        <item h="1" m="1" x="1332"/>
        <item h="1" m="1" x="1333"/>
        <item h="1" m="1" x="1334"/>
        <item h="1" m="1" x="1335"/>
        <item h="1" m="1" x="1336"/>
        <item h="1" m="1" x="1337"/>
        <item h="1" m="1" x="1338"/>
        <item h="1" m="1" x="1339"/>
        <item h="1" m="1" x="1340"/>
        <item h="1" m="1" x="1341"/>
        <item h="1" m="1" x="1342"/>
        <item h="1" m="1" x="1343"/>
        <item h="1" m="1" x="1344"/>
        <item h="1" m="1" x="1345"/>
        <item h="1" m="1" x="1346"/>
        <item h="1" m="1" x="1347"/>
        <item h="1" m="1" x="1348"/>
        <item h="1" m="1" x="1349"/>
        <item h="1" m="1" x="1350"/>
        <item h="1" m="1" x="1351"/>
        <item h="1" m="1" x="1352"/>
        <item h="1" m="1" x="1353"/>
        <item h="1" m="1" x="1354"/>
        <item h="1" m="1" x="1355"/>
        <item h="1" m="1" x="1356"/>
        <item h="1" m="1" x="1357"/>
        <item h="1" m="1" x="1358"/>
        <item h="1" m="1" x="1359"/>
        <item h="1" m="1" x="1360"/>
        <item h="1" m="1" x="1361"/>
        <item h="1" m="1" x="1362"/>
        <item h="1" m="1" x="1363"/>
        <item h="1" m="1" x="1364"/>
        <item h="1" m="1" x="1365"/>
        <item h="1" m="1" x="1366"/>
        <item h="1" m="1" x="1367"/>
        <item h="1" m="1" x="1368"/>
        <item h="1" m="1" x="1370"/>
        <item h="1" m="1" x="1371"/>
        <item h="1" m="1" x="1372"/>
        <item h="1" m="1" x="1373"/>
        <item h="1" m="1" x="1374"/>
        <item h="1" m="1" x="1375"/>
        <item h="1" m="1" x="1376"/>
        <item h="1" m="1" x="1377"/>
        <item h="1" m="1" x="1378"/>
        <item h="1" m="1" x="1379"/>
        <item h="1" m="1" x="1380"/>
        <item h="1" m="1" x="1381"/>
        <item h="1" m="1" x="1382"/>
        <item h="1" m="1" x="1383"/>
        <item h="1" m="1" x="1384"/>
        <item h="1" m="1" x="1385"/>
        <item h="1" m="1" x="1386"/>
        <item h="1" m="1" x="1387"/>
        <item h="1" m="1" x="1388"/>
        <item h="1" m="1" x="1389"/>
        <item h="1" m="1" x="1390"/>
        <item h="1" m="1" x="1391"/>
        <item h="1" m="1" x="1392"/>
        <item h="1" m="1" x="1393"/>
        <item h="1" m="1" x="1394"/>
        <item h="1" m="1" x="1395"/>
        <item h="1" m="1" x="1396"/>
        <item h="1" m="1" x="1397"/>
        <item h="1" m="1" x="1398"/>
        <item h="1" m="1" x="1399"/>
        <item h="1" m="1" x="1400"/>
        <item h="1" m="1" x="1401"/>
        <item h="1" m="1" x="1402"/>
        <item h="1" m="1" x="1404"/>
        <item h="1" m="1" x="1405"/>
        <item h="1" m="1" x="1406"/>
        <item h="1" m="1" x="1407"/>
        <item h="1" m="1" x="1408"/>
        <item h="1" m="1" x="1409"/>
        <item h="1" m="1" x="1410"/>
        <item h="1" m="1" x="1411"/>
        <item h="1" m="1" x="1412"/>
        <item h="1" m="1" x="1413"/>
        <item h="1" m="1" x="1414"/>
        <item h="1" m="1" x="1415"/>
        <item h="1" m="1" x="1416"/>
        <item h="1" m="1" x="1417"/>
        <item h="1" m="1" x="1146"/>
        <item h="1" m="1" x="1418"/>
        <item h="1" x="179"/>
        <item h="1" m="1" x="1419"/>
        <item h="1" m="1" x="1420"/>
        <item h="1" m="1" x="1421"/>
        <item h="1" m="1" x="1423"/>
        <item h="1" m="1" x="1424"/>
        <item h="1" m="1" x="1425"/>
        <item h="1" m="1" x="1426"/>
        <item h="1" m="1" x="1427"/>
        <item h="1" m="1" x="1428"/>
        <item h="1" m="1" x="1429"/>
        <item h="1" m="1" x="1430"/>
        <item h="1" m="1" x="1431"/>
        <item h="1" m="1" x="1432"/>
        <item h="1" m="1" x="1433"/>
        <item h="1" m="1" x="1434"/>
        <item h="1" m="1" x="1435"/>
        <item h="1" m="1" x="1436"/>
        <item h="1" m="1" x="1437"/>
        <item h="1" m="1" x="1438"/>
        <item h="1" m="1" x="1439"/>
        <item h="1" m="1" x="1440"/>
        <item h="1" m="1" x="1442"/>
        <item h="1" m="1" x="1443"/>
        <item h="1" m="1" x="1444"/>
        <item h="1" m="1" x="1445"/>
        <item h="1" m="1" x="1446"/>
        <item h="1" m="1" x="1447"/>
        <item h="1" m="1" x="1448"/>
        <item h="1" m="1" x="1449"/>
        <item h="1" m="1" x="1450"/>
        <item h="1" m="1" x="1451"/>
        <item h="1" m="1" x="1452"/>
        <item h="1" m="1" x="1453"/>
        <item h="1" m="1" x="1454"/>
        <item h="1" m="1" x="1455"/>
        <item h="1" m="1" x="1456"/>
        <item h="1" m="1" x="1457"/>
        <item h="1" m="1" x="1458"/>
        <item h="1" m="1" x="1459"/>
        <item h="1" m="1" x="1460"/>
        <item h="1" m="1" x="1461"/>
        <item h="1" m="1" x="1462"/>
        <item h="1" m="1" x="1463"/>
        <item h="1" m="1" x="1465"/>
        <item h="1" m="1" x="1466"/>
        <item h="1" m="1" x="1467"/>
        <item h="1" m="1" x="1468"/>
        <item h="1" m="1" x="1178"/>
        <item h="1" m="1" x="1469"/>
        <item h="1" m="1" x="1470"/>
        <item h="1" m="1" x="1471"/>
        <item h="1" m="1" x="1472"/>
        <item h="1" m="1" x="1129"/>
        <item h="1" m="1" x="500"/>
        <item h="1" m="1" x="792"/>
        <item h="1" m="1" x="1473"/>
        <item h="1" m="1" x="1474"/>
        <item h="1" m="1" x="793"/>
        <item h="1" m="1" x="794"/>
        <item h="1" m="1" x="797"/>
        <item h="1" m="1" x="520"/>
        <item h="1" m="1" x="1105"/>
        <item h="1" m="1" x="1106"/>
        <item h="1" m="1" x="1476"/>
        <item h="1" m="1" x="1477"/>
        <item h="1" m="1" x="1478"/>
        <item h="1" m="1" x="821"/>
        <item h="1" m="1" x="822"/>
        <item h="1" m="1" x="823"/>
        <item h="1" m="1" x="824"/>
        <item h="1" m="1" x="1479"/>
        <item h="1" m="1" x="1138"/>
        <item h="1" m="1" x="1139"/>
        <item h="1" m="1" x="1480"/>
        <item h="1" m="1" x="1481"/>
        <item h="1" x="173"/>
        <item h="1" m="1" x="1148"/>
        <item h="1" m="1" x="1075"/>
        <item h="1" m="1" x="1087"/>
        <item h="1" m="1" x="1089"/>
        <item h="1" x="108"/>
        <item h="1" m="1" x="506"/>
        <item h="1" m="1" x="1091"/>
        <item h="1" m="1" x="1093"/>
        <item h="1" m="1" x="1094"/>
        <item h="1" m="1" x="1098"/>
        <item h="1" m="1" x="1100"/>
        <item h="1" m="1" x="1102"/>
        <item h="1" m="1" x="1103"/>
        <item h="1" m="1" x="804"/>
        <item h="1" m="1" x="805"/>
        <item h="1" m="1" x="802"/>
        <item h="1" m="1" x="521"/>
        <item h="1" m="1" x="518"/>
        <item h="1" m="1" x="519"/>
        <item h="1" m="1" x="522"/>
        <item h="1" m="1" x="705"/>
        <item h="1" m="1" x="540"/>
        <item h="1" x="139"/>
        <item h="1" m="1" x="1107"/>
        <item h="1" m="1" x="1109"/>
        <item h="1" m="1" x="1111"/>
        <item h="1" m="1" x="812"/>
        <item h="1" m="1" x="813"/>
        <item h="1" m="1" x="1113"/>
        <item h="1" m="1" x="1114"/>
        <item h="1" m="1" x="798"/>
        <item h="1" m="1" x="1115"/>
        <item h="1" m="1" x="905"/>
        <item h="1" m="1" x="906"/>
        <item h="1" m="1" x="907"/>
        <item h="1" m="1" x="908"/>
        <item h="1" x="120"/>
        <item h="1" m="1" x="796"/>
        <item h="1" m="1" x="1118"/>
        <item h="1" m="1" x="1119"/>
        <item h="1" m="1" x="682"/>
        <item h="1" m="1" x="1121"/>
        <item h="1" m="1" x="554"/>
        <item h="1" m="1" x="1122"/>
        <item h="1" m="1" x="1123"/>
        <item h="1" m="1" x="1124"/>
        <item h="1" m="1" x="819"/>
        <item h="1" m="1" x="820"/>
        <item h="1" m="1" x="827"/>
        <item h="1" m="1" x="943"/>
        <item h="1" m="1" x="944"/>
        <item h="1" m="1" x="941"/>
        <item h="1" m="1" x="1128"/>
        <item h="1" x="153"/>
        <item h="1" x="154"/>
        <item h="1" x="155"/>
        <item h="1" m="1" x="1132"/>
        <item h="1" m="1" x="1133"/>
        <item h="1" m="1" x="1134"/>
        <item h="1" m="1" x="1135"/>
        <item h="1" m="1" x="1137"/>
        <item h="1" m="1" x="1141"/>
        <item h="1" m="1" x="1142"/>
        <item h="1" m="1" x="1143"/>
        <item h="1" m="1" x="999"/>
        <item h="1" m="1" x="1144"/>
        <item h="1" m="1" x="1145"/>
        <item h="1" x="163"/>
        <item h="1" x="165"/>
        <item h="1" x="166"/>
        <item h="1" x="167"/>
        <item h="1" m="1" x="1152"/>
        <item h="1" m="1" x="1153"/>
        <item h="1" x="185"/>
        <item h="1" x="118"/>
        <item h="1" m="1" x="806"/>
        <item h="1" m="1" x="1154"/>
        <item h="1" m="1" x="1155"/>
        <item h="1" m="1" x="807"/>
        <item h="1" m="1" x="541"/>
        <item h="1" m="1" x="690"/>
        <item h="1" m="1" x="1158"/>
        <item h="1" m="1" x="694"/>
        <item h="1" m="1" x="825"/>
        <item h="1" m="1" x="826"/>
        <item h="1" m="1" x="1162"/>
        <item h="1" x="112"/>
        <item h="1" m="1" x="1163"/>
        <item h="1" m="1" x="1164"/>
        <item h="1" m="1" x="1165"/>
        <item h="1" m="1" x="1166"/>
        <item h="1" m="1" x="1168"/>
        <item h="1" m="1" x="1169"/>
        <item h="1" m="1" x="1170"/>
        <item h="1" m="1" x="1173"/>
        <item h="1" m="1" x="1174"/>
        <item h="1" m="1" x="1175"/>
        <item h="1" m="1" x="1176"/>
        <item h="1" m="1" x="1177"/>
        <item h="1" m="1" x="1179"/>
        <item h="1" m="1" x="1180"/>
        <item h="1" m="1" x="1181"/>
        <item h="1" m="1" x="1182"/>
        <item h="1" m="1" x="504"/>
        <item h="1" m="1" x="832"/>
        <item h="1" x="103"/>
        <item h="1" m="1" x="1000"/>
        <item h="1" m="1" x="1001"/>
        <item h="1" m="1" x="505"/>
        <item h="1" m="1" x="840"/>
        <item h="1" m="1" x="842"/>
        <item h="1" m="1" x="932"/>
        <item h="1" m="1" x="934"/>
        <item h="1" x="111"/>
        <item h="1" m="1" x="510"/>
        <item h="1" x="119"/>
        <item h="1" m="1" x="877"/>
        <item h="1" m="1" x="849"/>
        <item h="1" m="1" x="526"/>
        <item h="1" m="1" x="516"/>
        <item h="1" m="1" x="517"/>
        <item h="1" x="145"/>
        <item h="1" m="1" x="852"/>
        <item h="1" m="1" x="853"/>
        <item h="1" m="1" x="523"/>
        <item h="1" m="1" x="525"/>
        <item h="1" x="144"/>
        <item h="1" m="1" x="532"/>
        <item h="1" x="135"/>
        <item h="1" x="128"/>
        <item h="1" x="130"/>
        <item h="1" m="1" x="535"/>
        <item h="1" m="1" x="534"/>
        <item h="1" m="1" x="808"/>
        <item h="1" m="1" x="1002"/>
        <item h="1" m="1" x="1003"/>
        <item h="1" m="1" x="543"/>
        <item h="1" m="1" x="542"/>
        <item h="1" m="1" x="871"/>
        <item h="1" m="1" x="872"/>
        <item h="1" m="1" x="950"/>
        <item h="1" x="152"/>
        <item h="1" m="1" x="960"/>
        <item h="1" m="1" x="728"/>
        <item h="1" m="1" x="566"/>
        <item h="1" m="1" x="556"/>
        <item h="1" m="1" x="861"/>
        <item h="1" m="1" x="869"/>
        <item h="1" m="1" x="867"/>
        <item h="1" x="151"/>
        <item h="1" m="1" x="870"/>
        <item h="1" m="1" x="545"/>
        <item h="1" x="156"/>
        <item h="1" m="1" x="1004"/>
        <item h="1" m="1" x="1005"/>
        <item h="1" m="1" x="1006"/>
        <item h="1" m="1" x="1007"/>
        <item h="1" m="1" x="1008"/>
        <item h="1" m="1" x="1009"/>
        <item h="1" m="1" x="1010"/>
        <item h="1" m="1" x="1011"/>
        <item h="1" m="1" x="1013"/>
        <item h="1" m="1" x="1014"/>
        <item h="1" m="1" x="1015"/>
        <item h="1" m="1" x="1016"/>
        <item h="1" m="1" x="1019"/>
        <item h="1" m="1" x="1020"/>
        <item h="1" m="1" x="1021"/>
        <item h="1" x="160"/>
        <item h="1" m="1" x="1022"/>
        <item h="1" m="1" x="1023"/>
        <item h="1" x="176"/>
        <item h="1" m="1" x="958"/>
        <item h="1" m="1" x="572"/>
        <item h="1" m="1" x="959"/>
        <item h="1" x="178"/>
        <item h="1" m="1" x="1024"/>
        <item h="1" x="180"/>
        <item h="1" m="1" x="573"/>
        <item h="1" x="186"/>
        <item h="1" x="187"/>
        <item h="1" x="188"/>
        <item h="1" x="170"/>
        <item h="1" m="1" x="507"/>
        <item h="1" m="1" x="508"/>
        <item h="1" m="1" x="839"/>
        <item h="1" m="1" x="931"/>
        <item h="1" m="1" x="933"/>
        <item h="1" m="1" x="511"/>
        <item h="1" m="1" x="512"/>
        <item h="1" x="113"/>
        <item h="1" m="1" x="878"/>
        <item h="1" m="1" x="936"/>
        <item h="1" m="1" x="850"/>
        <item h="1" m="1" x="851"/>
        <item h="1" x="222"/>
        <item h="1" x="231"/>
        <item h="1" m="1" x="533"/>
        <item h="1" m="1" x="939"/>
        <item h="1" m="1" x="855"/>
        <item h="1" m="1" x="856"/>
        <item h="1" m="1" x="581"/>
        <item h="1" x="141"/>
        <item h="1" m="1" x="945"/>
        <item h="1" m="1" x="555"/>
        <item h="1" m="1" x="946"/>
        <item h="1" m="1" x="947"/>
        <item h="1" m="1" x="948"/>
        <item h="1" m="1" x="868"/>
        <item h="1" m="1" x="864"/>
        <item h="1" m="1" x="863"/>
        <item h="1" m="1" x="949"/>
        <item h="1" m="1" x="691"/>
        <item h="1" m="1" x="951"/>
        <item h="1" m="1" x="952"/>
        <item h="1" m="1" x="953"/>
        <item h="1" m="1" x="954"/>
        <item h="1" m="1" x="955"/>
        <item h="1" m="1" x="567"/>
        <item h="1" m="1" x="956"/>
        <item h="1" m="1" x="957"/>
        <item h="1" x="164"/>
        <item h="1" m="1" x="571"/>
        <item h="1" x="320"/>
        <item h="1" x="338"/>
        <item h="1" m="1" x="962"/>
        <item h="1" m="1" x="837"/>
        <item h="1" m="1" x="964"/>
        <item h="1" m="1" x="965"/>
        <item h="1" m="1" x="966"/>
        <item h="1" m="1" x="967"/>
        <item h="1" m="1" x="968"/>
        <item h="1" m="1" x="969"/>
        <item h="1" m="1" x="844"/>
        <item h="1" m="1" x="553"/>
        <item h="1" m="1" x="859"/>
        <item h="1" m="1" x="970"/>
        <item h="1" m="1" x="862"/>
        <item h="1" m="1" x="866"/>
        <item h="1" x="252"/>
        <item h="1" x="256"/>
        <item h="1" m="1" x="971"/>
        <item h="1" m="1" x="973"/>
        <item h="1" m="1" x="974"/>
        <item h="1" m="1" x="557"/>
        <item h="1" x="257"/>
        <item h="1" m="1" x="561"/>
        <item h="1" m="1" x="976"/>
        <item h="1" x="234"/>
        <item h="1" x="241"/>
        <item h="1" m="1" x="977"/>
        <item h="1" m="1" x="978"/>
        <item h="1" m="1" x="979"/>
        <item h="1" m="1" x="980"/>
        <item h="1" x="277"/>
        <item h="1" x="278"/>
        <item h="1" m="1" x="981"/>
        <item h="1" x="307"/>
        <item h="1" m="1" x="982"/>
        <item h="1" m="1" x="983"/>
        <item h="1" x="318"/>
        <item h="1" x="158"/>
        <item h="1" m="1" x="509"/>
        <item h="1" x="329"/>
        <item h="1" m="1" x="843"/>
        <item h="1" m="1" x="845"/>
        <item h="1" m="1" x="846"/>
        <item h="1" x="216"/>
        <item h="1" m="1" x="847"/>
        <item h="1" m="1" x="848"/>
        <item h="1" m="1" x="513"/>
        <item h="1" m="1" x="528"/>
        <item h="1" m="1" x="530"/>
        <item h="1" m="1" x="854"/>
        <item h="1" m="1" x="536"/>
        <item h="1" m="1" x="857"/>
        <item h="1" m="1" x="858"/>
        <item h="1" m="1" x="547"/>
        <item h="1" m="1" x="548"/>
        <item h="1" m="1" x="552"/>
        <item h="1" m="1" x="865"/>
        <item h="1" x="343"/>
        <item h="1" x="344"/>
        <item h="1" m="1" x="873"/>
        <item h="1" m="1" x="874"/>
        <item h="1" m="1" x="560"/>
        <item h="1" m="1" x="562"/>
        <item h="1" m="1" x="876"/>
        <item h="1" x="260"/>
        <item h="1" m="1" x="879"/>
        <item h="1" m="1" x="880"/>
        <item h="1" m="1" x="624"/>
        <item h="1" m="1" x="881"/>
        <item h="1" m="1" x="544"/>
        <item h="1" x="273"/>
        <item h="1" x="279"/>
        <item h="1" m="1" x="738"/>
        <item h="1" m="1" x="741"/>
        <item h="1" x="292"/>
        <item h="1" x="291"/>
        <item h="1" m="1" x="882"/>
        <item h="1" m="1" x="883"/>
        <item h="1" m="1" x="569"/>
        <item h="1" m="1" x="884"/>
        <item h="1" m="1" x="570"/>
        <item h="1" x="325"/>
        <item h="1" x="333"/>
        <item h="1" m="1" x="574"/>
        <item h="1" m="1" x="577"/>
        <item h="1" x="199"/>
        <item h="1" m="1" x="593"/>
        <item h="1" m="1" x="594"/>
        <item h="1" m="1" x="611"/>
        <item h="1" x="233"/>
        <item h="1" m="1" x="618"/>
        <item h="1" m="1" x="885"/>
        <item h="1" m="1" x="886"/>
        <item h="1" m="1" x="887"/>
        <item h="1" m="1" x="888"/>
        <item h="1" m="1" x="889"/>
        <item h="1" x="237"/>
        <item h="1" m="1" x="890"/>
        <item h="1" m="1" x="630"/>
        <item h="1" m="1" x="891"/>
        <item h="1" m="1" x="892"/>
        <item h="1" m="1" x="893"/>
        <item h="1" x="255"/>
        <item h="1" m="1" x="655"/>
        <item h="1" m="1" x="737"/>
        <item h="1" m="1" x="752"/>
        <item h="1" m="1" x="753"/>
        <item h="1" x="271"/>
        <item h="1" m="1" x="740"/>
        <item h="1" m="1" x="742"/>
        <item h="1" m="1" x="743"/>
        <item h="1" x="304"/>
        <item h="1" x="302"/>
        <item h="1" m="1" x="665"/>
        <item h="1" m="1" x="895"/>
        <item h="1" m="1" x="896"/>
        <item h="1" m="1" x="748"/>
        <item h="1" m="1" x="758"/>
        <item h="1" m="1" x="669"/>
        <item h="1" m="1" x="670"/>
        <item h="1" x="190"/>
        <item h="1" m="1" x="579"/>
        <item h="1" m="1" x="578"/>
        <item h="1" x="197"/>
        <item h="1" m="1" x="583"/>
        <item h="1" m="1" x="584"/>
        <item h="1" m="1" x="582"/>
        <item h="1" m="1" x="587"/>
        <item h="1" m="1" x="730"/>
        <item h="1" m="1" x="589"/>
        <item h="1" x="319"/>
        <item h="1" m="1" x="590"/>
        <item h="1" x="215"/>
        <item h="1" m="1" x="731"/>
        <item h="1" m="1" x="732"/>
        <item h="1" m="1" x="591"/>
        <item h="1" m="1" x="592"/>
        <item h="1" m="1" x="602"/>
        <item h="1" m="1" x="603"/>
        <item h="1" x="232"/>
        <item h="1" m="1" x="609"/>
        <item h="1" m="1" x="604"/>
        <item h="1" m="1" x="605"/>
        <item h="1" m="1" x="606"/>
        <item h="1" m="1" x="607"/>
        <item h="1" m="1" x="608"/>
        <item h="1" x="220"/>
        <item h="1" x="236"/>
        <item h="1" x="219"/>
        <item h="1" x="238"/>
        <item h="1" m="1" x="622"/>
        <item h="1" m="1" x="625"/>
        <item h="1" m="1" x="626"/>
        <item h="1" m="1" x="628"/>
        <item h="1" m="1" x="629"/>
        <item h="1" m="1" x="619"/>
        <item h="1" x="335"/>
        <item h="1" x="247"/>
        <item h="1" m="1" x="635"/>
        <item h="1" m="1" x="637"/>
        <item h="1" m="1" x="638"/>
        <item h="1" m="1" x="641"/>
        <item h="1" m="1" x="642"/>
        <item h="1" m="1" x="643"/>
        <item h="1" m="1" x="644"/>
        <item h="1" m="1" x="645"/>
        <item h="1" m="1" x="651"/>
        <item h="1" m="1" x="652"/>
        <item h="1" m="1" x="653"/>
        <item h="1" m="1" x="654"/>
        <item h="1" m="1" x="648"/>
        <item h="1" m="1" x="649"/>
        <item h="1" m="1" x="650"/>
        <item h="1" m="1" x="657"/>
        <item h="1" m="1" x="735"/>
        <item h="1" m="1" x="659"/>
        <item h="1" m="1" x="658"/>
        <item h="1" m="1" x="736"/>
        <item h="1" x="274"/>
        <item h="1" x="272"/>
        <item h="1" x="281"/>
        <item h="1" x="282"/>
        <item h="1" m="1" x="739"/>
        <item h="1" x="295"/>
        <item h="1" x="289"/>
        <item h="1" x="293"/>
        <item h="1" m="1" x="662"/>
        <item h="1" x="288"/>
        <item h="1" m="1" x="664"/>
        <item h="1" x="305"/>
        <item h="1" x="313"/>
        <item h="1" m="1" x="746"/>
        <item h="1" m="1" x="747"/>
        <item h="1" x="339"/>
        <item h="1" m="1" x="749"/>
        <item h="1" x="341"/>
        <item h="1" m="1" x="750"/>
        <item h="1" m="1" x="751"/>
        <item h="1" m="1" x="754"/>
        <item h="1" m="1" x="755"/>
        <item h="1" m="1" x="756"/>
        <item h="1" x="89"/>
        <item h="1" x="326"/>
        <item h="1" m="1" x="575"/>
        <item h="1" m="1" x="585"/>
        <item h="1" m="1" x="595"/>
        <item h="1" m="1" x="596"/>
        <item h="1" m="1" x="597"/>
        <item h="1" m="1" x="598"/>
        <item h="1" m="1" x="599"/>
        <item h="1" m="1" x="600"/>
        <item h="1" x="230"/>
        <item h="1" m="1" x="614"/>
        <item h="1" m="1" x="615"/>
        <item h="1" m="1" x="616"/>
        <item h="1" m="1" x="617"/>
        <item h="1" m="1" x="620"/>
        <item h="1" m="1" x="623"/>
        <item h="1" x="245"/>
        <item h="1" m="1" x="631"/>
        <item h="1" m="1" x="632"/>
        <item h="1" m="1" x="633"/>
        <item h="1" m="1" x="634"/>
        <item h="1" m="1" x="646"/>
        <item h="1" m="1" x="647"/>
        <item h="1" x="254"/>
        <item h="1" m="1" x="656"/>
        <item h="1" x="267"/>
        <item h="1" x="268"/>
        <item h="1" x="276"/>
        <item h="1" x="275"/>
        <item h="1" x="287"/>
        <item h="1" m="1" x="663"/>
        <item h="1" x="321"/>
        <item h="1" m="1" x="668"/>
        <item h="1" m="1" x="672"/>
        <item h="1" m="1" x="674"/>
        <item h="1" m="1" x="675"/>
        <item h="1" x="192"/>
        <item h="1" x="221"/>
        <item h="1" x="213"/>
        <item h="1" m="1" x="676"/>
        <item h="1" m="1" x="677"/>
        <item h="1" m="1" x="678"/>
        <item h="1" m="1" x="681"/>
        <item h="1" x="316"/>
        <item h="1" x="324"/>
        <item h="1" m="1" x="683"/>
        <item h="1" m="1" x="685"/>
        <item h="1" m="1" x="687"/>
        <item h="1" m="1" x="688"/>
        <item h="1" m="1" x="689"/>
        <item h="1" m="1" x="693"/>
        <item h="1" m="1" x="695"/>
        <item h="1" m="1" x="696"/>
        <item h="1" m="1" x="697"/>
        <item h="1" m="1" x="698"/>
        <item h="1" m="1" x="700"/>
        <item h="1" m="1" x="702"/>
        <item h="1" m="1" x="704"/>
        <item h="1" x="210"/>
        <item h="1" m="1" x="706"/>
        <item h="1" x="266"/>
        <item h="1" m="1" x="707"/>
        <item h="1" m="1" x="709"/>
        <item h="1" m="1" x="710"/>
        <item h="1" m="1" x="711"/>
        <item h="1" m="1" x="713"/>
        <item h="1" x="300"/>
        <item h="1" x="298"/>
        <item h="1" x="297"/>
        <item h="1" x="299"/>
        <item h="1" x="314"/>
        <item h="1" x="328"/>
        <item h="1" x="191"/>
        <item h="1" x="194"/>
        <item h="1" x="195"/>
        <item h="1" x="198"/>
        <item h="1" x="203"/>
        <item h="1" x="204"/>
        <item h="1" x="205"/>
        <item h="1" x="217"/>
        <item h="1" x="218"/>
        <item h="1" x="224"/>
        <item h="1" x="227"/>
        <item h="1" x="228"/>
        <item h="1" x="229"/>
        <item h="1" x="240"/>
        <item h="1" x="244"/>
        <item h="1" x="251"/>
        <item h="1" x="258"/>
        <item h="1" x="262"/>
        <item h="1" x="263"/>
        <item h="1" x="264"/>
        <item h="1" x="270"/>
        <item h="1" x="283"/>
        <item h="1" x="284"/>
        <item h="1" x="285"/>
        <item h="1" x="294"/>
        <item h="1" x="303"/>
        <item h="1" x="306"/>
        <item h="1" x="309"/>
        <item h="1" x="310"/>
        <item h="1" x="311"/>
        <item h="1" x="312"/>
        <item h="1" x="315"/>
        <item h="1" x="323"/>
        <item h="1" x="327"/>
        <item h="1" x="330"/>
        <item h="1" x="331"/>
        <item h="1" x="347"/>
        <item h="1" x="348"/>
        <item h="1" x="349"/>
        <item h="1" x="351"/>
        <item h="1" x="355"/>
        <item h="1" x="356"/>
        <item h="1" x="357"/>
        <item h="1" x="358"/>
        <item h="1" x="360"/>
        <item h="1" x="361"/>
        <item h="1" x="362"/>
        <item h="1" x="363"/>
        <item h="1" x="364"/>
        <item h="1" x="365"/>
        <item h="1" x="366"/>
        <item h="1" x="367"/>
        <item h="1" x="369"/>
        <item h="1" x="372"/>
        <item h="1" x="374"/>
        <item h="1" x="375"/>
        <item h="1" x="377"/>
        <item h="1" x="378"/>
        <item h="1" x="379"/>
        <item h="1" x="380"/>
        <item h="1" x="381"/>
        <item h="1" x="382"/>
        <item h="1" x="384"/>
        <item h="1" x="385"/>
        <item h="1" x="386"/>
        <item h="1" x="388"/>
        <item h="1" x="391"/>
        <item h="1" x="392"/>
        <item h="1" x="393"/>
        <item h="1" x="394"/>
        <item h="1" x="395"/>
        <item h="1" x="396"/>
        <item h="1" x="397"/>
        <item h="1" x="398"/>
        <item h="1" x="399"/>
        <item h="1" x="400"/>
        <item h="1" x="401"/>
        <item h="1" x="402"/>
        <item h="1" x="403"/>
        <item h="1" x="404"/>
        <item h="1" x="405"/>
        <item h="1" x="406"/>
        <item h="1" x="407"/>
        <item h="1" x="408"/>
        <item h="1" x="409"/>
        <item h="1" x="413"/>
        <item h="1" x="414"/>
        <item h="1" x="417"/>
        <item h="1" x="418"/>
        <item h="1" x="419"/>
        <item h="1" x="420"/>
        <item h="1" x="421"/>
        <item h="1" x="422"/>
        <item h="1" x="423"/>
        <item h="1" x="425"/>
        <item h="1" x="426"/>
        <item h="1" x="427"/>
        <item h="1" x="428"/>
        <item h="1" x="429"/>
        <item h="1" x="430"/>
        <item h="1" x="431"/>
        <item h="1" x="432"/>
        <item h="1" x="433"/>
        <item h="1" x="434"/>
        <item h="1" x="435"/>
        <item h="1" x="437"/>
        <item h="1" x="438"/>
        <item h="1" x="440"/>
        <item h="1" x="441"/>
        <item h="1" x="443"/>
        <item h="1" x="445"/>
        <item h="1" x="44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 numFmtId="44"/>
  </dataFields>
  <formats count="108">
    <format dxfId="2295">
      <pivotArea outline="0" collapsedLevelsAreSubtotals="1" fieldPosition="0"/>
    </format>
    <format dxfId="2294">
      <pivotArea type="all" dataOnly="0" outline="0" fieldPosition="0"/>
    </format>
    <format dxfId="2293">
      <pivotArea outline="0" collapsedLevelsAreSubtotals="1" fieldPosition="0"/>
    </format>
    <format dxfId="2292">
      <pivotArea dataOnly="0" labelOnly="1" grandRow="1" outline="0" fieldPosition="0"/>
    </format>
    <format dxfId="2291">
      <pivotArea dataOnly="0" labelOnly="1" outline="0" axis="axisValues" fieldPosition="0"/>
    </format>
    <format dxfId="2290">
      <pivotArea type="all" dataOnly="0" outline="0" fieldPosition="0"/>
    </format>
    <format dxfId="2289">
      <pivotArea outline="0" collapsedLevelsAreSubtotals="1" fieldPosition="0"/>
    </format>
    <format dxfId="2288">
      <pivotArea dataOnly="0" labelOnly="1" grandRow="1" outline="0" fieldPosition="0"/>
    </format>
    <format dxfId="2287">
      <pivotArea dataOnly="0" labelOnly="1" outline="0" axis="axisValues" fieldPosition="0"/>
    </format>
    <format dxfId="2286">
      <pivotArea outline="0" collapsedLevelsAreSubtotals="1" fieldPosition="0"/>
    </format>
    <format dxfId="2285">
      <pivotArea dataOnly="0" labelOnly="1" outline="0" axis="axisValues" fieldPosition="0"/>
    </format>
    <format dxfId="2284">
      <pivotArea type="all" dataOnly="0" outline="0" fieldPosition="0"/>
    </format>
    <format dxfId="2283">
      <pivotArea outline="0" collapsedLevelsAreSubtotals="1" fieldPosition="0"/>
    </format>
    <format dxfId="2282">
      <pivotArea dataOnly="0" labelOnly="1" grandRow="1" outline="0" fieldPosition="0"/>
    </format>
    <format dxfId="2281">
      <pivotArea dataOnly="0" labelOnly="1" outline="0" axis="axisValues" fieldPosition="0"/>
    </format>
    <format dxfId="2280">
      <pivotArea type="all" dataOnly="0" outline="0" fieldPosition="0"/>
    </format>
    <format dxfId="2279">
      <pivotArea outline="0" collapsedLevelsAreSubtotals="1" fieldPosition="0"/>
    </format>
    <format dxfId="2278">
      <pivotArea dataOnly="0" labelOnly="1" grandRow="1" outline="0" fieldPosition="0"/>
    </format>
    <format dxfId="2277">
      <pivotArea dataOnly="0" labelOnly="1" outline="0" axis="axisValues" fieldPosition="0"/>
    </format>
    <format dxfId="2276">
      <pivotArea field="27" type="button" dataOnly="0" labelOnly="1" outline="0" axis="axisPage" fieldPosition="0"/>
    </format>
    <format dxfId="2275">
      <pivotArea type="all" dataOnly="0" outline="0" fieldPosition="0"/>
    </format>
    <format dxfId="2274">
      <pivotArea outline="0" collapsedLevelsAreSubtotals="1" fieldPosition="0"/>
    </format>
    <format dxfId="2273">
      <pivotArea dataOnly="0" labelOnly="1" grandRow="1" outline="0" fieldPosition="0"/>
    </format>
    <format dxfId="2272">
      <pivotArea dataOnly="0" labelOnly="1" outline="0" axis="axisValues" fieldPosition="0"/>
    </format>
    <format dxfId="2271">
      <pivotArea type="all" dataOnly="0" outline="0" fieldPosition="0"/>
    </format>
    <format dxfId="2270">
      <pivotArea dataOnly="0" labelOnly="1" outline="0" axis="axisValues" fieldPosition="0"/>
    </format>
    <format dxfId="2269">
      <pivotArea outline="0" collapsedLevelsAreSubtotals="1" fieldPosition="0"/>
    </format>
    <format dxfId="2268">
      <pivotArea dataOnly="0" labelOnly="1" grandRow="1" outline="0" fieldPosition="0"/>
    </format>
    <format dxfId="2267">
      <pivotArea dataOnly="0" labelOnly="1" grandRow="1" outline="0" fieldPosition="0"/>
    </format>
    <format dxfId="2266">
      <pivotArea type="all" dataOnly="0" outline="0" fieldPosition="0"/>
    </format>
    <format dxfId="2265">
      <pivotArea outline="0" collapsedLevelsAreSubtotals="1" fieldPosition="0"/>
    </format>
    <format dxfId="2264">
      <pivotArea dataOnly="0" labelOnly="1" grandRow="1" outline="0" fieldPosition="0"/>
    </format>
    <format dxfId="2263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 dxfId="2262">
      <pivotArea dataOnly="0" labelOnly="1" fieldPosition="0">
        <references count="1">
          <reference field="6" count="0"/>
        </references>
      </pivotArea>
    </format>
    <format dxfId="2261">
      <pivotArea dataOnly="0" labelOnly="1" fieldPosition="0">
        <references count="1">
          <reference field="6" count="0"/>
        </references>
      </pivotArea>
    </format>
    <format dxfId="2260">
      <pivotArea dataOnly="0" labelOnly="1" fieldPosition="0">
        <references count="1">
          <reference field="6" count="6">
            <x v="0"/>
            <x v="2"/>
            <x v="3"/>
            <x v="4"/>
            <x v="5"/>
            <x v="6"/>
          </reference>
        </references>
      </pivotArea>
    </format>
    <format dxfId="2259">
      <pivotArea dataOnly="0" labelOnly="1" fieldPosition="0">
        <references count="1">
          <reference field="6" count="6">
            <x v="0"/>
            <x v="2"/>
            <x v="3"/>
            <x v="4"/>
            <x v="5"/>
            <x v="6"/>
          </reference>
        </references>
      </pivotArea>
    </format>
    <format dxfId="2258">
      <pivotArea dataOnly="0" labelOnly="1" fieldPosition="0">
        <references count="1">
          <reference field="6" count="6">
            <x v="1"/>
            <x v="2"/>
            <x v="3"/>
            <x v="4"/>
            <x v="5"/>
            <x v="6"/>
          </reference>
        </references>
      </pivotArea>
    </format>
    <format dxfId="2257">
      <pivotArea dataOnly="0" labelOnly="1" fieldPosition="0">
        <references count="1">
          <reference field="6" count="6">
            <x v="1"/>
            <x v="2"/>
            <x v="3"/>
            <x v="4"/>
            <x v="5"/>
            <x v="6"/>
          </reference>
        </references>
      </pivotArea>
    </format>
    <format dxfId="2256">
      <pivotArea dataOnly="0" labelOnly="1" fieldPosition="0">
        <references count="1">
          <reference field="6" count="5">
            <x v="1"/>
            <x v="2"/>
            <x v="3"/>
            <x v="4"/>
            <x v="6"/>
          </reference>
        </references>
      </pivotArea>
    </format>
    <format dxfId="2255">
      <pivotArea dataOnly="0" labelOnly="1" fieldPosition="0">
        <references count="1">
          <reference field="6" count="5">
            <x v="1"/>
            <x v="2"/>
            <x v="3"/>
            <x v="4"/>
            <x v="6"/>
          </reference>
        </references>
      </pivotArea>
    </format>
    <format dxfId="2254">
      <pivotArea dataOnly="0" labelOnly="1" fieldPosition="0">
        <references count="1">
          <reference field="6" count="4">
            <x v="0"/>
            <x v="1"/>
            <x v="2"/>
            <x v="6"/>
          </reference>
        </references>
      </pivotArea>
    </format>
    <format dxfId="2253">
      <pivotArea dataOnly="0" labelOnly="1" fieldPosition="0">
        <references count="1">
          <reference field="6" count="4">
            <x v="0"/>
            <x v="1"/>
            <x v="2"/>
            <x v="6"/>
          </reference>
        </references>
      </pivotArea>
    </format>
    <format dxfId="2252">
      <pivotArea field="27" type="button" dataOnly="0" labelOnly="1" outline="0" axis="axisPage" fieldPosition="0"/>
    </format>
    <format dxfId="2251">
      <pivotArea field="6" type="button" dataOnly="0" labelOnly="1" outline="0" axis="axisRow" fieldPosition="0"/>
    </format>
    <format dxfId="2250">
      <pivotArea dataOnly="0" labelOnly="1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2249">
      <pivotArea dataOnly="0" labelOnly="1" grandRow="1" outline="0" fieldPosition="0"/>
    </format>
    <format dxfId="2248">
      <pivotArea field="6" type="button" dataOnly="0" labelOnly="1" outline="0" axis="axisRow" fieldPosition="0"/>
    </format>
    <format dxfId="2247">
      <pivotArea dataOnly="0" labelOnly="1" outline="0" axis="axisValues" fieldPosition="0"/>
    </format>
    <format dxfId="2246">
      <pivotArea field="6" type="button" dataOnly="0" labelOnly="1" outline="0" axis="axisRow" fieldPosition="0"/>
    </format>
    <format dxfId="2245">
      <pivotArea dataOnly="0" labelOnly="1" outline="0" axis="axisValues" fieldPosition="0"/>
    </format>
    <format dxfId="2244">
      <pivotArea field="6" type="button" dataOnly="0" labelOnly="1" outline="0" axis="axisRow" fieldPosition="0"/>
    </format>
    <format dxfId="2243">
      <pivotArea dataOnly="0" labelOnly="1" outline="0" axis="axisValues" fieldPosition="0"/>
    </format>
    <format dxfId="2242">
      <pivotArea collapsedLevelsAreSubtotals="1" fieldPosition="0">
        <references count="1">
          <reference field="6" count="1">
            <x v="0"/>
          </reference>
        </references>
      </pivotArea>
    </format>
    <format dxfId="2241">
      <pivotArea dataOnly="0" labelOnly="1" fieldPosition="0">
        <references count="1">
          <reference field="6" count="1">
            <x v="0"/>
          </reference>
        </references>
      </pivotArea>
    </format>
    <format dxfId="2240">
      <pivotArea collapsedLevelsAreSubtotals="1" fieldPosition="0">
        <references count="1">
          <reference field="6" count="1">
            <x v="0"/>
          </reference>
        </references>
      </pivotArea>
    </format>
    <format dxfId="2239">
      <pivotArea dataOnly="0" labelOnly="1" fieldPosition="0">
        <references count="1">
          <reference field="6" count="1">
            <x v="0"/>
          </reference>
        </references>
      </pivotArea>
    </format>
    <format dxfId="2238">
      <pivotArea collapsedLevelsAreSubtotals="1" fieldPosition="0">
        <references count="1">
          <reference field="6" count="1">
            <x v="1"/>
          </reference>
        </references>
      </pivotArea>
    </format>
    <format dxfId="2237">
      <pivotArea dataOnly="0" labelOnly="1" fieldPosition="0">
        <references count="1">
          <reference field="6" count="1">
            <x v="1"/>
          </reference>
        </references>
      </pivotArea>
    </format>
    <format dxfId="2236">
      <pivotArea collapsedLevelsAreSubtotals="1" fieldPosition="0">
        <references count="1">
          <reference field="6" count="1">
            <x v="1"/>
          </reference>
        </references>
      </pivotArea>
    </format>
    <format dxfId="2235">
      <pivotArea dataOnly="0" labelOnly="1" fieldPosition="0">
        <references count="1">
          <reference field="6" count="1">
            <x v="1"/>
          </reference>
        </references>
      </pivotArea>
    </format>
    <format dxfId="2234">
      <pivotArea collapsedLevelsAreSubtotals="1" fieldPosition="0">
        <references count="1">
          <reference field="6" count="1">
            <x v="2"/>
          </reference>
        </references>
      </pivotArea>
    </format>
    <format dxfId="2233">
      <pivotArea dataOnly="0" labelOnly="1" fieldPosition="0">
        <references count="1">
          <reference field="6" count="1">
            <x v="2"/>
          </reference>
        </references>
      </pivotArea>
    </format>
    <format dxfId="2232">
      <pivotArea collapsedLevelsAreSubtotals="1" fieldPosition="0">
        <references count="1">
          <reference field="6" count="1">
            <x v="2"/>
          </reference>
        </references>
      </pivotArea>
    </format>
    <format dxfId="2231">
      <pivotArea dataOnly="0" labelOnly="1" fieldPosition="0">
        <references count="1">
          <reference field="6" count="1">
            <x v="2"/>
          </reference>
        </references>
      </pivotArea>
    </format>
    <format dxfId="2230">
      <pivotArea collapsedLevelsAreSubtotals="1" fieldPosition="0">
        <references count="1">
          <reference field="6" count="1">
            <x v="3"/>
          </reference>
        </references>
      </pivotArea>
    </format>
    <format dxfId="2229">
      <pivotArea dataOnly="0" labelOnly="1" fieldPosition="0">
        <references count="1">
          <reference field="6" count="1">
            <x v="3"/>
          </reference>
        </references>
      </pivotArea>
    </format>
    <format dxfId="2228">
      <pivotArea collapsedLevelsAreSubtotals="1" fieldPosition="0">
        <references count="1">
          <reference field="6" count="1">
            <x v="3"/>
          </reference>
        </references>
      </pivotArea>
    </format>
    <format dxfId="2227">
      <pivotArea dataOnly="0" labelOnly="1" fieldPosition="0">
        <references count="1">
          <reference field="6" count="1">
            <x v="3"/>
          </reference>
        </references>
      </pivotArea>
    </format>
    <format dxfId="2226">
      <pivotArea collapsedLevelsAreSubtotals="1" fieldPosition="0">
        <references count="1">
          <reference field="6" count="1">
            <x v="4"/>
          </reference>
        </references>
      </pivotArea>
    </format>
    <format dxfId="2225">
      <pivotArea dataOnly="0" labelOnly="1" fieldPosition="0">
        <references count="1">
          <reference field="6" count="1">
            <x v="4"/>
          </reference>
        </references>
      </pivotArea>
    </format>
    <format dxfId="2224">
      <pivotArea collapsedLevelsAreSubtotals="1" fieldPosition="0">
        <references count="1">
          <reference field="6" count="1">
            <x v="4"/>
          </reference>
        </references>
      </pivotArea>
    </format>
    <format dxfId="2223">
      <pivotArea dataOnly="0" labelOnly="1" fieldPosition="0">
        <references count="1">
          <reference field="6" count="1">
            <x v="4"/>
          </reference>
        </references>
      </pivotArea>
    </format>
    <format dxfId="2222">
      <pivotArea collapsedLevelsAreSubtotals="1" fieldPosition="0">
        <references count="1">
          <reference field="6" count="1">
            <x v="5"/>
          </reference>
        </references>
      </pivotArea>
    </format>
    <format dxfId="2221">
      <pivotArea dataOnly="0" labelOnly="1" fieldPosition="0">
        <references count="1">
          <reference field="6" count="1">
            <x v="5"/>
          </reference>
        </references>
      </pivotArea>
    </format>
    <format dxfId="2220">
      <pivotArea collapsedLevelsAreSubtotals="1" fieldPosition="0">
        <references count="1">
          <reference field="6" count="1">
            <x v="5"/>
          </reference>
        </references>
      </pivotArea>
    </format>
    <format dxfId="2219">
      <pivotArea dataOnly="0" labelOnly="1" fieldPosition="0">
        <references count="1">
          <reference field="6" count="1">
            <x v="5"/>
          </reference>
        </references>
      </pivotArea>
    </format>
    <format dxfId="2218">
      <pivotArea collapsedLevelsAreSubtotals="1" fieldPosition="0">
        <references count="1">
          <reference field="6" count="1">
            <x v="6"/>
          </reference>
        </references>
      </pivotArea>
    </format>
    <format dxfId="2217">
      <pivotArea dataOnly="0" labelOnly="1" fieldPosition="0">
        <references count="1">
          <reference field="6" count="1">
            <x v="6"/>
          </reference>
        </references>
      </pivotArea>
    </format>
    <format dxfId="2216">
      <pivotArea collapsedLevelsAreSubtotals="1" fieldPosition="0">
        <references count="1">
          <reference field="6" count="1">
            <x v="6"/>
          </reference>
        </references>
      </pivotArea>
    </format>
    <format dxfId="2215">
      <pivotArea dataOnly="0" labelOnly="1" fieldPosition="0">
        <references count="1">
          <reference field="6" count="1">
            <x v="6"/>
          </reference>
        </references>
      </pivotArea>
    </format>
    <format dxfId="2214">
      <pivotArea grandRow="1" outline="0" collapsedLevelsAreSubtotals="1" fieldPosition="0"/>
    </format>
    <format dxfId="2213">
      <pivotArea dataOnly="0" labelOnly="1" grandRow="1" outline="0" fieldPosition="0"/>
    </format>
    <format dxfId="2212">
      <pivotArea grandRow="1" outline="0" collapsedLevelsAreSubtotals="1" fieldPosition="0"/>
    </format>
    <format dxfId="2211">
      <pivotArea dataOnly="0" labelOnly="1" grandRow="1" outline="0" fieldPosition="0"/>
    </format>
    <format dxfId="2210">
      <pivotArea grandRow="1" outline="0" collapsedLevelsAreSubtotals="1" fieldPosition="0"/>
    </format>
    <format dxfId="2209">
      <pivotArea dataOnly="0" labelOnly="1" grandRow="1" outline="0" fieldPosition="0"/>
    </format>
    <format>
      <pivotArea type="all" dataOnly="0" outline="0" fieldPosition="0"/>
    </format>
    <format>
      <pivotArea dataOnly="0" labelOnly="1" grandRow="1" outline="0" fieldPosition="0"/>
    </format>
    <format>
      <pivotArea dataOnly="0" labelOnly="1" outline="0" axis="axisValues" fieldPosition="0"/>
    </format>
    <format dxfId="2208">
      <pivotArea dataOnly="0" labelOnly="1" outline="0" axis="axisValues" fieldPosition="0"/>
    </format>
    <format dxfId="2207">
      <pivotArea dataOnly="0" labelOnly="1" outline="0" axis="axisValues" fieldPosition="0"/>
    </format>
    <format dxfId="2206">
      <pivotArea dataOnly="0" labelOnly="1" outline="0" axis="axisValues" fieldPosition="0"/>
    </format>
    <format dxfId="2205">
      <pivotArea grandRow="1" outline="0" collapsedLevelsAreSubtotals="1" fieldPosition="0"/>
    </format>
    <format dxfId="2204">
      <pivotArea dataOnly="0" labelOnly="1" grandRow="1" outline="0" fieldPosition="0"/>
    </format>
    <format dxfId="2203">
      <pivotArea grandRow="1" outline="0" collapsedLevelsAreSubtotals="1" fieldPosition="0"/>
    </format>
    <format dxfId="2202">
      <pivotArea dataOnly="0" labelOnly="1" grandRow="1" outline="0" fieldPosition="0"/>
    </format>
    <format dxfId="2201">
      <pivotArea grandRow="1" outline="0" collapsedLevelsAreSubtotals="1" fieldPosition="0"/>
    </format>
    <format dxfId="2200">
      <pivotArea dataOnly="0" labelOnly="1" grandRow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6" type="button" dataOnly="0" labelOnly="1" outline="0" axis="axisRow" fieldPosition="0"/>
    </format>
    <format>
      <pivotArea dataOnly="0" labelOnly="1" fieldPosition="0">
        <references count="1">
          <reference field="6" count="0"/>
        </references>
      </pivotArea>
    </format>
    <format>
      <pivotArea dataOnly="0" labelOnly="1" grandRow="1" outline="0" fieldPosition="0"/>
    </format>
    <format>
      <pivotArea dataOnly="0" labelOnly="1" outline="0" axis="axisValues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Ofensores_Campo_OBT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42:J67" firstHeaderRow="1" firstDataRow="2" firstDataCol="1"/>
  <pivotFields count="45">
    <pivotField showAll="0"/>
    <pivotField showAll="0"/>
    <pivotField showAll="0"/>
    <pivotField numFmtId="164" showAll="0">
      <items count="516">
        <item x="514"/>
        <item x="0"/>
        <item x="1"/>
        <item x="2"/>
        <item x="3"/>
        <item x="4"/>
        <item x="5"/>
        <item x="8"/>
        <item x="9"/>
        <item x="6"/>
        <item x="21"/>
        <item x="12"/>
        <item x="10"/>
        <item x="7"/>
        <item x="15"/>
        <item x="16"/>
        <item x="13"/>
        <item x="37"/>
        <item x="14"/>
        <item x="17"/>
        <item x="11"/>
        <item x="32"/>
        <item x="26"/>
        <item x="27"/>
        <item x="36"/>
        <item x="33"/>
        <item x="18"/>
        <item x="20"/>
        <item x="19"/>
        <item x="47"/>
        <item x="38"/>
        <item x="48"/>
        <item x="45"/>
        <item x="28"/>
        <item x="41"/>
        <item x="46"/>
        <item x="25"/>
        <item x="34"/>
        <item x="22"/>
        <item x="23"/>
        <item x="24"/>
        <item x="39"/>
        <item x="43"/>
        <item x="64"/>
        <item x="77"/>
        <item x="79"/>
        <item x="40"/>
        <item x="42"/>
        <item x="84"/>
        <item x="83"/>
        <item x="35"/>
        <item x="91"/>
        <item x="52"/>
        <item x="73"/>
        <item x="76"/>
        <item x="74"/>
        <item x="78"/>
        <item x="87"/>
        <item x="51"/>
        <item x="54"/>
        <item x="57"/>
        <item x="58"/>
        <item x="90"/>
        <item x="55"/>
        <item x="59"/>
        <item x="60"/>
        <item x="61"/>
        <item x="82"/>
        <item x="100"/>
        <item x="63"/>
        <item x="67"/>
        <item x="68"/>
        <item x="69"/>
        <item x="81"/>
        <item x="88"/>
        <item x="97"/>
        <item x="75"/>
        <item x="96"/>
        <item x="102"/>
        <item x="49"/>
        <item x="53"/>
        <item x="66"/>
        <item x="71"/>
        <item x="80"/>
        <item x="85"/>
        <item x="92"/>
        <item x="93"/>
        <item x="95"/>
        <item x="98"/>
        <item x="99"/>
        <item x="50"/>
        <item x="62"/>
        <item x="72"/>
        <item x="70"/>
        <item x="86"/>
        <item x="107"/>
        <item x="101"/>
        <item x="56"/>
        <item x="181"/>
        <item x="180"/>
        <item x="189"/>
        <item x="89"/>
        <item x="206"/>
        <item x="103"/>
        <item x="105"/>
        <item x="104"/>
        <item x="109"/>
        <item x="108"/>
        <item x="110"/>
        <item x="120"/>
        <item x="121"/>
        <item x="122"/>
        <item x="129"/>
        <item x="127"/>
        <item x="128"/>
        <item x="147"/>
        <item x="167"/>
        <item x="191"/>
        <item x="204"/>
        <item x="205"/>
        <item x="208"/>
        <item x="44"/>
        <item x="65"/>
        <item x="115"/>
        <item x="126"/>
        <item x="112"/>
        <item x="175"/>
        <item x="196"/>
        <item x="195"/>
        <item x="207"/>
        <item x="111"/>
        <item x="162"/>
        <item x="163"/>
        <item x="164"/>
        <item x="165"/>
        <item x="198"/>
        <item x="209"/>
        <item x="193"/>
        <item x="113"/>
        <item x="114"/>
        <item x="130"/>
        <item x="131"/>
        <item x="148"/>
        <item x="160"/>
        <item x="143"/>
        <item x="144"/>
        <item x="159"/>
        <item x="125"/>
        <item x="166"/>
        <item x="161"/>
        <item x="171"/>
        <item x="170"/>
        <item x="173"/>
        <item x="182"/>
        <item x="184"/>
        <item x="185"/>
        <item x="186"/>
        <item x="187"/>
        <item x="123"/>
        <item x="137"/>
        <item x="117"/>
        <item x="106"/>
        <item x="116"/>
        <item x="119"/>
        <item x="124"/>
        <item x="145"/>
        <item x="146"/>
        <item x="158"/>
        <item x="157"/>
        <item x="138"/>
        <item x="139"/>
        <item x="140"/>
        <item x="141"/>
        <item x="142"/>
        <item x="133"/>
        <item x="134"/>
        <item x="135"/>
        <item x="136"/>
        <item x="132"/>
        <item x="151"/>
        <item x="149"/>
        <item x="150"/>
        <item x="169"/>
        <item x="168"/>
        <item x="172"/>
        <item x="174"/>
        <item x="178"/>
        <item x="179"/>
        <item x="188"/>
        <item x="194"/>
        <item x="201"/>
        <item x="202"/>
        <item x="199"/>
        <item x="200"/>
        <item x="197"/>
        <item x="210"/>
        <item x="211"/>
        <item x="190"/>
        <item x="226"/>
        <item x="233"/>
        <item x="118"/>
        <item x="250"/>
        <item x="260"/>
        <item x="152"/>
        <item x="153"/>
        <item x="154"/>
        <item x="155"/>
        <item x="156"/>
        <item x="183"/>
        <item x="374"/>
        <item x="390"/>
        <item x="388"/>
        <item x="278"/>
        <item x="284"/>
        <item x="286"/>
        <item x="290"/>
        <item x="291"/>
        <item x="263"/>
        <item x="274"/>
        <item x="315"/>
        <item x="316"/>
        <item x="363"/>
        <item x="372"/>
        <item x="176"/>
        <item x="177"/>
        <item x="213"/>
        <item x="385"/>
        <item x="243"/>
        <item x="399"/>
        <item x="400"/>
        <item x="293"/>
        <item x="294"/>
        <item x="299"/>
        <item x="304"/>
        <item x="311"/>
        <item x="317"/>
        <item x="318"/>
        <item x="331"/>
        <item x="330"/>
        <item x="192"/>
        <item x="380"/>
        <item x="386"/>
        <item x="393"/>
        <item x="401"/>
        <item x="398"/>
        <item x="222"/>
        <item x="262"/>
        <item x="268"/>
        <item x="289"/>
        <item x="303"/>
        <item x="309"/>
        <item x="345"/>
        <item x="212"/>
        <item x="220"/>
        <item x="223"/>
        <item x="373"/>
        <item x="241"/>
        <item x="242"/>
        <item x="261"/>
        <item x="247"/>
        <item x="264"/>
        <item x="265"/>
        <item x="267"/>
        <item x="246"/>
        <item x="270"/>
        <item x="283"/>
        <item x="287"/>
        <item x="302"/>
        <item x="307"/>
        <item x="312"/>
        <item x="310"/>
        <item x="319"/>
        <item x="320"/>
        <item x="321"/>
        <item x="335"/>
        <item x="328"/>
        <item x="329"/>
        <item x="332"/>
        <item x="327"/>
        <item x="349"/>
        <item x="366"/>
        <item x="371"/>
        <item x="381"/>
        <item x="387"/>
        <item x="391"/>
        <item x="392"/>
        <item x="394"/>
        <item x="395"/>
        <item x="29"/>
        <item x="30"/>
        <item x="31"/>
        <item x="94"/>
        <item x="383"/>
        <item x="259"/>
        <item x="266"/>
        <item x="276"/>
        <item x="281"/>
        <item x="288"/>
        <item x="301"/>
        <item x="305"/>
        <item x="314"/>
        <item x="313"/>
        <item x="326"/>
        <item x="353"/>
        <item x="348"/>
        <item x="375"/>
        <item x="376"/>
        <item x="378"/>
        <item x="379"/>
        <item x="203"/>
        <item x="402"/>
        <item x="215"/>
        <item x="219"/>
        <item x="248"/>
        <item x="249"/>
        <item x="239"/>
        <item x="240"/>
        <item x="238"/>
        <item x="251"/>
        <item x="252"/>
        <item x="369"/>
        <item x="370"/>
        <item x="282"/>
        <item x="295"/>
        <item x="236"/>
        <item x="306"/>
        <item x="300"/>
        <item x="342"/>
        <item x="340"/>
        <item x="339"/>
        <item x="341"/>
        <item x="367"/>
        <item x="384"/>
        <item x="389"/>
        <item x="397"/>
        <item x="214"/>
        <item x="216"/>
        <item x="217"/>
        <item x="218"/>
        <item x="221"/>
        <item x="224"/>
        <item x="225"/>
        <item x="227"/>
        <item x="228"/>
        <item x="229"/>
        <item x="230"/>
        <item x="231"/>
        <item x="232"/>
        <item x="234"/>
        <item x="235"/>
        <item x="237"/>
        <item x="244"/>
        <item x="245"/>
        <item x="253"/>
        <item x="254"/>
        <item x="255"/>
        <item x="256"/>
        <item x="257"/>
        <item x="258"/>
        <item x="269"/>
        <item x="271"/>
        <item x="272"/>
        <item x="273"/>
        <item x="275"/>
        <item x="277"/>
        <item x="279"/>
        <item x="280"/>
        <item x="285"/>
        <item x="292"/>
        <item x="296"/>
        <item x="297"/>
        <item x="298"/>
        <item x="308"/>
        <item x="322"/>
        <item x="323"/>
        <item x="324"/>
        <item x="325"/>
        <item x="333"/>
        <item x="334"/>
        <item x="336"/>
        <item x="337"/>
        <item x="338"/>
        <item x="343"/>
        <item x="344"/>
        <item x="346"/>
        <item x="347"/>
        <item x="350"/>
        <item x="351"/>
        <item x="352"/>
        <item x="354"/>
        <item x="355"/>
        <item x="356"/>
        <item x="357"/>
        <item x="358"/>
        <item x="359"/>
        <item x="360"/>
        <item x="361"/>
        <item x="362"/>
        <item x="364"/>
        <item x="365"/>
        <item x="368"/>
        <item x="377"/>
        <item x="382"/>
        <item x="396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 sortType="ascending">
      <items count="11">
        <item x="0"/>
        <item h="1" m="1" x="9"/>
        <item x="3"/>
        <item x="4"/>
        <item x="5"/>
        <item x="2"/>
        <item x="1"/>
        <item x="6"/>
        <item x="7"/>
        <item h="1" x="8"/>
        <item t="default"/>
      </items>
    </pivotField>
    <pivotField axis="axisRow" showAll="0" sortType="descending">
      <items count="49">
        <item m="1" x="28"/>
        <item m="1" x="45"/>
        <item x="22"/>
        <item m="1" x="27"/>
        <item x="1"/>
        <item m="1" x="24"/>
        <item m="1" x="30"/>
        <item x="2"/>
        <item x="23"/>
        <item x="18"/>
        <item m="1" x="44"/>
        <item m="1" x="29"/>
        <item m="1" x="43"/>
        <item m="1" x="42"/>
        <item x="8"/>
        <item x="16"/>
        <item m="1" x="47"/>
        <item m="1" x="46"/>
        <item x="6"/>
        <item m="1" x="33"/>
        <item x="4"/>
        <item x="19"/>
        <item m="1" x="40"/>
        <item x="5"/>
        <item x="17"/>
        <item x="7"/>
        <item x="14"/>
        <item m="1" x="36"/>
        <item x="9"/>
        <item m="1" x="39"/>
        <item x="20"/>
        <item x="10"/>
        <item m="1" x="35"/>
        <item m="1" x="38"/>
        <item x="13"/>
        <item m="1" x="31"/>
        <item m="1" x="25"/>
        <item m="1" x="41"/>
        <item m="1" x="34"/>
        <item m="1" x="32"/>
        <item m="1" x="37"/>
        <item x="3"/>
        <item x="0"/>
        <item x="15"/>
        <item x="11"/>
        <item m="1" x="26"/>
        <item x="21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7"/>
  </rowFields>
  <rowItems count="24">
    <i>
      <x v="4"/>
    </i>
    <i>
      <x v="24"/>
    </i>
    <i>
      <x v="7"/>
    </i>
    <i>
      <x v="23"/>
    </i>
    <i>
      <x v="25"/>
    </i>
    <i>
      <x v="31"/>
    </i>
    <i>
      <x v="20"/>
    </i>
    <i>
      <x v="46"/>
    </i>
    <i>
      <x v="43"/>
    </i>
    <i>
      <x v="28"/>
    </i>
    <i>
      <x v="2"/>
    </i>
    <i>
      <x v="42"/>
    </i>
    <i>
      <x v="15"/>
    </i>
    <i>
      <x v="9"/>
    </i>
    <i>
      <x v="34"/>
    </i>
    <i>
      <x v="44"/>
    </i>
    <i>
      <x v="14"/>
    </i>
    <i>
      <x v="18"/>
    </i>
    <i>
      <x v="26"/>
    </i>
    <i>
      <x v="47"/>
    </i>
    <i>
      <x v="30"/>
    </i>
    <i>
      <x v="21"/>
    </i>
    <i>
      <x v="41"/>
    </i>
    <i t="grand">
      <x/>
    </i>
  </rowItems>
  <colFields count="1">
    <field x="36"/>
  </colFields>
  <colItems count="9">
    <i>
      <x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Contagem de OBTS" fld="36" subtotal="count" baseField="0" baseItem="0"/>
  </dataFields>
  <formats count="216">
    <format dxfId="2488">
      <pivotArea outline="0" collapsedLevelsAreSubtotals="1" fieldPosition="0"/>
    </format>
    <format dxfId="2487">
      <pivotArea dataOnly="0" labelOnly="1" fieldPosition="0">
        <references count="1">
          <reference field="36" count="0"/>
        </references>
      </pivotArea>
    </format>
    <format dxfId="2486">
      <pivotArea dataOnly="0" labelOnly="1" grandCol="1" outline="0" fieldPosition="0"/>
    </format>
    <format dxfId="2485">
      <pivotArea type="all" dataOnly="0" outline="0" fieldPosition="0"/>
    </format>
    <format dxfId="2484">
      <pivotArea outline="0" collapsedLevelsAreSubtotals="1" fieldPosition="0"/>
    </format>
    <format dxfId="2483">
      <pivotArea type="origin" dataOnly="0" labelOnly="1" outline="0" fieldPosition="0"/>
    </format>
    <format dxfId="2482">
      <pivotArea field="36" type="button" dataOnly="0" labelOnly="1" outline="0" axis="axisCol" fieldPosition="0"/>
    </format>
    <format dxfId="2481">
      <pivotArea type="topRight" dataOnly="0" labelOnly="1" outline="0" fieldPosition="0"/>
    </format>
    <format dxfId="2480">
      <pivotArea field="37" type="button" dataOnly="0" labelOnly="1" outline="0" axis="axisRow" fieldPosition="0"/>
    </format>
    <format dxfId="2479">
      <pivotArea dataOnly="0" labelOnly="1" grandRow="1" outline="0" fieldPosition="0"/>
    </format>
    <format dxfId="2478">
      <pivotArea dataOnly="0" labelOnly="1" fieldPosition="0">
        <references count="1">
          <reference field="36" count="0"/>
        </references>
      </pivotArea>
    </format>
    <format dxfId="2477">
      <pivotArea dataOnly="0" labelOnly="1" grandCol="1" outline="0" fieldPosition="0"/>
    </format>
    <format>
      <pivotArea type="all" dataOnly="0" outline="0" fieldPosition="0"/>
    </format>
    <format dxfId="2476">
      <pivotArea grandRow="1" outline="0" collapsedLevelsAreSubtotals="1" fieldPosition="0"/>
    </format>
    <format>
      <pivotArea type="all" dataOnly="0" outline="0" fieldPosition="0"/>
    </format>
    <format dxfId="2475">
      <pivotArea outline="0" collapsedLevelsAreSubtotals="1" fieldPosition="0">
        <references count="1">
          <reference field="36" count="0" selected="0"/>
        </references>
      </pivotArea>
    </format>
    <format dxfId="2474">
      <pivotArea type="all" dataOnly="0" outline="0" fieldPosition="0"/>
    </format>
    <format dxfId="2473">
      <pivotArea outline="0" collapsedLevelsAreSubtotals="1" fieldPosition="0"/>
    </format>
    <format dxfId="2472">
      <pivotArea field="36" type="button" dataOnly="0" labelOnly="1" outline="0" axis="axisCol" fieldPosition="0"/>
    </format>
    <format dxfId="2471">
      <pivotArea type="topRight" dataOnly="0" labelOnly="1" outline="0" fieldPosition="0"/>
    </format>
    <format dxfId="2470">
      <pivotArea dataOnly="0" labelOnly="1" fieldPosition="0">
        <references count="1">
          <reference field="36" count="0"/>
        </references>
      </pivotArea>
    </format>
    <format dxfId="2469">
      <pivotArea dataOnly="0" labelOnly="1" grandCol="1" outline="0" fieldPosition="0"/>
    </format>
    <format dxfId="2468">
      <pivotArea type="origin" dataOnly="0" labelOnly="1" outline="0" fieldPosition="0"/>
    </format>
    <format dxfId="2467">
      <pivotArea field="37" type="button" dataOnly="0" labelOnly="1" outline="0" axis="axisRow" fieldPosition="0"/>
    </format>
    <format dxfId="2466">
      <pivotArea dataOnly="0" labelOnly="1" fieldPosition="0">
        <references count="1">
          <reference field="37" count="19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2465">
      <pivotArea dataOnly="0" labelOnly="1" grandRow="1" outline="0" fieldPosition="0"/>
    </format>
    <format dxfId="2464">
      <pivotArea type="all" dataOnly="0" outline="0" fieldPosition="0"/>
    </format>
    <format dxfId="2463">
      <pivotArea outline="0" collapsedLevelsAreSubtotals="1" fieldPosition="0"/>
    </format>
    <format dxfId="2462">
      <pivotArea type="origin" dataOnly="0" labelOnly="1" outline="0" fieldPosition="0"/>
    </format>
    <format dxfId="2461">
      <pivotArea field="36" type="button" dataOnly="0" labelOnly="1" outline="0" axis="axisCol" fieldPosition="0"/>
    </format>
    <format dxfId="2460">
      <pivotArea type="topRight" dataOnly="0" labelOnly="1" outline="0" fieldPosition="0"/>
    </format>
    <format dxfId="2459">
      <pivotArea field="37" type="button" dataOnly="0" labelOnly="1" outline="0" axis="axisRow" fieldPosition="0"/>
    </format>
    <format dxfId="2458"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 dxfId="2457">
      <pivotArea dataOnly="0" labelOnly="1" grandRow="1" outline="0" fieldPosition="0"/>
    </format>
    <format dxfId="2456">
      <pivotArea dataOnly="0" labelOnly="1" fieldPosition="0">
        <references count="1">
          <reference field="36" count="0"/>
        </references>
      </pivotArea>
    </format>
    <format dxfId="2455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 dxfId="2454">
      <pivotArea dataOnly="0" labelOnly="1" fieldPosition="0">
        <references count="1">
          <reference field="37" count="15">
            <x v="0"/>
            <x v="1"/>
            <x v="3"/>
            <x v="4"/>
            <x v="5"/>
            <x v="6"/>
            <x v="7"/>
            <x v="9"/>
            <x v="10"/>
            <x v="12"/>
            <x v="13"/>
            <x v="14"/>
            <x v="15"/>
            <x v="17"/>
            <x v="19"/>
          </reference>
        </references>
      </pivotArea>
    </format>
    <format dxfId="2453">
      <pivotArea dataOnly="0" labelOnly="1" fieldPosition="0">
        <references count="1">
          <reference field="37" count="21">
            <x v="0"/>
            <x v="3"/>
            <x v="4"/>
            <x v="5"/>
            <x v="6"/>
            <x v="7"/>
            <x v="11"/>
            <x v="14"/>
            <x v="15"/>
            <x v="18"/>
            <x v="19"/>
            <x v="20"/>
            <x v="21"/>
            <x v="22"/>
            <x v="23"/>
            <x v="24"/>
            <x v="25"/>
            <x v="26"/>
            <x v="28"/>
            <x v="30"/>
            <x v="31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37" count="18">
            <x v="0"/>
            <x v="3"/>
            <x v="4"/>
            <x v="5"/>
            <x v="6"/>
            <x v="7"/>
            <x v="11"/>
            <x v="14"/>
            <x v="15"/>
            <x v="18"/>
            <x v="19"/>
            <x v="21"/>
            <x v="22"/>
            <x v="23"/>
            <x v="24"/>
            <x v="25"/>
            <x v="26"/>
            <x v="28"/>
          </reference>
        </references>
      </pivotArea>
    </format>
    <format dxfId="2452">
      <pivotArea dataOnly="0" labelOnly="1" fieldPosition="0">
        <references count="1">
          <reference field="37" count="18">
            <x v="0"/>
            <x v="3"/>
            <x v="4"/>
            <x v="5"/>
            <x v="6"/>
            <x v="7"/>
            <x v="9"/>
            <x v="14"/>
            <x v="15"/>
            <x v="20"/>
            <x v="22"/>
            <x v="23"/>
            <x v="24"/>
            <x v="25"/>
            <x v="28"/>
            <x v="31"/>
            <x v="35"/>
            <x v="36"/>
          </reference>
        </references>
      </pivotArea>
    </format>
    <format dxfId="2451">
      <pivotArea dataOnly="0" labelOnly="1" fieldPosition="0">
        <references count="1">
          <reference field="37" count="20">
            <x v="0"/>
            <x v="3"/>
            <x v="4"/>
            <x v="5"/>
            <x v="6"/>
            <x v="7"/>
            <x v="9"/>
            <x v="14"/>
            <x v="15"/>
            <x v="20"/>
            <x v="23"/>
            <x v="24"/>
            <x v="25"/>
            <x v="26"/>
            <x v="27"/>
            <x v="28"/>
            <x v="31"/>
            <x v="32"/>
            <x v="35"/>
            <x v="36"/>
          </reference>
        </references>
      </pivotArea>
    </format>
    <format dxfId="2450">
      <pivotArea dataOnly="0" labelOnly="1" fieldPosition="0">
        <references count="1">
          <reference field="37" count="18">
            <x v="2"/>
            <x v="4"/>
            <x v="5"/>
            <x v="6"/>
            <x v="7"/>
            <x v="9"/>
            <x v="14"/>
            <x v="20"/>
            <x v="21"/>
            <x v="23"/>
            <x v="24"/>
            <x v="25"/>
            <x v="27"/>
            <x v="28"/>
            <x v="29"/>
            <x v="31"/>
            <x v="32"/>
            <x v="35"/>
          </reference>
        </references>
      </pivotArea>
    </format>
    <format dxfId="2449">
      <pivotArea dataOnly="0" labelOnly="1" fieldPosition="0">
        <references count="1">
          <reference field="37" count="20">
            <x v="2"/>
            <x v="4"/>
            <x v="5"/>
            <x v="6"/>
            <x v="7"/>
            <x v="9"/>
            <x v="14"/>
            <x v="15"/>
            <x v="20"/>
            <x v="21"/>
            <x v="23"/>
            <x v="24"/>
            <x v="25"/>
            <x v="26"/>
            <x v="27"/>
            <x v="28"/>
            <x v="31"/>
            <x v="34"/>
            <x v="35"/>
            <x v="40"/>
          </reference>
        </references>
      </pivotArea>
    </format>
    <format dxfId="2448">
      <pivotArea type="origin" dataOnly="0" labelOnly="1" outline="0" fieldPosition="0"/>
    </format>
    <format dxfId="2447">
      <pivotArea field="37" type="button" dataOnly="0" labelOnly="1" outline="0" axis="axisRow" fieldPosition="0"/>
    </format>
    <format dxfId="2446">
      <pivotArea dataOnly="0" labelOnly="1" fieldPosition="0">
        <references count="1">
          <reference field="37" count="22">
            <x v="2"/>
            <x v="4"/>
            <x v="5"/>
            <x v="6"/>
            <x v="7"/>
            <x v="9"/>
            <x v="14"/>
            <x v="15"/>
            <x v="19"/>
            <x v="20"/>
            <x v="21"/>
            <x v="23"/>
            <x v="24"/>
            <x v="25"/>
            <x v="26"/>
            <x v="28"/>
            <x v="30"/>
            <x v="31"/>
            <x v="34"/>
            <x v="35"/>
            <x v="38"/>
            <x v="41"/>
          </reference>
        </references>
      </pivotArea>
    </format>
    <format dxfId="2445">
      <pivotArea dataOnly="0" labelOnly="1" grandRow="1" outline="0" fieldPosition="0"/>
    </format>
    <format dxfId="2444">
      <pivotArea type="origin" dataOnly="0" labelOnly="1" outline="0" fieldPosition="0"/>
    </format>
    <format dxfId="2443">
      <pivotArea field="36" type="button" dataOnly="0" labelOnly="1" outline="0" axis="axisCol" fieldPosition="0"/>
    </format>
    <format dxfId="2442">
      <pivotArea type="topRight" dataOnly="0" labelOnly="1" outline="0" fieldPosition="0"/>
    </format>
    <format dxfId="2441">
      <pivotArea type="origin" dataOnly="0" labelOnly="1" outline="0" fieldPosition="0"/>
    </format>
    <format dxfId="2440">
      <pivotArea field="36" type="button" dataOnly="0" labelOnly="1" outline="0" axis="axisCol" fieldPosition="0"/>
    </format>
    <format dxfId="2439">
      <pivotArea type="topRight" dataOnly="0" labelOnly="1" outline="0" fieldPosition="0"/>
    </format>
    <format dxfId="2438">
      <pivotArea type="origin" dataOnly="0" labelOnly="1" outline="0" fieldPosition="0"/>
    </format>
    <format dxfId="2437">
      <pivotArea field="36" type="button" dataOnly="0" labelOnly="1" outline="0" axis="axisCol" fieldPosition="0"/>
    </format>
    <format dxfId="2436">
      <pivotArea type="topRight" dataOnly="0" labelOnly="1" outline="0" fieldPosition="0"/>
    </format>
    <format dxfId="2435">
      <pivotArea field="37" type="button" dataOnly="0" labelOnly="1" outline="0" axis="axisRow" fieldPosition="0"/>
    </format>
    <format dxfId="2434">
      <pivotArea dataOnly="0" labelOnly="1" fieldPosition="0">
        <references count="1">
          <reference field="36" count="0"/>
        </references>
      </pivotArea>
    </format>
    <format dxfId="2433">
      <pivotArea dataOnly="0" labelOnly="1" grandCol="1" outline="0" fieldPosition="0"/>
    </format>
    <format dxfId="2432">
      <pivotArea field="37" type="button" dataOnly="0" labelOnly="1" outline="0" axis="axisRow" fieldPosition="0"/>
    </format>
    <format dxfId="2431">
      <pivotArea dataOnly="0" labelOnly="1" fieldPosition="0">
        <references count="1">
          <reference field="36" count="0"/>
        </references>
      </pivotArea>
    </format>
    <format dxfId="2430">
      <pivotArea dataOnly="0" labelOnly="1" grandCol="1" outline="0" fieldPosition="0"/>
    </format>
    <format dxfId="2429">
      <pivotArea collapsedLevelsAreSubtotals="1" fieldPosition="0">
        <references count="1">
          <reference field="37" count="1">
            <x v="4"/>
          </reference>
        </references>
      </pivotArea>
    </format>
    <format dxfId="2428">
      <pivotArea dataOnly="0" labelOnly="1" fieldPosition="0">
        <references count="1">
          <reference field="37" count="1">
            <x v="4"/>
          </reference>
        </references>
      </pivotArea>
    </format>
    <format dxfId="2427">
      <pivotArea collapsedLevelsAreSubtotals="1" fieldPosition="0">
        <references count="1">
          <reference field="37" count="1">
            <x v="4"/>
          </reference>
        </references>
      </pivotArea>
    </format>
    <format dxfId="2426">
      <pivotArea dataOnly="0" labelOnly="1" fieldPosition="0">
        <references count="1">
          <reference field="37" count="1">
            <x v="4"/>
          </reference>
        </references>
      </pivotArea>
    </format>
    <format dxfId="2425">
      <pivotArea collapsedLevelsAreSubtotals="1" fieldPosition="0">
        <references count="1">
          <reference field="37" count="1">
            <x v="28"/>
          </reference>
        </references>
      </pivotArea>
    </format>
    <format dxfId="2424">
      <pivotArea dataOnly="0" labelOnly="1" fieldPosition="0">
        <references count="1">
          <reference field="37" count="1">
            <x v="28"/>
          </reference>
        </references>
      </pivotArea>
    </format>
    <format dxfId="2423">
      <pivotArea collapsedLevelsAreSubtotals="1" fieldPosition="0">
        <references count="1">
          <reference field="37" count="1">
            <x v="28"/>
          </reference>
        </references>
      </pivotArea>
    </format>
    <format dxfId="2422">
      <pivotArea dataOnly="0" labelOnly="1" fieldPosition="0">
        <references count="1">
          <reference field="37" count="1">
            <x v="28"/>
          </reference>
        </references>
      </pivotArea>
    </format>
    <format dxfId="2421">
      <pivotArea collapsedLevelsAreSubtotals="1" fieldPosition="0">
        <references count="1">
          <reference field="37" count="1">
            <x v="23"/>
          </reference>
        </references>
      </pivotArea>
    </format>
    <format dxfId="2420">
      <pivotArea dataOnly="0" labelOnly="1" fieldPosition="0">
        <references count="1">
          <reference field="37" count="1">
            <x v="23"/>
          </reference>
        </references>
      </pivotArea>
    </format>
    <format dxfId="2419">
      <pivotArea collapsedLevelsAreSubtotals="1" fieldPosition="0">
        <references count="1">
          <reference field="37" count="1">
            <x v="23"/>
          </reference>
        </references>
      </pivotArea>
    </format>
    <format dxfId="2418">
      <pivotArea dataOnly="0" labelOnly="1" fieldPosition="0">
        <references count="1">
          <reference field="37" count="1">
            <x v="23"/>
          </reference>
        </references>
      </pivotArea>
    </format>
    <format dxfId="2417">
      <pivotArea collapsedLevelsAreSubtotals="1" fieldPosition="0">
        <references count="1">
          <reference field="37" count="1">
            <x v="46"/>
          </reference>
        </references>
      </pivotArea>
    </format>
    <format dxfId="2416">
      <pivotArea dataOnly="0" labelOnly="1" fieldPosition="0">
        <references count="1">
          <reference field="37" count="1">
            <x v="46"/>
          </reference>
        </references>
      </pivotArea>
    </format>
    <format dxfId="2415">
      <pivotArea collapsedLevelsAreSubtotals="1" fieldPosition="0">
        <references count="1">
          <reference field="37" count="1">
            <x v="46"/>
          </reference>
        </references>
      </pivotArea>
    </format>
    <format dxfId="2414">
      <pivotArea dataOnly="0" labelOnly="1" fieldPosition="0">
        <references count="1">
          <reference field="37" count="1">
            <x v="46"/>
          </reference>
        </references>
      </pivotArea>
    </format>
    <format dxfId="2413">
      <pivotArea collapsedLevelsAreSubtotals="1" fieldPosition="0">
        <references count="1">
          <reference field="37" count="1">
            <x v="24"/>
          </reference>
        </references>
      </pivotArea>
    </format>
    <format dxfId="2412">
      <pivotArea dataOnly="0" labelOnly="1" fieldPosition="0">
        <references count="1">
          <reference field="37" count="1">
            <x v="24"/>
          </reference>
        </references>
      </pivotArea>
    </format>
    <format dxfId="2411">
      <pivotArea collapsedLevelsAreSubtotals="1" fieldPosition="0">
        <references count="1">
          <reference field="37" count="1">
            <x v="24"/>
          </reference>
        </references>
      </pivotArea>
    </format>
    <format dxfId="2410">
      <pivotArea dataOnly="0" labelOnly="1" fieldPosition="0">
        <references count="1">
          <reference field="37" count="1">
            <x v="24"/>
          </reference>
        </references>
      </pivotArea>
    </format>
    <format dxfId="2409">
      <pivotArea collapsedLevelsAreSubtotals="1" fieldPosition="0">
        <references count="1">
          <reference field="37" count="1">
            <x v="7"/>
          </reference>
        </references>
      </pivotArea>
    </format>
    <format dxfId="2408">
      <pivotArea dataOnly="0" labelOnly="1" fieldPosition="0">
        <references count="1">
          <reference field="37" count="1">
            <x v="7"/>
          </reference>
        </references>
      </pivotArea>
    </format>
    <format dxfId="2407">
      <pivotArea collapsedLevelsAreSubtotals="1" fieldPosition="0">
        <references count="1">
          <reference field="37" count="1">
            <x v="7"/>
          </reference>
        </references>
      </pivotArea>
    </format>
    <format dxfId="2406">
      <pivotArea dataOnly="0" labelOnly="1" fieldPosition="0">
        <references count="1">
          <reference field="37" count="1">
            <x v="7"/>
          </reference>
        </references>
      </pivotArea>
    </format>
    <format dxfId="2405">
      <pivotArea collapsedLevelsAreSubtotals="1" fieldPosition="0">
        <references count="1">
          <reference field="37" count="1">
            <x v="2"/>
          </reference>
        </references>
      </pivotArea>
    </format>
    <format dxfId="2404">
      <pivotArea dataOnly="0" labelOnly="1" fieldPosition="0">
        <references count="1">
          <reference field="37" count="1">
            <x v="2"/>
          </reference>
        </references>
      </pivotArea>
    </format>
    <format dxfId="2403">
      <pivotArea collapsedLevelsAreSubtotals="1" fieldPosition="0">
        <references count="1">
          <reference field="37" count="1">
            <x v="2"/>
          </reference>
        </references>
      </pivotArea>
    </format>
    <format dxfId="2402">
      <pivotArea dataOnly="0" labelOnly="1" fieldPosition="0">
        <references count="1">
          <reference field="37" count="1">
            <x v="2"/>
          </reference>
        </references>
      </pivotArea>
    </format>
    <format dxfId="2401">
      <pivotArea collapsedLevelsAreSubtotals="1" fieldPosition="0">
        <references count="1">
          <reference field="37" count="1">
            <x v="25"/>
          </reference>
        </references>
      </pivotArea>
    </format>
    <format dxfId="2400">
      <pivotArea dataOnly="0" labelOnly="1" fieldPosition="0">
        <references count="1">
          <reference field="37" count="1">
            <x v="25"/>
          </reference>
        </references>
      </pivotArea>
    </format>
    <format dxfId="2399">
      <pivotArea collapsedLevelsAreSubtotals="1" fieldPosition="0">
        <references count="1">
          <reference field="37" count="1">
            <x v="25"/>
          </reference>
        </references>
      </pivotArea>
    </format>
    <format dxfId="2398">
      <pivotArea dataOnly="0" labelOnly="1" fieldPosition="0">
        <references count="1">
          <reference field="37" count="1">
            <x v="25"/>
          </reference>
        </references>
      </pivotArea>
    </format>
    <format dxfId="2397">
      <pivotArea collapsedLevelsAreSubtotals="1" fieldPosition="0">
        <references count="1">
          <reference field="37" count="1">
            <x v="44"/>
          </reference>
        </references>
      </pivotArea>
    </format>
    <format dxfId="2396">
      <pivotArea dataOnly="0" labelOnly="1" fieldPosition="0">
        <references count="1">
          <reference field="37" count="1">
            <x v="44"/>
          </reference>
        </references>
      </pivotArea>
    </format>
    <format dxfId="2395">
      <pivotArea collapsedLevelsAreSubtotals="1" fieldPosition="0">
        <references count="1">
          <reference field="37" count="1">
            <x v="44"/>
          </reference>
        </references>
      </pivotArea>
    </format>
    <format dxfId="2394">
      <pivotArea dataOnly="0" labelOnly="1" fieldPosition="0">
        <references count="1">
          <reference field="37" count="1">
            <x v="44"/>
          </reference>
        </references>
      </pivotArea>
    </format>
    <format dxfId="2393">
      <pivotArea collapsedLevelsAreSubtotals="1" fieldPosition="0">
        <references count="1">
          <reference field="37" count="1">
            <x v="31"/>
          </reference>
        </references>
      </pivotArea>
    </format>
    <format dxfId="2392">
      <pivotArea dataOnly="0" labelOnly="1" fieldPosition="0">
        <references count="1">
          <reference field="37" count="1">
            <x v="31"/>
          </reference>
        </references>
      </pivotArea>
    </format>
    <format dxfId="2391">
      <pivotArea collapsedLevelsAreSubtotals="1" fieldPosition="0">
        <references count="1">
          <reference field="37" count="1">
            <x v="31"/>
          </reference>
        </references>
      </pivotArea>
    </format>
    <format dxfId="2390">
      <pivotArea dataOnly="0" labelOnly="1" fieldPosition="0">
        <references count="1">
          <reference field="37" count="1">
            <x v="31"/>
          </reference>
        </references>
      </pivotArea>
    </format>
    <format dxfId="2389">
      <pivotArea collapsedLevelsAreSubtotals="1" fieldPosition="0">
        <references count="1">
          <reference field="37" count="1">
            <x v="43"/>
          </reference>
        </references>
      </pivotArea>
    </format>
    <format dxfId="2388">
      <pivotArea dataOnly="0" labelOnly="1" fieldPosition="0">
        <references count="1">
          <reference field="37" count="1">
            <x v="43"/>
          </reference>
        </references>
      </pivotArea>
    </format>
    <format dxfId="2387">
      <pivotArea collapsedLevelsAreSubtotals="1" fieldPosition="0">
        <references count="1">
          <reference field="37" count="1">
            <x v="43"/>
          </reference>
        </references>
      </pivotArea>
    </format>
    <format dxfId="2386">
      <pivotArea dataOnly="0" labelOnly="1" fieldPosition="0">
        <references count="1">
          <reference field="37" count="1">
            <x v="43"/>
          </reference>
        </references>
      </pivotArea>
    </format>
    <format dxfId="2385">
      <pivotArea collapsedLevelsAreSubtotals="1" fieldPosition="0">
        <references count="1">
          <reference field="37" count="1">
            <x v="42"/>
          </reference>
        </references>
      </pivotArea>
    </format>
    <format dxfId="2384">
      <pivotArea dataOnly="0" labelOnly="1" fieldPosition="0">
        <references count="1">
          <reference field="37" count="1">
            <x v="42"/>
          </reference>
        </references>
      </pivotArea>
    </format>
    <format dxfId="2383">
      <pivotArea collapsedLevelsAreSubtotals="1" fieldPosition="0">
        <references count="1">
          <reference field="37" count="1">
            <x v="42"/>
          </reference>
        </references>
      </pivotArea>
    </format>
    <format dxfId="2382">
      <pivotArea dataOnly="0" labelOnly="1" fieldPosition="0">
        <references count="1">
          <reference field="37" count="1">
            <x v="42"/>
          </reference>
        </references>
      </pivotArea>
    </format>
    <format dxfId="2381">
      <pivotArea collapsedLevelsAreSubtotals="1" fieldPosition="0">
        <references count="1">
          <reference field="37" count="1">
            <x v="20"/>
          </reference>
        </references>
      </pivotArea>
    </format>
    <format dxfId="2380">
      <pivotArea dataOnly="0" labelOnly="1" fieldPosition="0">
        <references count="1">
          <reference field="37" count="1">
            <x v="20"/>
          </reference>
        </references>
      </pivotArea>
    </format>
    <format dxfId="2379">
      <pivotArea collapsedLevelsAreSubtotals="1" fieldPosition="0">
        <references count="1">
          <reference field="37" count="1">
            <x v="20"/>
          </reference>
        </references>
      </pivotArea>
    </format>
    <format dxfId="2378">
      <pivotArea dataOnly="0" labelOnly="1" fieldPosition="0">
        <references count="1">
          <reference field="37" count="1">
            <x v="20"/>
          </reference>
        </references>
      </pivotArea>
    </format>
    <format dxfId="2377">
      <pivotArea collapsedLevelsAreSubtotals="1" fieldPosition="0">
        <references count="1">
          <reference field="37" count="1">
            <x v="9"/>
          </reference>
        </references>
      </pivotArea>
    </format>
    <format dxfId="2376">
      <pivotArea dataOnly="0" labelOnly="1" fieldPosition="0">
        <references count="1">
          <reference field="37" count="1">
            <x v="9"/>
          </reference>
        </references>
      </pivotArea>
    </format>
    <format dxfId="2375">
      <pivotArea collapsedLevelsAreSubtotals="1" fieldPosition="0">
        <references count="1">
          <reference field="37" count="1">
            <x v="9"/>
          </reference>
        </references>
      </pivotArea>
    </format>
    <format dxfId="2374">
      <pivotArea dataOnly="0" labelOnly="1" fieldPosition="0">
        <references count="1">
          <reference field="37" count="1">
            <x v="9"/>
          </reference>
        </references>
      </pivotArea>
    </format>
    <format dxfId="2373">
      <pivotArea collapsedLevelsAreSubtotals="1" fieldPosition="0">
        <references count="1">
          <reference field="37" count="1">
            <x v="15"/>
          </reference>
        </references>
      </pivotArea>
    </format>
    <format dxfId="2372">
      <pivotArea dataOnly="0" labelOnly="1" fieldPosition="0">
        <references count="1">
          <reference field="37" count="1">
            <x v="15"/>
          </reference>
        </references>
      </pivotArea>
    </format>
    <format dxfId="2371">
      <pivotArea collapsedLevelsAreSubtotals="1" fieldPosition="0">
        <references count="1">
          <reference field="37" count="1">
            <x v="15"/>
          </reference>
        </references>
      </pivotArea>
    </format>
    <format dxfId="2370">
      <pivotArea dataOnly="0" labelOnly="1" fieldPosition="0">
        <references count="1">
          <reference field="37" count="1">
            <x v="15"/>
          </reference>
        </references>
      </pivotArea>
    </format>
    <format dxfId="2369">
      <pivotArea collapsedLevelsAreSubtotals="1" fieldPosition="0">
        <references count="1">
          <reference field="37" count="1">
            <x v="30"/>
          </reference>
        </references>
      </pivotArea>
    </format>
    <format dxfId="2368">
      <pivotArea dataOnly="0" labelOnly="1" fieldPosition="0">
        <references count="1">
          <reference field="37" count="1">
            <x v="30"/>
          </reference>
        </references>
      </pivotArea>
    </format>
    <format dxfId="2367">
      <pivotArea collapsedLevelsAreSubtotals="1" fieldPosition="0">
        <references count="1">
          <reference field="37" count="1">
            <x v="30"/>
          </reference>
        </references>
      </pivotArea>
    </format>
    <format dxfId="2366">
      <pivotArea dataOnly="0" labelOnly="1" fieldPosition="0">
        <references count="1">
          <reference field="37" count="1">
            <x v="30"/>
          </reference>
        </references>
      </pivotArea>
    </format>
    <format dxfId="2365">
      <pivotArea collapsedLevelsAreSubtotals="1" fieldPosition="0">
        <references count="1">
          <reference field="37" count="1">
            <x v="45"/>
          </reference>
        </references>
      </pivotArea>
    </format>
    <format dxfId="2364">
      <pivotArea dataOnly="0" labelOnly="1" fieldPosition="0">
        <references count="1">
          <reference field="37" count="1">
            <x v="45"/>
          </reference>
        </references>
      </pivotArea>
    </format>
    <format dxfId="2363">
      <pivotArea collapsedLevelsAreSubtotals="1" fieldPosition="0">
        <references count="1">
          <reference field="37" count="1">
            <x v="45"/>
          </reference>
        </references>
      </pivotArea>
    </format>
    <format dxfId="2362">
      <pivotArea dataOnly="0" labelOnly="1" fieldPosition="0">
        <references count="1">
          <reference field="37" count="1">
            <x v="45"/>
          </reference>
        </references>
      </pivotArea>
    </format>
    <format dxfId="2361">
      <pivotArea collapsedLevelsAreSubtotals="1" fieldPosition="0">
        <references count="1">
          <reference field="37" count="1">
            <x v="5"/>
          </reference>
        </references>
      </pivotArea>
    </format>
    <format dxfId="2360">
      <pivotArea dataOnly="0" labelOnly="1" fieldPosition="0">
        <references count="1">
          <reference field="37" count="1">
            <x v="5"/>
          </reference>
        </references>
      </pivotArea>
    </format>
    <format dxfId="2359">
      <pivotArea collapsedLevelsAreSubtotals="1" fieldPosition="0">
        <references count="1">
          <reference field="37" count="1">
            <x v="5"/>
          </reference>
        </references>
      </pivotArea>
    </format>
    <format dxfId="2358">
      <pivotArea dataOnly="0" labelOnly="1" fieldPosition="0">
        <references count="1">
          <reference field="37" count="1">
            <x v="5"/>
          </reference>
        </references>
      </pivotArea>
    </format>
    <format dxfId="2357">
      <pivotArea collapsedLevelsAreSubtotals="1" fieldPosition="0">
        <references count="1">
          <reference field="37" count="1">
            <x v="18"/>
          </reference>
        </references>
      </pivotArea>
    </format>
    <format dxfId="2356">
      <pivotArea dataOnly="0" labelOnly="1" fieldPosition="0">
        <references count="1">
          <reference field="37" count="1">
            <x v="18"/>
          </reference>
        </references>
      </pivotArea>
    </format>
    <format dxfId="2355">
      <pivotArea collapsedLevelsAreSubtotals="1" fieldPosition="0">
        <references count="1">
          <reference field="37" count="1">
            <x v="18"/>
          </reference>
        </references>
      </pivotArea>
    </format>
    <format dxfId="2354">
      <pivotArea dataOnly="0" labelOnly="1" fieldPosition="0">
        <references count="1">
          <reference field="37" count="1">
            <x v="18"/>
          </reference>
        </references>
      </pivotArea>
    </format>
    <format dxfId="2353">
      <pivotArea collapsedLevelsAreSubtotals="1" fieldPosition="0">
        <references count="1">
          <reference field="37" count="1">
            <x v="21"/>
          </reference>
        </references>
      </pivotArea>
    </format>
    <format dxfId="2352">
      <pivotArea dataOnly="0" labelOnly="1" fieldPosition="0">
        <references count="1">
          <reference field="37" count="1">
            <x v="21"/>
          </reference>
        </references>
      </pivotArea>
    </format>
    <format dxfId="2351">
      <pivotArea collapsedLevelsAreSubtotals="1" fieldPosition="0">
        <references count="1">
          <reference field="37" count="1">
            <x v="21"/>
          </reference>
        </references>
      </pivotArea>
    </format>
    <format dxfId="2350">
      <pivotArea dataOnly="0" labelOnly="1" fieldPosition="0">
        <references count="1">
          <reference field="37" count="1">
            <x v="21"/>
          </reference>
        </references>
      </pivotArea>
    </format>
    <format dxfId="2349">
      <pivotArea collapsedLevelsAreSubtotals="1" fieldPosition="0">
        <references count="1">
          <reference field="37" count="1">
            <x v="0"/>
          </reference>
        </references>
      </pivotArea>
    </format>
    <format dxfId="2348">
      <pivotArea dataOnly="0" labelOnly="1" fieldPosition="0">
        <references count="1">
          <reference field="37" count="1">
            <x v="0"/>
          </reference>
        </references>
      </pivotArea>
    </format>
    <format dxfId="2347">
      <pivotArea collapsedLevelsAreSubtotals="1" fieldPosition="0">
        <references count="1">
          <reference field="37" count="1">
            <x v="0"/>
          </reference>
        </references>
      </pivotArea>
    </format>
    <format dxfId="2346">
      <pivotArea dataOnly="0" labelOnly="1" fieldPosition="0">
        <references count="1">
          <reference field="37" count="1">
            <x v="0"/>
          </reference>
        </references>
      </pivotArea>
    </format>
    <format dxfId="2345">
      <pivotArea collapsedLevelsAreSubtotals="1" fieldPosition="0">
        <references count="1">
          <reference field="37" count="1">
            <x v="11"/>
          </reference>
        </references>
      </pivotArea>
    </format>
    <format dxfId="2344">
      <pivotArea dataOnly="0" labelOnly="1" fieldPosition="0">
        <references count="1">
          <reference field="37" count="1">
            <x v="11"/>
          </reference>
        </references>
      </pivotArea>
    </format>
    <format dxfId="2343">
      <pivotArea collapsedLevelsAreSubtotals="1" fieldPosition="0">
        <references count="1">
          <reference field="37" count="1">
            <x v="11"/>
          </reference>
        </references>
      </pivotArea>
    </format>
    <format dxfId="2342">
      <pivotArea dataOnly="0" labelOnly="1" fieldPosition="0">
        <references count="1">
          <reference field="37" count="1">
            <x v="11"/>
          </reference>
        </references>
      </pivotArea>
    </format>
    <format dxfId="2341">
      <pivotArea collapsedLevelsAreSubtotals="1" fieldPosition="0">
        <references count="1">
          <reference field="37" count="1">
            <x v="34"/>
          </reference>
        </references>
      </pivotArea>
    </format>
    <format dxfId="2340">
      <pivotArea dataOnly="0" labelOnly="1" fieldPosition="0">
        <references count="1">
          <reference field="37" count="1">
            <x v="34"/>
          </reference>
        </references>
      </pivotArea>
    </format>
    <format dxfId="2339">
      <pivotArea collapsedLevelsAreSubtotals="1" fieldPosition="0">
        <references count="1">
          <reference field="37" count="1">
            <x v="34"/>
          </reference>
        </references>
      </pivotArea>
    </format>
    <format dxfId="2338">
      <pivotArea dataOnly="0" labelOnly="1" fieldPosition="0">
        <references count="1">
          <reference field="37" count="1">
            <x v="34"/>
          </reference>
        </references>
      </pivotArea>
    </format>
    <format dxfId="2337">
      <pivotArea collapsedLevelsAreSubtotals="1" fieldPosition="0">
        <references count="1">
          <reference field="37" count="1">
            <x v="3"/>
          </reference>
        </references>
      </pivotArea>
    </format>
    <format dxfId="2336">
      <pivotArea dataOnly="0" labelOnly="1" fieldPosition="0">
        <references count="1">
          <reference field="37" count="1">
            <x v="3"/>
          </reference>
        </references>
      </pivotArea>
    </format>
    <format dxfId="2335">
      <pivotArea collapsedLevelsAreSubtotals="1" fieldPosition="0">
        <references count="1">
          <reference field="37" count="1">
            <x v="3"/>
          </reference>
        </references>
      </pivotArea>
    </format>
    <format dxfId="2334">
      <pivotArea dataOnly="0" labelOnly="1" fieldPosition="0">
        <references count="1">
          <reference field="37" count="1">
            <x v="3"/>
          </reference>
        </references>
      </pivotArea>
    </format>
    <format dxfId="2333">
      <pivotArea collapsedLevelsAreSubtotals="1" fieldPosition="0">
        <references count="1">
          <reference field="37" count="1">
            <x v="26"/>
          </reference>
        </references>
      </pivotArea>
    </format>
    <format dxfId="2332">
      <pivotArea dataOnly="0" labelOnly="1" fieldPosition="0">
        <references count="1">
          <reference field="37" count="1">
            <x v="26"/>
          </reference>
        </references>
      </pivotArea>
    </format>
    <format dxfId="2331">
      <pivotArea collapsedLevelsAreSubtotals="1" fieldPosition="0">
        <references count="1">
          <reference field="37" count="1">
            <x v="26"/>
          </reference>
        </references>
      </pivotArea>
    </format>
    <format dxfId="2330">
      <pivotArea dataOnly="0" labelOnly="1" fieldPosition="0">
        <references count="1">
          <reference field="37" count="1">
            <x v="26"/>
          </reference>
        </references>
      </pivotArea>
    </format>
    <format dxfId="2329">
      <pivotArea collapsedLevelsAreSubtotals="1" fieldPosition="0">
        <references count="1">
          <reference field="37" count="1">
            <x v="47"/>
          </reference>
        </references>
      </pivotArea>
    </format>
    <format dxfId="2328">
      <pivotArea dataOnly="0" labelOnly="1" fieldPosition="0">
        <references count="1">
          <reference field="37" count="1">
            <x v="47"/>
          </reference>
        </references>
      </pivotArea>
    </format>
    <format dxfId="2327">
      <pivotArea collapsedLevelsAreSubtotals="1" fieldPosition="0">
        <references count="1">
          <reference field="37" count="1">
            <x v="47"/>
          </reference>
        </references>
      </pivotArea>
    </format>
    <format dxfId="2326">
      <pivotArea dataOnly="0" labelOnly="1" fieldPosition="0">
        <references count="1">
          <reference field="37" count="1">
            <x v="47"/>
          </reference>
        </references>
      </pivotArea>
    </format>
    <format dxfId="2325">
      <pivotArea collapsedLevelsAreSubtotals="1" fieldPosition="0">
        <references count="1">
          <reference field="37" count="1">
            <x v="41"/>
          </reference>
        </references>
      </pivotArea>
    </format>
    <format dxfId="2324">
      <pivotArea dataOnly="0" labelOnly="1" fieldPosition="0">
        <references count="1">
          <reference field="37" count="1">
            <x v="41"/>
          </reference>
        </references>
      </pivotArea>
    </format>
    <format dxfId="2323">
      <pivotArea collapsedLevelsAreSubtotals="1" fieldPosition="0">
        <references count="1">
          <reference field="37" count="1">
            <x v="41"/>
          </reference>
        </references>
      </pivotArea>
    </format>
    <format dxfId="2322">
      <pivotArea dataOnly="0" labelOnly="1" fieldPosition="0">
        <references count="1">
          <reference field="37" count="1">
            <x v="41"/>
          </reference>
        </references>
      </pivotArea>
    </format>
    <format dxfId="2321">
      <pivotArea collapsedLevelsAreSubtotals="1" fieldPosition="0">
        <references count="1">
          <reference field="37" count="1">
            <x v="14"/>
          </reference>
        </references>
      </pivotArea>
    </format>
    <format dxfId="2320">
      <pivotArea dataOnly="0" labelOnly="1" fieldPosition="0">
        <references count="1">
          <reference field="37" count="1">
            <x v="14"/>
          </reference>
        </references>
      </pivotArea>
    </format>
    <format dxfId="2319">
      <pivotArea collapsedLevelsAreSubtotals="1" fieldPosition="0">
        <references count="1">
          <reference field="37" count="1">
            <x v="14"/>
          </reference>
        </references>
      </pivotArea>
    </format>
    <format dxfId="2318">
      <pivotArea dataOnly="0" labelOnly="1" fieldPosition="0">
        <references count="1">
          <reference field="37" count="1">
            <x v="14"/>
          </reference>
        </references>
      </pivotArea>
    </format>
    <format dxfId="2317">
      <pivotArea grandRow="1" outline="0" collapsedLevelsAreSubtotals="1" fieldPosition="0"/>
    </format>
    <format dxfId="2316">
      <pivotArea dataOnly="0" labelOnly="1" grandRow="1" outline="0" fieldPosition="0"/>
    </format>
    <format dxfId="2315">
      <pivotArea grandRow="1" outline="0" collapsedLevelsAreSubtotals="1" fieldPosition="0"/>
    </format>
    <format dxfId="2314">
      <pivotArea dataOnly="0" labelOnly="1" grandRow="1" outline="0" fieldPosition="0"/>
    </format>
    <format dxfId="2313">
      <pivotArea grandRow="1" outline="0" collapsedLevelsAreSubtotals="1" fieldPosition="0"/>
    </format>
    <format dxfId="2312">
      <pivotArea dataOnly="0" labelOnly="1" grandRow="1" outline="0" fieldPosition="0"/>
    </format>
    <format>
      <pivotArea type="all" dataOnly="0" outline="0" fieldPosition="0"/>
    </format>
    <format>
      <pivotArea type="origin" dataOnly="0" labelOnly="1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grandRow="1" outline="0" fieldPosition="0"/>
    </format>
    <format dxfId="2311">
      <pivotArea type="origin" dataOnly="0" labelOnly="1" outline="0" fieldPosition="0"/>
    </format>
    <format dxfId="2310">
      <pivotArea field="36" type="button" dataOnly="0" labelOnly="1" outline="0" axis="axisCol" fieldPosition="0"/>
    </format>
    <format dxfId="2309">
      <pivotArea type="topRight" dataOnly="0" labelOnly="1" outline="0" fieldPosition="0"/>
    </format>
    <format dxfId="2308">
      <pivotArea type="origin" dataOnly="0" labelOnly="1" outline="0" fieldPosition="0"/>
    </format>
    <format dxfId="2307">
      <pivotArea field="36" type="button" dataOnly="0" labelOnly="1" outline="0" axis="axisCol" fieldPosition="0"/>
    </format>
    <format dxfId="2306">
      <pivotArea type="topRight" dataOnly="0" labelOnly="1" outline="0" fieldPosition="0"/>
    </format>
    <format dxfId="2305">
      <pivotArea type="origin" dataOnly="0" labelOnly="1" outline="0" fieldPosition="0"/>
    </format>
    <format dxfId="2304">
      <pivotArea field="36" type="button" dataOnly="0" labelOnly="1" outline="0" axis="axisCol" fieldPosition="0"/>
    </format>
    <format dxfId="2303">
      <pivotArea type="topRight" dataOnly="0" labelOnly="1" outline="0" fieldPosition="0"/>
    </format>
    <format dxfId="2302">
      <pivotArea grandRow="1" outline="0" collapsedLevelsAreSubtotals="1" fieldPosition="0"/>
    </format>
    <format dxfId="2301">
      <pivotArea dataOnly="0" labelOnly="1" grandRow="1" outline="0" fieldPosition="0"/>
    </format>
    <format dxfId="2300">
      <pivotArea grandRow="1" outline="0" collapsedLevelsAreSubtotals="1" fieldPosition="0"/>
    </format>
    <format dxfId="2299">
      <pivotArea dataOnly="0" labelOnly="1" grandRow="1" outline="0" fieldPosition="0"/>
    </format>
    <format dxfId="2298">
      <pivotArea grandRow="1" outline="0" collapsedLevelsAreSubtotals="1" fieldPosition="0"/>
    </format>
    <format dxfId="2297">
      <pivotArea dataOnly="0" labelOnly="1" grandRow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type="origin" dataOnly="0" labelOnly="1" outline="0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field="37" type="button" dataOnly="0" labelOnly="1" outline="0" axis="axisRow" fieldPosition="0"/>
    </format>
    <format>
      <pivotArea dataOnly="0" labelOnly="1" fieldPosition="0">
        <references count="1">
          <reference field="37" count="28">
            <x v="0"/>
            <x v="2"/>
            <x v="3"/>
            <x v="4"/>
            <x v="5"/>
            <x v="7"/>
            <x v="9"/>
            <x v="11"/>
            <x v="14"/>
            <x v="15"/>
            <x v="18"/>
            <x v="20"/>
            <x v="21"/>
            <x v="23"/>
            <x v="24"/>
            <x v="25"/>
            <x v="26"/>
            <x v="28"/>
            <x v="30"/>
            <x v="31"/>
            <x v="34"/>
            <x v="41"/>
            <x v="42"/>
            <x v="43"/>
            <x v="44"/>
            <x v="45"/>
            <x v="46"/>
            <x v="47"/>
          </reference>
        </references>
      </pivotArea>
    </format>
    <format>
      <pivotArea dataOnly="0" labelOnly="1" grandRow="1" outline="0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2296">
      <pivotArea dataOnly="0" labelOnly="1" fieldPosition="0">
        <references count="1">
          <reference field="37" count="28">
            <x v="0"/>
            <x v="2"/>
            <x v="3"/>
            <x v="4"/>
            <x v="5"/>
            <x v="7"/>
            <x v="9"/>
            <x v="11"/>
            <x v="14"/>
            <x v="15"/>
            <x v="18"/>
            <x v="20"/>
            <x v="21"/>
            <x v="23"/>
            <x v="24"/>
            <x v="25"/>
            <x v="26"/>
            <x v="28"/>
            <x v="30"/>
            <x v="31"/>
            <x v="34"/>
            <x v="41"/>
            <x v="42"/>
            <x v="43"/>
            <x v="44"/>
            <x v="45"/>
            <x v="46"/>
            <x v="47"/>
          </reference>
        </references>
      </pivotArea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Kontik Business Trave &amp; Grupo Kontik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49F28F"/>
      </a:accent1>
      <a:accent2>
        <a:srgbClr val="41025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V190"/>
  <sheetViews>
    <sheetView showGridLines="0" tabSelected="1" topLeftCell="A5" zoomScale="70" zoomScaleNormal="70" zoomScaleSheetLayoutView="85" zoomScalePageLayoutView="30" workbookViewId="0">
      <selection activeCell="E11" sqref="E11"/>
    </sheetView>
  </sheetViews>
  <sheetFormatPr defaultColWidth="42.6640625" defaultRowHeight="15.6" x14ac:dyDescent="0.3"/>
  <cols>
    <col min="1" max="1" width="66.5546875" style="6" bestFit="1" customWidth="1"/>
    <col min="2" max="2" width="28.6640625" style="5" bestFit="1" customWidth="1"/>
    <col min="3" max="3" width="27.6640625" style="5" bestFit="1" customWidth="1"/>
    <col min="4" max="4" width="39.109375" style="5" bestFit="1" customWidth="1"/>
    <col min="5" max="5" width="32.33203125" style="5" bestFit="1" customWidth="1"/>
    <col min="6" max="6" width="31.33203125" style="5" bestFit="1" customWidth="1"/>
    <col min="7" max="7" width="23.33203125" style="5" bestFit="1" customWidth="1"/>
    <col min="8" max="8" width="19.44140625" style="5" bestFit="1" customWidth="1"/>
    <col min="9" max="9" width="27.6640625" style="5" bestFit="1" customWidth="1"/>
    <col min="10" max="10" width="17" style="5" bestFit="1" customWidth="1"/>
    <col min="11" max="11" width="12.6640625" style="5" bestFit="1" customWidth="1"/>
    <col min="12" max="12" width="42.6640625" style="5" customWidth="1"/>
    <col min="13" max="13" width="59.109375" style="6" bestFit="1" customWidth="1"/>
    <col min="14" max="14" width="35" style="5" bestFit="1" customWidth="1"/>
    <col min="15" max="15" width="19.109375" style="5" bestFit="1" customWidth="1"/>
    <col min="16" max="16" width="24.88671875" style="6" bestFit="1" customWidth="1"/>
    <col min="17" max="17" width="22.44140625" style="5" bestFit="1" customWidth="1"/>
    <col min="18" max="18" width="19.109375" style="5" bestFit="1" customWidth="1"/>
    <col min="19" max="19" width="20.109375" style="6" bestFit="1" customWidth="1"/>
    <col min="20" max="20" width="19" style="5" bestFit="1" customWidth="1"/>
    <col min="21" max="21" width="17" style="5" bestFit="1" customWidth="1"/>
    <col min="22" max="22" width="15.44140625" style="5" bestFit="1" customWidth="1"/>
    <col min="23" max="23" width="29.6640625" style="5" bestFit="1" customWidth="1"/>
    <col min="24" max="24" width="6.88671875" style="5" bestFit="1" customWidth="1"/>
    <col min="25" max="25" width="42.6640625" style="5" customWidth="1"/>
    <col min="26" max="26" width="21.44140625" style="5" bestFit="1" customWidth="1"/>
    <col min="27" max="27" width="17.33203125" style="5" bestFit="1" customWidth="1"/>
    <col min="28" max="28" width="15.44140625" style="5" bestFit="1" customWidth="1"/>
    <col min="29" max="29" width="16.33203125" style="5" bestFit="1" customWidth="1"/>
    <col min="30" max="30" width="11.33203125" style="5" bestFit="1" customWidth="1"/>
    <col min="31" max="31" width="9.33203125" style="5" bestFit="1" customWidth="1"/>
    <col min="32" max="32" width="19.5546875" style="5" bestFit="1" customWidth="1"/>
    <col min="33" max="33" width="18" style="5" bestFit="1" customWidth="1"/>
    <col min="34" max="34" width="19.5546875" style="5" bestFit="1" customWidth="1"/>
    <col min="35" max="188" width="42.6640625" style="5" customWidth="1"/>
    <col min="189" max="16384" width="42.6640625" style="5"/>
  </cols>
  <sheetData>
    <row r="1" spans="1:21" ht="46.5" customHeight="1" x14ac:dyDescent="0.3">
      <c r="A1" s="64" t="str">
        <f ca="1">"Análise de Erros "&amp;TEXT(TODAY(),"dd/mm/aa")</f>
        <v>Análise de Erros 06/07/26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63"/>
      <c r="N1" s="59"/>
      <c r="O1" s="59"/>
      <c r="P1" s="63"/>
      <c r="Q1" s="59"/>
      <c r="R1" s="59"/>
      <c r="S1" s="63"/>
      <c r="T1" s="59"/>
      <c r="U1" s="59"/>
    </row>
    <row r="3" spans="1:21" x14ac:dyDescent="0.3">
      <c r="A3" s="61" t="s">
        <v>0</v>
      </c>
      <c r="B3" s="59"/>
      <c r="C3" s="59"/>
      <c r="D3" s="59"/>
      <c r="E3" s="59"/>
      <c r="F3" s="59"/>
      <c r="M3" s="62" t="s">
        <v>1</v>
      </c>
      <c r="N3" s="59"/>
      <c r="O3" s="59"/>
      <c r="P3" s="63"/>
      <c r="Q3" s="59"/>
      <c r="R3" s="59"/>
      <c r="S3" s="63"/>
      <c r="T3" s="59"/>
    </row>
    <row r="4" spans="1:21" x14ac:dyDescent="0.3">
      <c r="A4" s="13" t="s">
        <v>2</v>
      </c>
      <c r="B4" s="14" t="s">
        <v>3</v>
      </c>
      <c r="C4" s="14"/>
      <c r="D4" s="14"/>
      <c r="E4" s="14"/>
      <c r="F4" s="14"/>
      <c r="M4" s="13" t="s">
        <v>4</v>
      </c>
      <c r="N4" s="13"/>
      <c r="O4" s="14" t="s">
        <v>5</v>
      </c>
      <c r="P4" s="14"/>
      <c r="Q4" s="14"/>
      <c r="R4" s="14"/>
      <c r="S4" s="14"/>
      <c r="T4" s="14"/>
      <c r="U4" s="14"/>
    </row>
    <row r="5" spans="1:21" x14ac:dyDescent="0.3">
      <c r="A5" s="15" t="s">
        <v>6</v>
      </c>
      <c r="B5" s="19" t="s">
        <v>7</v>
      </c>
      <c r="C5" s="19" t="s">
        <v>8</v>
      </c>
      <c r="D5" s="19" t="s">
        <v>9</v>
      </c>
      <c r="E5" s="19" t="s">
        <v>3</v>
      </c>
      <c r="F5" s="19" t="s">
        <v>10</v>
      </c>
      <c r="M5" s="15" t="s">
        <v>11</v>
      </c>
      <c r="N5" s="16" t="s">
        <v>12</v>
      </c>
      <c r="O5" s="19" t="s">
        <v>13</v>
      </c>
      <c r="P5" s="19" t="s">
        <v>14</v>
      </c>
      <c r="Q5" s="19" t="s">
        <v>15</v>
      </c>
      <c r="R5" s="19" t="s">
        <v>16</v>
      </c>
      <c r="S5" s="19" t="s">
        <v>17</v>
      </c>
      <c r="T5" s="8" t="s">
        <v>18</v>
      </c>
      <c r="U5" s="23" t="s">
        <v>10</v>
      </c>
    </row>
    <row r="6" spans="1:21" x14ac:dyDescent="0.3">
      <c r="A6" s="17" t="s">
        <v>19</v>
      </c>
      <c r="B6" s="18">
        <v>35</v>
      </c>
      <c r="C6" s="18">
        <v>6</v>
      </c>
      <c r="D6" s="18">
        <v>11</v>
      </c>
      <c r="E6" s="18">
        <v>9</v>
      </c>
      <c r="F6" s="18">
        <v>61</v>
      </c>
      <c r="M6" s="34" t="s">
        <v>20</v>
      </c>
      <c r="N6" s="17" t="s">
        <v>21</v>
      </c>
      <c r="O6" s="39">
        <v>107</v>
      </c>
      <c r="P6" s="39">
        <v>11</v>
      </c>
      <c r="Q6" s="39">
        <v>28</v>
      </c>
      <c r="R6" s="39"/>
      <c r="S6" s="40">
        <v>62</v>
      </c>
      <c r="T6" s="39">
        <v>5</v>
      </c>
      <c r="U6" s="39">
        <v>213</v>
      </c>
    </row>
    <row r="7" spans="1:21" x14ac:dyDescent="0.3">
      <c r="A7" s="15" t="s">
        <v>22</v>
      </c>
      <c r="B7" s="19">
        <v>102</v>
      </c>
      <c r="C7" s="19">
        <v>64</v>
      </c>
      <c r="D7" s="19">
        <v>136</v>
      </c>
      <c r="E7" s="19">
        <v>8</v>
      </c>
      <c r="F7" s="19">
        <v>310</v>
      </c>
      <c r="M7" s="51"/>
      <c r="N7" s="52" t="s">
        <v>23</v>
      </c>
      <c r="O7" s="41"/>
      <c r="P7" s="41">
        <v>1</v>
      </c>
      <c r="Q7" s="41"/>
      <c r="R7" s="41"/>
      <c r="S7" s="42"/>
      <c r="T7" s="41"/>
      <c r="U7" s="41">
        <v>1</v>
      </c>
    </row>
    <row r="8" spans="1:21" x14ac:dyDescent="0.3">
      <c r="A8" s="17" t="s">
        <v>24</v>
      </c>
      <c r="B8" s="18">
        <v>8</v>
      </c>
      <c r="C8" s="18">
        <v>13</v>
      </c>
      <c r="D8" s="18">
        <v>13</v>
      </c>
      <c r="E8" s="18">
        <v>2</v>
      </c>
      <c r="F8" s="18">
        <v>36</v>
      </c>
      <c r="M8" s="36" t="s">
        <v>25</v>
      </c>
      <c r="N8" s="36"/>
      <c r="O8" s="37">
        <v>107</v>
      </c>
      <c r="P8" s="37">
        <v>12</v>
      </c>
      <c r="Q8" s="37">
        <v>28</v>
      </c>
      <c r="R8" s="37"/>
      <c r="S8" s="38">
        <v>62</v>
      </c>
      <c r="T8" s="37">
        <v>5</v>
      </c>
      <c r="U8" s="37">
        <v>214</v>
      </c>
    </row>
    <row r="9" spans="1:21" x14ac:dyDescent="0.3">
      <c r="A9" s="15" t="s">
        <v>26</v>
      </c>
      <c r="B9" s="19">
        <v>27</v>
      </c>
      <c r="C9" s="19">
        <v>15</v>
      </c>
      <c r="D9" s="19">
        <v>43</v>
      </c>
      <c r="E9" s="19">
        <v>17</v>
      </c>
      <c r="F9" s="19">
        <v>102</v>
      </c>
      <c r="M9" s="34" t="s">
        <v>27</v>
      </c>
      <c r="N9" s="17" t="s">
        <v>21</v>
      </c>
      <c r="O9" s="39">
        <v>1</v>
      </c>
      <c r="P9" s="39">
        <v>23</v>
      </c>
      <c r="Q9" s="39"/>
      <c r="R9" s="39">
        <v>6</v>
      </c>
      <c r="S9" s="40">
        <v>87</v>
      </c>
      <c r="T9" s="39"/>
      <c r="U9" s="39">
        <v>117</v>
      </c>
    </row>
    <row r="10" spans="1:21" x14ac:dyDescent="0.3">
      <c r="A10" s="17" t="s">
        <v>28</v>
      </c>
      <c r="B10" s="18">
        <v>10</v>
      </c>
      <c r="C10" s="18">
        <v>2</v>
      </c>
      <c r="D10" s="18">
        <v>17</v>
      </c>
      <c r="E10" s="18"/>
      <c r="F10" s="18">
        <v>29</v>
      </c>
      <c r="M10" s="48"/>
      <c r="N10" s="15" t="s">
        <v>23</v>
      </c>
      <c r="O10" s="41"/>
      <c r="P10" s="41">
        <v>2</v>
      </c>
      <c r="Q10" s="41"/>
      <c r="R10" s="41"/>
      <c r="S10" s="42">
        <v>1</v>
      </c>
      <c r="T10" s="41"/>
      <c r="U10" s="41">
        <v>3</v>
      </c>
    </row>
    <row r="11" spans="1:21" x14ac:dyDescent="0.3">
      <c r="A11" s="15" t="s">
        <v>29</v>
      </c>
      <c r="B11" s="19">
        <v>7</v>
      </c>
      <c r="C11" s="19"/>
      <c r="D11" s="19">
        <v>1</v>
      </c>
      <c r="E11" s="19"/>
      <c r="F11" s="19">
        <v>8</v>
      </c>
      <c r="M11" s="48"/>
      <c r="N11" s="6" t="s">
        <v>32</v>
      </c>
      <c r="O11" s="46"/>
      <c r="P11" s="46"/>
      <c r="Q11" s="46"/>
      <c r="R11" s="46">
        <v>1</v>
      </c>
      <c r="S11" s="47"/>
      <c r="T11" s="46"/>
      <c r="U11" s="46">
        <v>1</v>
      </c>
    </row>
    <row r="12" spans="1:21" x14ac:dyDescent="0.3">
      <c r="A12" s="17" t="s">
        <v>31</v>
      </c>
      <c r="B12" s="18">
        <v>7</v>
      </c>
      <c r="C12" s="18">
        <v>7</v>
      </c>
      <c r="D12" s="18">
        <v>22</v>
      </c>
      <c r="E12" s="18"/>
      <c r="F12" s="18">
        <v>36</v>
      </c>
      <c r="M12" s="24"/>
      <c r="N12" s="6" t="s">
        <v>30</v>
      </c>
      <c r="O12" s="46"/>
      <c r="P12" s="46"/>
      <c r="Q12" s="46"/>
      <c r="R12" s="46">
        <v>1</v>
      </c>
      <c r="S12" s="47"/>
      <c r="T12" s="46"/>
      <c r="U12" s="46">
        <v>1</v>
      </c>
    </row>
    <row r="13" spans="1:21" x14ac:dyDescent="0.3">
      <c r="A13" s="30" t="s">
        <v>10</v>
      </c>
      <c r="B13" s="31">
        <v>196</v>
      </c>
      <c r="C13" s="31">
        <v>107</v>
      </c>
      <c r="D13" s="31">
        <v>243</v>
      </c>
      <c r="E13" s="31">
        <v>36</v>
      </c>
      <c r="F13" s="31">
        <v>582</v>
      </c>
      <c r="M13" s="36" t="s">
        <v>33</v>
      </c>
      <c r="N13" s="36"/>
      <c r="O13" s="37">
        <v>1</v>
      </c>
      <c r="P13" s="37">
        <v>25</v>
      </c>
      <c r="Q13" s="37"/>
      <c r="R13" s="37">
        <v>8</v>
      </c>
      <c r="S13" s="38">
        <v>88</v>
      </c>
      <c r="T13" s="37"/>
      <c r="U13" s="37">
        <v>122</v>
      </c>
    </row>
    <row r="14" spans="1:21" x14ac:dyDescent="0.3">
      <c r="M14" s="35" t="s">
        <v>34</v>
      </c>
      <c r="N14" s="15" t="s">
        <v>21</v>
      </c>
      <c r="O14" s="41">
        <v>11</v>
      </c>
      <c r="P14" s="41">
        <v>39</v>
      </c>
      <c r="Q14" s="41"/>
      <c r="R14" s="41"/>
      <c r="S14" s="42">
        <v>19</v>
      </c>
      <c r="T14" s="41"/>
      <c r="U14" s="41">
        <v>69</v>
      </c>
    </row>
    <row r="15" spans="1:21" x14ac:dyDescent="0.3">
      <c r="A15" s="60" t="s">
        <v>35</v>
      </c>
      <c r="B15" s="59"/>
      <c r="C15" s="59"/>
      <c r="D15" s="59"/>
      <c r="E15" s="59"/>
      <c r="F15" s="11">
        <v>208</v>
      </c>
      <c r="M15" s="36" t="s">
        <v>36</v>
      </c>
      <c r="N15" s="36"/>
      <c r="O15" s="37">
        <v>11</v>
      </c>
      <c r="P15" s="37">
        <v>39</v>
      </c>
      <c r="Q15" s="37"/>
      <c r="R15" s="37"/>
      <c r="S15" s="38">
        <v>19</v>
      </c>
      <c r="T15" s="37"/>
      <c r="U15" s="37">
        <v>69</v>
      </c>
    </row>
    <row r="16" spans="1:21" x14ac:dyDescent="0.3">
      <c r="A16" s="58" t="str">
        <f>IF(($F$15/$F$13)&gt;=1,"Eficiência Positiva","Eficiência Negativa")</f>
        <v>Eficiência Negativa</v>
      </c>
      <c r="B16" s="59"/>
      <c r="C16" s="59"/>
      <c r="D16" s="59"/>
      <c r="E16" s="59"/>
      <c r="F16" s="12">
        <f>IFERROR($F$15/$F$13,0)</f>
        <v>0.35738831615120276</v>
      </c>
      <c r="M16" s="34" t="s">
        <v>37</v>
      </c>
      <c r="N16" s="17" t="s">
        <v>21</v>
      </c>
      <c r="O16" s="39">
        <v>32</v>
      </c>
      <c r="P16" s="39">
        <v>2</v>
      </c>
      <c r="Q16" s="39"/>
      <c r="R16" s="39">
        <v>5</v>
      </c>
      <c r="S16" s="40">
        <v>9</v>
      </c>
      <c r="T16" s="39">
        <v>1</v>
      </c>
      <c r="U16" s="39">
        <v>49</v>
      </c>
    </row>
    <row r="17" spans="1:22" x14ac:dyDescent="0.3">
      <c r="M17" s="48"/>
      <c r="N17" s="6" t="s">
        <v>30</v>
      </c>
      <c r="O17" s="46"/>
      <c r="P17" s="46"/>
      <c r="Q17" s="46"/>
      <c r="R17" s="46">
        <v>4</v>
      </c>
      <c r="S17" s="47"/>
      <c r="T17" s="46"/>
      <c r="U17" s="46">
        <v>4</v>
      </c>
    </row>
    <row r="18" spans="1:22" x14ac:dyDescent="0.3">
      <c r="A18" s="61" t="s">
        <v>38</v>
      </c>
      <c r="B18" s="59"/>
      <c r="C18" s="59"/>
      <c r="D18" s="59"/>
      <c r="E18" s="59"/>
      <c r="F18" s="59"/>
      <c r="M18" s="48"/>
      <c r="N18" s="15" t="s">
        <v>23</v>
      </c>
      <c r="O18" s="19"/>
      <c r="P18" s="19"/>
      <c r="Q18" s="19"/>
      <c r="R18" s="19"/>
      <c r="S18" s="53">
        <v>1</v>
      </c>
      <c r="T18" s="19"/>
      <c r="U18" s="19">
        <v>1</v>
      </c>
    </row>
    <row r="19" spans="1:22" x14ac:dyDescent="0.3">
      <c r="A19" s="13" t="s">
        <v>39</v>
      </c>
      <c r="B19" s="14" t="s">
        <v>40</v>
      </c>
      <c r="C19" s="14"/>
      <c r="D19" s="14"/>
      <c r="E19" s="14"/>
      <c r="F19" s="14"/>
      <c r="M19" s="24"/>
      <c r="N19" s="6" t="s">
        <v>32</v>
      </c>
      <c r="O19" s="46">
        <v>1</v>
      </c>
      <c r="P19" s="46"/>
      <c r="Q19" s="46"/>
      <c r="R19" s="46"/>
      <c r="S19" s="47"/>
      <c r="T19" s="46"/>
      <c r="U19" s="46">
        <v>1</v>
      </c>
    </row>
    <row r="20" spans="1:22" x14ac:dyDescent="0.3">
      <c r="A20" s="15" t="s">
        <v>41</v>
      </c>
      <c r="B20" s="16" t="s">
        <v>7</v>
      </c>
      <c r="C20" s="16" t="s">
        <v>8</v>
      </c>
      <c r="D20" s="16" t="s">
        <v>9</v>
      </c>
      <c r="E20" s="16" t="s">
        <v>3</v>
      </c>
      <c r="F20" s="16" t="s">
        <v>10</v>
      </c>
      <c r="M20" s="36" t="s">
        <v>42</v>
      </c>
      <c r="N20" s="36"/>
      <c r="O20" s="37">
        <v>33</v>
      </c>
      <c r="P20" s="37">
        <v>2</v>
      </c>
      <c r="Q20" s="37"/>
      <c r="R20" s="37">
        <v>9</v>
      </c>
      <c r="S20" s="38">
        <v>10</v>
      </c>
      <c r="T20" s="37">
        <v>1</v>
      </c>
      <c r="U20" s="37">
        <v>55</v>
      </c>
    </row>
    <row r="21" spans="1:22" x14ac:dyDescent="0.3">
      <c r="A21" s="17" t="s">
        <v>13</v>
      </c>
      <c r="B21" s="66">
        <v>64</v>
      </c>
      <c r="C21" s="66">
        <v>79</v>
      </c>
      <c r="D21" s="66">
        <v>36</v>
      </c>
      <c r="E21" s="66">
        <v>23</v>
      </c>
      <c r="F21" s="66">
        <v>202</v>
      </c>
      <c r="M21" s="30" t="s">
        <v>10</v>
      </c>
      <c r="N21" s="30"/>
      <c r="O21" s="43">
        <v>152</v>
      </c>
      <c r="P21" s="43">
        <v>78</v>
      </c>
      <c r="Q21" s="43">
        <v>28</v>
      </c>
      <c r="R21" s="43">
        <v>17</v>
      </c>
      <c r="S21" s="44">
        <v>179</v>
      </c>
      <c r="T21" s="43">
        <v>6</v>
      </c>
      <c r="U21" s="43">
        <v>460</v>
      </c>
    </row>
    <row r="22" spans="1:22" x14ac:dyDescent="0.3">
      <c r="A22" s="17" t="s">
        <v>17</v>
      </c>
      <c r="B22" s="66">
        <v>64</v>
      </c>
      <c r="C22" s="66">
        <v>10</v>
      </c>
      <c r="D22" s="66">
        <v>113</v>
      </c>
      <c r="E22" s="66"/>
      <c r="F22" s="66">
        <v>187</v>
      </c>
    </row>
    <row r="23" spans="1:22" x14ac:dyDescent="0.3">
      <c r="A23" s="15" t="s">
        <v>14</v>
      </c>
      <c r="B23" s="67">
        <v>11</v>
      </c>
      <c r="C23" s="67">
        <v>3</v>
      </c>
      <c r="D23" s="67">
        <v>71</v>
      </c>
      <c r="E23" s="67"/>
      <c r="F23" s="67">
        <v>85</v>
      </c>
    </row>
    <row r="24" spans="1:22" x14ac:dyDescent="0.3">
      <c r="A24" s="17" t="s">
        <v>16</v>
      </c>
      <c r="B24" s="66">
        <v>21</v>
      </c>
      <c r="C24" s="66">
        <v>3</v>
      </c>
      <c r="D24" s="66">
        <v>3</v>
      </c>
      <c r="E24" s="66">
        <v>2</v>
      </c>
      <c r="F24" s="66">
        <v>29</v>
      </c>
    </row>
    <row r="25" spans="1:22" x14ac:dyDescent="0.3">
      <c r="A25" s="15" t="s">
        <v>15</v>
      </c>
      <c r="B25" s="67"/>
      <c r="C25" s="67">
        <v>12</v>
      </c>
      <c r="D25" s="67">
        <v>5</v>
      </c>
      <c r="E25" s="67">
        <v>11</v>
      </c>
      <c r="F25" s="67">
        <v>28</v>
      </c>
    </row>
    <row r="26" spans="1:22" x14ac:dyDescent="0.3">
      <c r="A26" s="15" t="s">
        <v>43</v>
      </c>
      <c r="B26" s="67">
        <v>17</v>
      </c>
      <c r="C26" s="67"/>
      <c r="D26" s="67">
        <v>5</v>
      </c>
      <c r="E26" s="67"/>
      <c r="F26" s="67">
        <v>22</v>
      </c>
      <c r="M26" s="62" t="s">
        <v>44</v>
      </c>
      <c r="N26" s="59"/>
      <c r="O26" s="59"/>
      <c r="P26" s="63"/>
      <c r="Q26" s="59"/>
      <c r="R26" s="59"/>
      <c r="S26" s="63"/>
      <c r="T26" s="59"/>
      <c r="U26" s="59"/>
      <c r="V26" s="59"/>
    </row>
    <row r="27" spans="1:22" x14ac:dyDescent="0.3">
      <c r="A27" s="17" t="s">
        <v>46</v>
      </c>
      <c r="B27" s="66">
        <v>18</v>
      </c>
      <c r="C27" s="66"/>
      <c r="D27" s="66"/>
      <c r="E27" s="66"/>
      <c r="F27" s="66">
        <v>18</v>
      </c>
      <c r="M27" s="13" t="s">
        <v>45</v>
      </c>
      <c r="N27" s="14" t="s">
        <v>40</v>
      </c>
      <c r="O27" s="14"/>
      <c r="P27" s="14"/>
      <c r="Q27" s="14"/>
      <c r="R27" s="14"/>
      <c r="S27" s="14"/>
      <c r="T27" s="14"/>
      <c r="U27" s="14"/>
      <c r="V27" s="14"/>
    </row>
    <row r="28" spans="1:22" x14ac:dyDescent="0.3">
      <c r="A28" s="15" t="s">
        <v>18</v>
      </c>
      <c r="B28" s="67">
        <v>1</v>
      </c>
      <c r="C28" s="67"/>
      <c r="D28" s="67">
        <v>10</v>
      </c>
      <c r="E28" s="67"/>
      <c r="F28" s="67">
        <v>11</v>
      </c>
      <c r="M28" s="15" t="s">
        <v>41</v>
      </c>
      <c r="N28" s="16" t="s">
        <v>14</v>
      </c>
      <c r="O28" s="16" t="s">
        <v>43</v>
      </c>
      <c r="P28" s="16" t="s">
        <v>15</v>
      </c>
      <c r="Q28" s="16" t="s">
        <v>46</v>
      </c>
      <c r="R28" s="16" t="s">
        <v>13</v>
      </c>
      <c r="S28" s="16" t="s">
        <v>16</v>
      </c>
      <c r="T28" s="16" t="s">
        <v>17</v>
      </c>
      <c r="U28" s="16" t="s">
        <v>18</v>
      </c>
      <c r="V28" s="16" t="s">
        <v>10</v>
      </c>
    </row>
    <row r="29" spans="1:22" x14ac:dyDescent="0.3">
      <c r="A29" s="30" t="s">
        <v>10</v>
      </c>
      <c r="B29" s="69">
        <v>196</v>
      </c>
      <c r="C29" s="69">
        <v>107</v>
      </c>
      <c r="D29" s="69">
        <v>243</v>
      </c>
      <c r="E29" s="69">
        <v>36</v>
      </c>
      <c r="F29" s="31">
        <v>582</v>
      </c>
      <c r="M29" s="17" t="s">
        <v>50</v>
      </c>
      <c r="N29" s="66">
        <v>37</v>
      </c>
      <c r="O29" s="66"/>
      <c r="P29" s="66"/>
      <c r="Q29" s="66"/>
      <c r="R29" s="66"/>
      <c r="S29" s="66">
        <v>4</v>
      </c>
      <c r="T29" s="66"/>
      <c r="U29" s="66"/>
      <c r="V29" s="66">
        <v>41</v>
      </c>
    </row>
    <row r="30" spans="1:22" x14ac:dyDescent="0.3">
      <c r="M30" s="17" t="s">
        <v>56</v>
      </c>
      <c r="N30" s="66">
        <v>4</v>
      </c>
      <c r="O30" s="66"/>
      <c r="P30" s="66"/>
      <c r="Q30" s="66"/>
      <c r="R30" s="66"/>
      <c r="S30" s="66">
        <v>1</v>
      </c>
      <c r="T30" s="66">
        <v>27</v>
      </c>
      <c r="U30" s="66"/>
      <c r="V30" s="18">
        <v>32</v>
      </c>
    </row>
    <row r="31" spans="1:22" x14ac:dyDescent="0.3">
      <c r="A31" s="28" t="s">
        <v>49</v>
      </c>
      <c r="B31" s="29"/>
      <c r="C31" s="29"/>
      <c r="D31" s="29"/>
      <c r="E31" s="29"/>
      <c r="F31" s="29"/>
      <c r="G31" s="29"/>
      <c r="H31" s="29"/>
      <c r="I31" s="29"/>
      <c r="J31" s="27"/>
      <c r="M31" s="15" t="s">
        <v>48</v>
      </c>
      <c r="N31" s="67"/>
      <c r="O31" s="67"/>
      <c r="P31" s="67"/>
      <c r="Q31" s="67"/>
      <c r="R31" s="67">
        <v>29</v>
      </c>
      <c r="S31" s="67">
        <v>1</v>
      </c>
      <c r="T31" s="67"/>
      <c r="U31" s="67"/>
      <c r="V31" s="67">
        <v>30</v>
      </c>
    </row>
    <row r="32" spans="1:22" x14ac:dyDescent="0.3">
      <c r="A32" s="13" t="s">
        <v>51</v>
      </c>
      <c r="B32" s="14" t="s">
        <v>40</v>
      </c>
      <c r="C32" s="14"/>
      <c r="D32" s="14"/>
      <c r="E32" s="14"/>
      <c r="F32" s="14"/>
      <c r="G32" s="14"/>
      <c r="H32" s="14"/>
      <c r="I32" s="14"/>
      <c r="J32" s="14"/>
      <c r="M32" s="17" t="s">
        <v>53</v>
      </c>
      <c r="N32" s="66"/>
      <c r="O32" s="66"/>
      <c r="P32" s="66"/>
      <c r="Q32" s="66"/>
      <c r="R32" s="66"/>
      <c r="S32" s="66"/>
      <c r="T32" s="66">
        <v>28</v>
      </c>
      <c r="U32" s="66"/>
      <c r="V32" s="66">
        <v>28</v>
      </c>
    </row>
    <row r="33" spans="1:22" x14ac:dyDescent="0.3">
      <c r="A33" s="24" t="s">
        <v>41</v>
      </c>
      <c r="B33" s="23" t="s">
        <v>13</v>
      </c>
      <c r="C33" s="23" t="s">
        <v>14</v>
      </c>
      <c r="D33" s="23" t="s">
        <v>43</v>
      </c>
      <c r="E33" s="23" t="s">
        <v>15</v>
      </c>
      <c r="F33" s="23" t="s">
        <v>16</v>
      </c>
      <c r="G33" s="23" t="s">
        <v>17</v>
      </c>
      <c r="H33" s="23" t="s">
        <v>18</v>
      </c>
      <c r="I33" s="23" t="s">
        <v>46</v>
      </c>
      <c r="J33" s="23" t="s">
        <v>10</v>
      </c>
      <c r="M33" s="17" t="s">
        <v>47</v>
      </c>
      <c r="N33" s="66"/>
      <c r="O33" s="66"/>
      <c r="P33" s="66"/>
      <c r="Q33" s="66"/>
      <c r="R33" s="66"/>
      <c r="S33" s="66"/>
      <c r="T33" s="66">
        <v>28</v>
      </c>
      <c r="U33" s="66"/>
      <c r="V33" s="66">
        <v>28</v>
      </c>
    </row>
    <row r="34" spans="1:22" x14ac:dyDescent="0.3">
      <c r="A34" s="17" t="s">
        <v>21</v>
      </c>
      <c r="B34" s="18">
        <v>193</v>
      </c>
      <c r="C34" s="18">
        <v>82</v>
      </c>
      <c r="D34" s="18">
        <v>22</v>
      </c>
      <c r="E34" s="18">
        <v>28</v>
      </c>
      <c r="F34" s="18">
        <v>20</v>
      </c>
      <c r="G34" s="18">
        <v>185</v>
      </c>
      <c r="H34" s="18">
        <v>11</v>
      </c>
      <c r="I34" s="18">
        <v>6</v>
      </c>
      <c r="J34" s="18">
        <v>547</v>
      </c>
      <c r="M34" s="17" t="s">
        <v>54</v>
      </c>
      <c r="N34" s="66"/>
      <c r="O34" s="66"/>
      <c r="P34" s="66"/>
      <c r="Q34" s="66"/>
      <c r="R34" s="66">
        <v>24</v>
      </c>
      <c r="S34" s="66"/>
      <c r="T34" s="66"/>
      <c r="U34" s="66"/>
      <c r="V34" s="66">
        <v>24</v>
      </c>
    </row>
    <row r="35" spans="1:22" x14ac:dyDescent="0.3">
      <c r="A35" s="17" t="s">
        <v>32</v>
      </c>
      <c r="B35" s="18">
        <v>4</v>
      </c>
      <c r="C35" s="18"/>
      <c r="D35" s="18"/>
      <c r="E35" s="18"/>
      <c r="F35" s="18">
        <v>4</v>
      </c>
      <c r="G35" s="18"/>
      <c r="H35" s="18"/>
      <c r="I35" s="18">
        <v>12</v>
      </c>
      <c r="J35" s="18">
        <v>20</v>
      </c>
      <c r="M35" s="17" t="s">
        <v>58</v>
      </c>
      <c r="N35" s="66"/>
      <c r="O35" s="66"/>
      <c r="P35" s="66"/>
      <c r="Q35" s="66"/>
      <c r="R35" s="66">
        <v>22</v>
      </c>
      <c r="S35" s="66"/>
      <c r="T35" s="66"/>
      <c r="U35" s="66"/>
      <c r="V35" s="66">
        <v>22</v>
      </c>
    </row>
    <row r="36" spans="1:22" x14ac:dyDescent="0.3">
      <c r="A36" s="15" t="s">
        <v>30</v>
      </c>
      <c r="B36" s="19">
        <v>4</v>
      </c>
      <c r="C36" s="19"/>
      <c r="D36" s="19"/>
      <c r="E36" s="19"/>
      <c r="F36" s="19">
        <v>5</v>
      </c>
      <c r="G36" s="19"/>
      <c r="H36" s="19"/>
      <c r="I36" s="19"/>
      <c r="J36" s="19">
        <v>9</v>
      </c>
      <c r="M36" s="15" t="s">
        <v>43</v>
      </c>
      <c r="N36" s="67"/>
      <c r="O36" s="67">
        <v>22</v>
      </c>
      <c r="P36" s="67"/>
      <c r="Q36" s="67"/>
      <c r="R36" s="67"/>
      <c r="S36" s="67"/>
      <c r="T36" s="67"/>
      <c r="U36" s="67"/>
      <c r="V36" s="67">
        <v>22</v>
      </c>
    </row>
    <row r="37" spans="1:22" x14ac:dyDescent="0.3">
      <c r="A37" s="15" t="s">
        <v>23</v>
      </c>
      <c r="B37" s="19">
        <v>1</v>
      </c>
      <c r="C37" s="19">
        <v>3</v>
      </c>
      <c r="D37" s="19"/>
      <c r="E37" s="19"/>
      <c r="F37" s="19"/>
      <c r="G37" s="19">
        <v>2</v>
      </c>
      <c r="H37" s="19"/>
      <c r="I37" s="19"/>
      <c r="J37" s="19">
        <v>6</v>
      </c>
      <c r="M37" s="17" t="s">
        <v>57</v>
      </c>
      <c r="N37" s="66"/>
      <c r="O37" s="66"/>
      <c r="P37" s="66"/>
      <c r="Q37" s="66"/>
      <c r="R37" s="66">
        <v>19</v>
      </c>
      <c r="S37" s="66"/>
      <c r="T37" s="66"/>
      <c r="U37" s="66"/>
      <c r="V37" s="66">
        <v>19</v>
      </c>
    </row>
    <row r="38" spans="1:22" x14ac:dyDescent="0.3">
      <c r="A38" s="30" t="s">
        <v>10</v>
      </c>
      <c r="B38" s="31">
        <v>202</v>
      </c>
      <c r="C38" s="31">
        <v>85</v>
      </c>
      <c r="D38" s="31">
        <v>22</v>
      </c>
      <c r="E38" s="31">
        <v>28</v>
      </c>
      <c r="F38" s="31">
        <v>29</v>
      </c>
      <c r="G38" s="31">
        <v>187</v>
      </c>
      <c r="H38" s="31">
        <v>11</v>
      </c>
      <c r="I38" s="31">
        <v>18</v>
      </c>
      <c r="J38" s="31">
        <v>582</v>
      </c>
      <c r="M38" s="17" t="s">
        <v>46</v>
      </c>
      <c r="N38" s="66"/>
      <c r="O38" s="66"/>
      <c r="P38" s="66"/>
      <c r="Q38" s="66">
        <v>18</v>
      </c>
      <c r="R38" s="66"/>
      <c r="S38" s="66"/>
      <c r="T38" s="66"/>
      <c r="U38" s="66"/>
      <c r="V38" s="66">
        <v>18</v>
      </c>
    </row>
    <row r="39" spans="1:22" x14ac:dyDescent="0.3">
      <c r="M39" s="17" t="s">
        <v>59</v>
      </c>
      <c r="N39" s="66"/>
      <c r="O39" s="66"/>
      <c r="P39" s="66"/>
      <c r="Q39" s="66"/>
      <c r="R39" s="66"/>
      <c r="S39" s="66"/>
      <c r="T39" s="66">
        <v>17</v>
      </c>
      <c r="U39" s="66"/>
      <c r="V39" s="18">
        <v>17</v>
      </c>
    </row>
    <row r="40" spans="1:22" x14ac:dyDescent="0.3">
      <c r="M40" s="15" t="s">
        <v>83</v>
      </c>
      <c r="N40" s="67">
        <v>12</v>
      </c>
      <c r="O40" s="67"/>
      <c r="P40" s="67"/>
      <c r="Q40" s="67"/>
      <c r="R40" s="67"/>
      <c r="S40" s="67">
        <v>4</v>
      </c>
      <c r="T40" s="67"/>
      <c r="U40" s="67"/>
      <c r="V40" s="67">
        <v>16</v>
      </c>
    </row>
    <row r="41" spans="1:22" ht="15" customHeight="1" x14ac:dyDescent="0.3">
      <c r="A41" s="28" t="s">
        <v>60</v>
      </c>
      <c r="B41" s="29"/>
      <c r="C41" s="29"/>
      <c r="D41" s="29"/>
      <c r="E41" s="29"/>
      <c r="F41" s="29"/>
      <c r="G41" s="29"/>
      <c r="H41" s="29"/>
      <c r="I41" s="29"/>
      <c r="J41" s="27"/>
      <c r="M41" s="17" t="s">
        <v>52</v>
      </c>
      <c r="N41" s="66"/>
      <c r="O41" s="66"/>
      <c r="P41" s="66">
        <v>15</v>
      </c>
      <c r="Q41" s="66"/>
      <c r="R41" s="66"/>
      <c r="S41" s="66"/>
      <c r="T41" s="66"/>
      <c r="U41" s="66"/>
      <c r="V41" s="66">
        <v>15</v>
      </c>
    </row>
    <row r="42" spans="1:22" x14ac:dyDescent="0.3">
      <c r="A42" s="13" t="s">
        <v>62</v>
      </c>
      <c r="B42" s="14" t="s">
        <v>40</v>
      </c>
      <c r="C42" s="14"/>
      <c r="D42" s="14"/>
      <c r="E42" s="14"/>
      <c r="F42" s="14"/>
      <c r="G42" s="14"/>
      <c r="H42" s="14"/>
      <c r="I42" s="14"/>
      <c r="J42" s="14"/>
      <c r="M42" s="15" t="s">
        <v>55</v>
      </c>
      <c r="N42" s="67"/>
      <c r="O42" s="67"/>
      <c r="P42" s="67"/>
      <c r="Q42" s="67"/>
      <c r="R42" s="67"/>
      <c r="S42" s="67"/>
      <c r="T42" s="67">
        <v>14</v>
      </c>
      <c r="U42" s="67"/>
      <c r="V42" s="67">
        <v>14</v>
      </c>
    </row>
    <row r="43" spans="1:22" x14ac:dyDescent="0.3">
      <c r="A43" s="15" t="s">
        <v>41</v>
      </c>
      <c r="B43" s="16" t="s">
        <v>13</v>
      </c>
      <c r="C43" s="16" t="s">
        <v>14</v>
      </c>
      <c r="D43" s="16" t="s">
        <v>43</v>
      </c>
      <c r="E43" s="16" t="s">
        <v>15</v>
      </c>
      <c r="F43" s="16" t="s">
        <v>16</v>
      </c>
      <c r="G43" s="16" t="s">
        <v>17</v>
      </c>
      <c r="H43" s="16" t="s">
        <v>18</v>
      </c>
      <c r="I43" s="16" t="s">
        <v>46</v>
      </c>
      <c r="J43" s="16" t="s">
        <v>10</v>
      </c>
      <c r="M43" s="17" t="s">
        <v>76</v>
      </c>
      <c r="N43" s="66"/>
      <c r="O43" s="66"/>
      <c r="P43" s="66">
        <v>13</v>
      </c>
      <c r="Q43" s="66"/>
      <c r="R43" s="66"/>
      <c r="S43" s="66"/>
      <c r="T43" s="66"/>
      <c r="U43" s="66"/>
      <c r="V43" s="66">
        <v>13</v>
      </c>
    </row>
    <row r="44" spans="1:22" x14ac:dyDescent="0.3">
      <c r="A44" s="70" t="s">
        <v>65</v>
      </c>
      <c r="B44" s="18">
        <v>125</v>
      </c>
      <c r="C44" s="18">
        <v>41</v>
      </c>
      <c r="D44" s="18">
        <v>5</v>
      </c>
      <c r="E44" s="18">
        <v>28</v>
      </c>
      <c r="F44" s="18"/>
      <c r="G44" s="18">
        <v>76</v>
      </c>
      <c r="H44" s="18">
        <v>5</v>
      </c>
      <c r="I44" s="18"/>
      <c r="J44" s="66">
        <v>280</v>
      </c>
      <c r="M44" s="15" t="s">
        <v>93</v>
      </c>
      <c r="N44" s="67"/>
      <c r="O44" s="67"/>
      <c r="P44" s="67"/>
      <c r="Q44" s="67"/>
      <c r="R44" s="67">
        <v>10</v>
      </c>
      <c r="S44" s="67"/>
      <c r="T44" s="67">
        <v>2</v>
      </c>
      <c r="U44" s="67">
        <v>1</v>
      </c>
      <c r="V44" s="67">
        <v>13</v>
      </c>
    </row>
    <row r="45" spans="1:22" x14ac:dyDescent="0.3">
      <c r="A45" s="70" t="s">
        <v>69</v>
      </c>
      <c r="B45" s="18"/>
      <c r="C45" s="18">
        <v>18</v>
      </c>
      <c r="D45" s="18">
        <v>14</v>
      </c>
      <c r="E45" s="18"/>
      <c r="F45" s="18"/>
      <c r="G45" s="18">
        <v>15</v>
      </c>
      <c r="H45" s="18"/>
      <c r="I45" s="18"/>
      <c r="J45" s="66">
        <v>47</v>
      </c>
      <c r="M45" s="17" t="s">
        <v>63</v>
      </c>
      <c r="N45" s="66"/>
      <c r="O45" s="66"/>
      <c r="P45" s="66"/>
      <c r="Q45" s="66"/>
      <c r="R45" s="66">
        <v>12</v>
      </c>
      <c r="S45" s="66"/>
      <c r="T45" s="66"/>
      <c r="U45" s="66"/>
      <c r="V45" s="66">
        <v>12</v>
      </c>
    </row>
    <row r="46" spans="1:22" x14ac:dyDescent="0.3">
      <c r="A46" s="71" t="s">
        <v>67</v>
      </c>
      <c r="B46" s="19">
        <v>1</v>
      </c>
      <c r="C46" s="19">
        <v>10</v>
      </c>
      <c r="D46" s="19"/>
      <c r="E46" s="19"/>
      <c r="F46" s="19">
        <v>13</v>
      </c>
      <c r="G46" s="19">
        <v>15</v>
      </c>
      <c r="H46" s="19"/>
      <c r="I46" s="19"/>
      <c r="J46" s="67">
        <v>39</v>
      </c>
      <c r="M46" s="15" t="s">
        <v>64</v>
      </c>
      <c r="N46" s="67"/>
      <c r="O46" s="67"/>
      <c r="P46" s="67"/>
      <c r="Q46" s="67"/>
      <c r="R46" s="67"/>
      <c r="S46" s="67">
        <v>1</v>
      </c>
      <c r="T46" s="67">
        <v>9</v>
      </c>
      <c r="U46" s="67"/>
      <c r="V46" s="67">
        <v>10</v>
      </c>
    </row>
    <row r="47" spans="1:22" x14ac:dyDescent="0.3">
      <c r="A47" s="70" t="s">
        <v>71</v>
      </c>
      <c r="B47" s="18">
        <v>5</v>
      </c>
      <c r="C47" s="18">
        <v>2</v>
      </c>
      <c r="D47" s="18">
        <v>2</v>
      </c>
      <c r="E47" s="18"/>
      <c r="F47" s="18"/>
      <c r="G47" s="18">
        <v>23</v>
      </c>
      <c r="H47" s="18">
        <v>5</v>
      </c>
      <c r="I47" s="18"/>
      <c r="J47" s="66">
        <v>37</v>
      </c>
      <c r="M47" s="15" t="s">
        <v>74</v>
      </c>
      <c r="N47" s="67"/>
      <c r="O47" s="67"/>
      <c r="P47" s="67"/>
      <c r="Q47" s="67"/>
      <c r="R47" s="67"/>
      <c r="S47" s="67">
        <v>9</v>
      </c>
      <c r="T47" s="67">
        <v>1</v>
      </c>
      <c r="U47" s="67"/>
      <c r="V47" s="67">
        <v>10</v>
      </c>
    </row>
    <row r="48" spans="1:22" x14ac:dyDescent="0.3">
      <c r="A48" s="71" t="s">
        <v>73</v>
      </c>
      <c r="B48" s="19">
        <v>13</v>
      </c>
      <c r="C48" s="19"/>
      <c r="D48" s="19"/>
      <c r="E48" s="19"/>
      <c r="F48" s="19"/>
      <c r="G48" s="19">
        <v>10</v>
      </c>
      <c r="H48" s="19"/>
      <c r="I48" s="19"/>
      <c r="J48" s="67">
        <v>23</v>
      </c>
      <c r="M48" s="17" t="s">
        <v>99</v>
      </c>
      <c r="N48" s="66"/>
      <c r="O48" s="66"/>
      <c r="P48" s="66"/>
      <c r="Q48" s="66"/>
      <c r="R48" s="66">
        <v>10</v>
      </c>
      <c r="S48" s="66"/>
      <c r="T48" s="66"/>
      <c r="U48" s="66"/>
      <c r="V48" s="66">
        <v>10</v>
      </c>
    </row>
    <row r="49" spans="1:22" x14ac:dyDescent="0.3">
      <c r="A49" s="71" t="s">
        <v>78</v>
      </c>
      <c r="B49" s="19">
        <v>15</v>
      </c>
      <c r="C49" s="19"/>
      <c r="D49" s="19"/>
      <c r="E49" s="19"/>
      <c r="F49" s="19"/>
      <c r="G49" s="19">
        <v>7</v>
      </c>
      <c r="H49" s="19"/>
      <c r="I49" s="19"/>
      <c r="J49" s="67">
        <v>22</v>
      </c>
      <c r="M49" s="15" t="s">
        <v>79</v>
      </c>
      <c r="N49" s="67"/>
      <c r="O49" s="67"/>
      <c r="P49" s="67"/>
      <c r="Q49" s="67"/>
      <c r="R49" s="67">
        <v>10</v>
      </c>
      <c r="S49" s="67"/>
      <c r="T49" s="67"/>
      <c r="U49" s="67"/>
      <c r="V49" s="67">
        <v>10</v>
      </c>
    </row>
    <row r="50" spans="1:22" x14ac:dyDescent="0.3">
      <c r="A50" s="70" t="s">
        <v>75</v>
      </c>
      <c r="B50" s="18">
        <v>4</v>
      </c>
      <c r="C50" s="18"/>
      <c r="D50" s="18"/>
      <c r="E50" s="18"/>
      <c r="F50" s="18">
        <v>2</v>
      </c>
      <c r="G50" s="18">
        <v>16</v>
      </c>
      <c r="H50" s="18"/>
      <c r="I50" s="18"/>
      <c r="J50" s="66">
        <v>22</v>
      </c>
      <c r="M50" s="17" t="s">
        <v>72</v>
      </c>
      <c r="N50" s="66"/>
      <c r="O50" s="66"/>
      <c r="P50" s="66"/>
      <c r="Q50" s="66"/>
      <c r="R50" s="66"/>
      <c r="S50" s="66"/>
      <c r="T50" s="66"/>
      <c r="U50" s="66">
        <v>9</v>
      </c>
      <c r="V50" s="66">
        <v>9</v>
      </c>
    </row>
    <row r="51" spans="1:22" x14ac:dyDescent="0.3">
      <c r="A51" s="71" t="s">
        <v>77</v>
      </c>
      <c r="B51" s="19">
        <v>16</v>
      </c>
      <c r="C51" s="19"/>
      <c r="D51" s="19"/>
      <c r="E51" s="19"/>
      <c r="F51" s="19"/>
      <c r="G51" s="19"/>
      <c r="H51" s="19"/>
      <c r="I51" s="19"/>
      <c r="J51" s="67">
        <v>16</v>
      </c>
      <c r="M51" s="15" t="s">
        <v>112</v>
      </c>
      <c r="N51" s="67"/>
      <c r="O51" s="67"/>
      <c r="P51" s="67"/>
      <c r="Q51" s="67"/>
      <c r="R51" s="67">
        <v>9</v>
      </c>
      <c r="S51" s="67"/>
      <c r="T51" s="67"/>
      <c r="U51" s="67"/>
      <c r="V51" s="67">
        <v>9</v>
      </c>
    </row>
    <row r="52" spans="1:22" x14ac:dyDescent="0.3">
      <c r="A52" s="70" t="s">
        <v>86</v>
      </c>
      <c r="B52" s="18"/>
      <c r="C52" s="18">
        <v>1</v>
      </c>
      <c r="D52" s="18"/>
      <c r="E52" s="18"/>
      <c r="F52" s="18"/>
      <c r="G52" s="18">
        <v>14</v>
      </c>
      <c r="H52" s="18"/>
      <c r="I52" s="18"/>
      <c r="J52" s="66">
        <v>15</v>
      </c>
      <c r="M52" s="17" t="s">
        <v>68</v>
      </c>
      <c r="N52" s="66"/>
      <c r="O52" s="66"/>
      <c r="P52" s="66"/>
      <c r="Q52" s="66"/>
      <c r="R52" s="66">
        <v>8</v>
      </c>
      <c r="S52" s="66"/>
      <c r="T52" s="66"/>
      <c r="U52" s="66"/>
      <c r="V52" s="66">
        <v>8</v>
      </c>
    </row>
    <row r="53" spans="1:22" x14ac:dyDescent="0.3">
      <c r="A53" s="71" t="s">
        <v>84</v>
      </c>
      <c r="B53" s="19">
        <v>2</v>
      </c>
      <c r="C53" s="19">
        <v>6</v>
      </c>
      <c r="D53" s="19">
        <v>1</v>
      </c>
      <c r="E53" s="19"/>
      <c r="F53" s="19">
        <v>1</v>
      </c>
      <c r="G53" s="19">
        <v>2</v>
      </c>
      <c r="H53" s="19"/>
      <c r="I53" s="19">
        <v>3</v>
      </c>
      <c r="J53" s="67">
        <v>15</v>
      </c>
      <c r="M53" s="15" t="s">
        <v>70</v>
      </c>
      <c r="N53" s="67"/>
      <c r="O53" s="67"/>
      <c r="P53" s="67"/>
      <c r="Q53" s="67"/>
      <c r="R53" s="67">
        <v>7</v>
      </c>
      <c r="S53" s="67"/>
      <c r="T53" s="67"/>
      <c r="U53" s="67"/>
      <c r="V53" s="67">
        <v>7</v>
      </c>
    </row>
    <row r="54" spans="1:22" x14ac:dyDescent="0.3">
      <c r="A54" s="70" t="s">
        <v>82</v>
      </c>
      <c r="B54" s="18"/>
      <c r="C54" s="18"/>
      <c r="D54" s="18"/>
      <c r="E54" s="18"/>
      <c r="F54" s="18"/>
      <c r="G54" s="18"/>
      <c r="H54" s="18"/>
      <c r="I54" s="18">
        <v>12</v>
      </c>
      <c r="J54" s="66">
        <v>12</v>
      </c>
      <c r="M54" s="15" t="s">
        <v>61</v>
      </c>
      <c r="N54" s="67"/>
      <c r="O54" s="67"/>
      <c r="P54" s="67"/>
      <c r="Q54" s="67"/>
      <c r="R54" s="67">
        <v>7</v>
      </c>
      <c r="S54" s="67"/>
      <c r="T54" s="67"/>
      <c r="U54" s="67"/>
      <c r="V54" s="67">
        <v>7</v>
      </c>
    </row>
    <row r="55" spans="1:22" x14ac:dyDescent="0.3">
      <c r="A55" s="71" t="s">
        <v>80</v>
      </c>
      <c r="B55" s="19">
        <v>5</v>
      </c>
      <c r="C55" s="19"/>
      <c r="D55" s="19"/>
      <c r="E55" s="19"/>
      <c r="F55" s="19"/>
      <c r="G55" s="19"/>
      <c r="H55" s="19"/>
      <c r="I55" s="19">
        <v>3</v>
      </c>
      <c r="J55" s="67">
        <v>8</v>
      </c>
      <c r="M55" s="17" t="s">
        <v>103</v>
      </c>
      <c r="N55" s="66">
        <v>7</v>
      </c>
      <c r="O55" s="66"/>
      <c r="P55" s="66"/>
      <c r="Q55" s="66"/>
      <c r="R55" s="66"/>
      <c r="S55" s="66"/>
      <c r="T55" s="66"/>
      <c r="U55" s="66"/>
      <c r="V55" s="66">
        <v>7</v>
      </c>
    </row>
    <row r="56" spans="1:22" x14ac:dyDescent="0.3">
      <c r="A56" s="70" t="s">
        <v>92</v>
      </c>
      <c r="B56" s="18"/>
      <c r="C56" s="18">
        <v>4</v>
      </c>
      <c r="D56" s="18"/>
      <c r="E56" s="18"/>
      <c r="F56" s="18">
        <v>4</v>
      </c>
      <c r="G56" s="18"/>
      <c r="H56" s="18"/>
      <c r="I56" s="18"/>
      <c r="J56" s="66">
        <v>8</v>
      </c>
      <c r="M56" s="15" t="s">
        <v>87</v>
      </c>
      <c r="N56" s="67"/>
      <c r="O56" s="67"/>
      <c r="P56" s="67"/>
      <c r="Q56" s="67"/>
      <c r="R56" s="67">
        <v>7</v>
      </c>
      <c r="S56" s="67"/>
      <c r="T56" s="67"/>
      <c r="U56" s="67"/>
      <c r="V56" s="67">
        <v>7</v>
      </c>
    </row>
    <row r="57" spans="1:22" x14ac:dyDescent="0.3">
      <c r="A57" s="71" t="s">
        <v>88</v>
      </c>
      <c r="B57" s="19">
        <v>1</v>
      </c>
      <c r="C57" s="19">
        <v>3</v>
      </c>
      <c r="D57" s="19"/>
      <c r="E57" s="19"/>
      <c r="F57" s="19"/>
      <c r="G57" s="19">
        <v>2</v>
      </c>
      <c r="H57" s="19"/>
      <c r="I57" s="19"/>
      <c r="J57" s="67">
        <v>6</v>
      </c>
      <c r="M57" s="15" t="s">
        <v>97</v>
      </c>
      <c r="N57" s="67"/>
      <c r="O57" s="67"/>
      <c r="P57" s="67"/>
      <c r="Q57" s="67"/>
      <c r="R57" s="67"/>
      <c r="S57" s="67">
        <v>1</v>
      </c>
      <c r="T57" s="67">
        <v>6</v>
      </c>
      <c r="U57" s="67"/>
      <c r="V57" s="67">
        <v>7</v>
      </c>
    </row>
    <row r="58" spans="1:22" x14ac:dyDescent="0.3">
      <c r="A58" s="70" t="s">
        <v>100</v>
      </c>
      <c r="B58" s="18">
        <v>6</v>
      </c>
      <c r="C58" s="18"/>
      <c r="D58" s="18"/>
      <c r="E58" s="18"/>
      <c r="F58" s="18"/>
      <c r="G58" s="18"/>
      <c r="H58" s="18"/>
      <c r="I58" s="18"/>
      <c r="J58" s="66">
        <v>6</v>
      </c>
      <c r="M58" s="15" t="s">
        <v>105</v>
      </c>
      <c r="N58" s="67"/>
      <c r="O58" s="67"/>
      <c r="P58" s="67"/>
      <c r="Q58" s="67"/>
      <c r="R58" s="67"/>
      <c r="S58" s="67"/>
      <c r="T58" s="67">
        <v>6</v>
      </c>
      <c r="U58" s="67"/>
      <c r="V58" s="67">
        <v>6</v>
      </c>
    </row>
    <row r="59" spans="1:22" x14ac:dyDescent="0.3">
      <c r="A59" s="70" t="s">
        <v>90</v>
      </c>
      <c r="B59" s="18"/>
      <c r="C59" s="18"/>
      <c r="D59" s="18"/>
      <c r="E59" s="18"/>
      <c r="F59" s="18">
        <v>5</v>
      </c>
      <c r="G59" s="18"/>
      <c r="H59" s="18"/>
      <c r="I59" s="18"/>
      <c r="J59" s="66">
        <v>5</v>
      </c>
      <c r="M59" s="15" t="s">
        <v>91</v>
      </c>
      <c r="N59" s="67"/>
      <c r="O59" s="67"/>
      <c r="P59" s="67"/>
      <c r="Q59" s="67"/>
      <c r="R59" s="67"/>
      <c r="S59" s="67">
        <v>1</v>
      </c>
      <c r="T59" s="67">
        <v>5</v>
      </c>
      <c r="U59" s="67"/>
      <c r="V59" s="67">
        <v>6</v>
      </c>
    </row>
    <row r="60" spans="1:22" x14ac:dyDescent="0.3">
      <c r="A60" s="71" t="s">
        <v>94</v>
      </c>
      <c r="B60" s="19">
        <v>3</v>
      </c>
      <c r="C60" s="19"/>
      <c r="D60" s="19"/>
      <c r="E60" s="19"/>
      <c r="F60" s="19">
        <v>2</v>
      </c>
      <c r="G60" s="19"/>
      <c r="H60" s="19"/>
      <c r="I60" s="19"/>
      <c r="J60" s="67">
        <v>5</v>
      </c>
      <c r="M60" s="17" t="s">
        <v>117</v>
      </c>
      <c r="N60" s="66">
        <v>2</v>
      </c>
      <c r="O60" s="66"/>
      <c r="P60" s="66"/>
      <c r="Q60" s="66"/>
      <c r="R60" s="66">
        <v>4</v>
      </c>
      <c r="S60" s="66"/>
      <c r="T60" s="66"/>
      <c r="U60" s="66"/>
      <c r="V60" s="66">
        <v>6</v>
      </c>
    </row>
    <row r="61" spans="1:22" x14ac:dyDescent="0.3">
      <c r="A61" s="70" t="s">
        <v>98</v>
      </c>
      <c r="B61" s="18">
        <v>4</v>
      </c>
      <c r="C61" s="18"/>
      <c r="D61" s="18"/>
      <c r="E61" s="18"/>
      <c r="F61" s="18"/>
      <c r="G61" s="18"/>
      <c r="H61" s="18"/>
      <c r="I61" s="18"/>
      <c r="J61" s="66">
        <v>4</v>
      </c>
      <c r="M61" s="5" t="s">
        <v>131</v>
      </c>
      <c r="N61" s="65"/>
      <c r="O61" s="65"/>
      <c r="P61" s="65"/>
      <c r="Q61" s="65"/>
      <c r="R61" s="65"/>
      <c r="S61" s="65"/>
      <c r="T61" s="65">
        <v>6</v>
      </c>
      <c r="U61" s="65"/>
      <c r="V61" s="65">
        <v>6</v>
      </c>
    </row>
    <row r="62" spans="1:22" x14ac:dyDescent="0.3">
      <c r="A62" s="70" t="s">
        <v>96</v>
      </c>
      <c r="B62" s="18"/>
      <c r="C62" s="18"/>
      <c r="D62" s="18"/>
      <c r="E62" s="18"/>
      <c r="F62" s="18"/>
      <c r="G62" s="18">
        <v>4</v>
      </c>
      <c r="H62" s="18"/>
      <c r="I62" s="18"/>
      <c r="J62" s="66">
        <v>4</v>
      </c>
      <c r="M62" s="15" t="s">
        <v>111</v>
      </c>
      <c r="N62" s="67"/>
      <c r="O62" s="67"/>
      <c r="P62" s="67"/>
      <c r="Q62" s="67"/>
      <c r="R62" s="67"/>
      <c r="S62" s="67"/>
      <c r="T62" s="67">
        <v>6</v>
      </c>
      <c r="U62" s="67"/>
      <c r="V62" s="67">
        <v>6</v>
      </c>
    </row>
    <row r="63" spans="1:22" x14ac:dyDescent="0.3">
      <c r="A63" s="71" t="s">
        <v>102</v>
      </c>
      <c r="B63" s="19">
        <v>1</v>
      </c>
      <c r="C63" s="19"/>
      <c r="D63" s="19"/>
      <c r="E63" s="19"/>
      <c r="F63" s="19">
        <v>2</v>
      </c>
      <c r="G63" s="19"/>
      <c r="H63" s="19"/>
      <c r="I63" s="19"/>
      <c r="J63" s="67">
        <v>3</v>
      </c>
      <c r="M63" s="15" t="s">
        <v>85</v>
      </c>
      <c r="N63" s="67"/>
      <c r="O63" s="67"/>
      <c r="P63" s="67"/>
      <c r="Q63" s="67"/>
      <c r="R63" s="67"/>
      <c r="S63" s="67"/>
      <c r="T63" s="67">
        <v>6</v>
      </c>
      <c r="U63" s="67"/>
      <c r="V63" s="19">
        <v>6</v>
      </c>
    </row>
    <row r="64" spans="1:22" x14ac:dyDescent="0.3">
      <c r="A64" s="71" t="s">
        <v>104</v>
      </c>
      <c r="B64" s="19"/>
      <c r="C64" s="19"/>
      <c r="D64" s="19"/>
      <c r="E64" s="19"/>
      <c r="F64" s="19"/>
      <c r="G64" s="19">
        <v>2</v>
      </c>
      <c r="H64" s="19"/>
      <c r="I64" s="19"/>
      <c r="J64" s="67">
        <v>2</v>
      </c>
      <c r="K64" s="8"/>
      <c r="L64" s="8"/>
      <c r="M64" s="17" t="s">
        <v>66</v>
      </c>
      <c r="N64" s="66"/>
      <c r="O64" s="66"/>
      <c r="P64" s="66"/>
      <c r="Q64" s="66"/>
      <c r="R64" s="66">
        <v>6</v>
      </c>
      <c r="S64" s="66"/>
      <c r="T64" s="66"/>
      <c r="U64" s="66"/>
      <c r="V64" s="66">
        <v>6</v>
      </c>
    </row>
    <row r="65" spans="1:22" x14ac:dyDescent="0.3">
      <c r="A65" s="71" t="s">
        <v>106</v>
      </c>
      <c r="B65" s="19">
        <v>1</v>
      </c>
      <c r="C65" s="19"/>
      <c r="D65" s="19"/>
      <c r="E65" s="19"/>
      <c r="F65" s="19"/>
      <c r="G65" s="19"/>
      <c r="H65" s="19">
        <v>1</v>
      </c>
      <c r="I65" s="19"/>
      <c r="J65" s="67">
        <v>2</v>
      </c>
      <c r="M65" s="17" t="s">
        <v>95</v>
      </c>
      <c r="N65" s="66"/>
      <c r="O65" s="66"/>
      <c r="P65" s="66"/>
      <c r="Q65" s="66"/>
      <c r="R65" s="66">
        <v>5</v>
      </c>
      <c r="S65" s="66"/>
      <c r="T65" s="66"/>
      <c r="U65" s="66"/>
      <c r="V65" s="66">
        <v>5</v>
      </c>
    </row>
    <row r="66" spans="1:22" x14ac:dyDescent="0.3">
      <c r="A66" s="70" t="s">
        <v>108</v>
      </c>
      <c r="B66" s="18"/>
      <c r="C66" s="18"/>
      <c r="D66" s="18"/>
      <c r="E66" s="18"/>
      <c r="F66" s="18"/>
      <c r="G66" s="18">
        <v>1</v>
      </c>
      <c r="H66" s="18"/>
      <c r="I66" s="18"/>
      <c r="J66" s="66">
        <v>1</v>
      </c>
      <c r="M66" s="17" t="s">
        <v>81</v>
      </c>
      <c r="N66" s="66">
        <v>5</v>
      </c>
      <c r="O66" s="66"/>
      <c r="P66" s="66"/>
      <c r="Q66" s="66"/>
      <c r="R66" s="66"/>
      <c r="S66" s="66"/>
      <c r="T66" s="66"/>
      <c r="U66" s="66"/>
      <c r="V66" s="66">
        <v>5</v>
      </c>
    </row>
    <row r="67" spans="1:22" x14ac:dyDescent="0.3">
      <c r="A67" s="30" t="s">
        <v>10</v>
      </c>
      <c r="B67" s="31">
        <v>202</v>
      </c>
      <c r="C67" s="31">
        <v>85</v>
      </c>
      <c r="D67" s="31">
        <v>22</v>
      </c>
      <c r="E67" s="31">
        <v>28</v>
      </c>
      <c r="F67" s="31">
        <v>29</v>
      </c>
      <c r="G67" s="31">
        <v>187</v>
      </c>
      <c r="H67" s="31">
        <v>11</v>
      </c>
      <c r="I67" s="31">
        <v>18</v>
      </c>
      <c r="J67" s="31">
        <v>582</v>
      </c>
      <c r="K67" s="9"/>
      <c r="L67" s="9"/>
      <c r="M67" s="17" t="s">
        <v>116</v>
      </c>
      <c r="N67" s="66"/>
      <c r="O67" s="66"/>
      <c r="P67" s="66"/>
      <c r="Q67" s="66"/>
      <c r="R67" s="66"/>
      <c r="S67" s="66"/>
      <c r="T67" s="66">
        <v>5</v>
      </c>
      <c r="U67" s="66"/>
      <c r="V67" s="66">
        <v>5</v>
      </c>
    </row>
    <row r="68" spans="1:22" x14ac:dyDescent="0.3">
      <c r="K68" s="8"/>
      <c r="L68" s="8"/>
      <c r="M68" s="17" t="s">
        <v>110</v>
      </c>
      <c r="N68" s="66">
        <v>5</v>
      </c>
      <c r="O68" s="66"/>
      <c r="P68" s="66"/>
      <c r="Q68" s="66"/>
      <c r="R68" s="66"/>
      <c r="S68" s="66"/>
      <c r="T68" s="66"/>
      <c r="U68" s="66"/>
      <c r="V68" s="66">
        <v>5</v>
      </c>
    </row>
    <row r="69" spans="1:22" x14ac:dyDescent="0.3">
      <c r="M69" s="17" t="s">
        <v>101</v>
      </c>
      <c r="N69" s="66"/>
      <c r="O69" s="66"/>
      <c r="P69" s="66"/>
      <c r="Q69" s="66"/>
      <c r="R69" s="66"/>
      <c r="S69" s="66">
        <v>2</v>
      </c>
      <c r="T69" s="66">
        <v>3</v>
      </c>
      <c r="U69" s="66"/>
      <c r="V69" s="66">
        <v>5</v>
      </c>
    </row>
    <row r="70" spans="1:22" x14ac:dyDescent="0.3">
      <c r="L70" s="9"/>
      <c r="M70" s="15" t="s">
        <v>114</v>
      </c>
      <c r="N70" s="67"/>
      <c r="O70" s="67"/>
      <c r="P70" s="67"/>
      <c r="Q70" s="67"/>
      <c r="R70" s="67">
        <v>4</v>
      </c>
      <c r="S70" s="67"/>
      <c r="T70" s="67"/>
      <c r="U70" s="67"/>
      <c r="V70" s="67">
        <v>4</v>
      </c>
    </row>
    <row r="71" spans="1:22" x14ac:dyDescent="0.3">
      <c r="L71" s="8"/>
      <c r="M71" s="17" t="s">
        <v>128</v>
      </c>
      <c r="N71" s="66"/>
      <c r="O71" s="66"/>
      <c r="P71" s="66"/>
      <c r="Q71" s="66"/>
      <c r="R71" s="66"/>
      <c r="S71" s="66"/>
      <c r="T71" s="66">
        <v>4</v>
      </c>
      <c r="U71" s="66"/>
      <c r="V71" s="66">
        <v>4</v>
      </c>
    </row>
    <row r="72" spans="1:22" x14ac:dyDescent="0.3">
      <c r="L72" s="8"/>
      <c r="M72" s="15" t="s">
        <v>119</v>
      </c>
      <c r="N72" s="67"/>
      <c r="O72" s="67"/>
      <c r="P72" s="67"/>
      <c r="Q72" s="67"/>
      <c r="R72" s="67"/>
      <c r="S72" s="67"/>
      <c r="T72" s="67">
        <v>4</v>
      </c>
      <c r="U72" s="67"/>
      <c r="V72" s="67">
        <v>4</v>
      </c>
    </row>
    <row r="73" spans="1:22" x14ac:dyDescent="0.3">
      <c r="B73" s="6"/>
      <c r="C73" s="6"/>
      <c r="D73" s="6"/>
      <c r="E73" s="6"/>
      <c r="F73" s="6"/>
      <c r="G73" s="6"/>
      <c r="H73" s="6"/>
      <c r="I73" s="6"/>
      <c r="J73" s="6"/>
      <c r="L73" s="8"/>
      <c r="M73" s="15" t="s">
        <v>109</v>
      </c>
      <c r="N73" s="67">
        <v>4</v>
      </c>
      <c r="O73" s="67"/>
      <c r="P73" s="67"/>
      <c r="Q73" s="67"/>
      <c r="R73" s="67"/>
      <c r="S73" s="67"/>
      <c r="T73" s="67"/>
      <c r="U73" s="67"/>
      <c r="V73" s="67">
        <v>4</v>
      </c>
    </row>
    <row r="74" spans="1:22" x14ac:dyDescent="0.3">
      <c r="B74" s="8"/>
      <c r="C74" s="8"/>
      <c r="D74" s="8"/>
      <c r="E74" s="8"/>
      <c r="F74" s="8"/>
      <c r="G74" s="8"/>
      <c r="H74" s="8"/>
      <c r="I74" s="8"/>
      <c r="J74" s="8"/>
      <c r="L74" s="8"/>
      <c r="M74" s="6" t="s">
        <v>137</v>
      </c>
      <c r="N74" s="65"/>
      <c r="O74" s="65"/>
      <c r="P74" s="65"/>
      <c r="Q74" s="65"/>
      <c r="R74" s="65"/>
      <c r="S74" s="65"/>
      <c r="T74" s="65">
        <v>4</v>
      </c>
      <c r="U74" s="65"/>
      <c r="V74" s="65">
        <v>4</v>
      </c>
    </row>
    <row r="75" spans="1:22" x14ac:dyDescent="0.3">
      <c r="L75" s="10"/>
      <c r="M75" s="6" t="s">
        <v>121</v>
      </c>
      <c r="N75" s="65"/>
      <c r="O75" s="65"/>
      <c r="P75" s="65"/>
      <c r="Q75" s="65"/>
      <c r="R75" s="65">
        <v>2</v>
      </c>
      <c r="S75" s="65">
        <v>1</v>
      </c>
      <c r="T75" s="65"/>
      <c r="U75" s="65"/>
      <c r="V75" s="65">
        <v>3</v>
      </c>
    </row>
    <row r="76" spans="1:22" x14ac:dyDescent="0.3">
      <c r="L76" s="10"/>
      <c r="M76" s="15" t="s">
        <v>130</v>
      </c>
      <c r="N76" s="67">
        <v>3</v>
      </c>
      <c r="O76" s="67"/>
      <c r="P76" s="67"/>
      <c r="Q76" s="67"/>
      <c r="R76" s="67"/>
      <c r="S76" s="67"/>
      <c r="T76" s="67"/>
      <c r="U76" s="67"/>
      <c r="V76" s="67">
        <v>3</v>
      </c>
    </row>
    <row r="77" spans="1:22" x14ac:dyDescent="0.3">
      <c r="L77" s="8"/>
      <c r="M77" s="15" t="s">
        <v>107</v>
      </c>
      <c r="N77" s="67">
        <v>3</v>
      </c>
      <c r="O77" s="67"/>
      <c r="P77" s="67"/>
      <c r="Q77" s="67"/>
      <c r="R77" s="67"/>
      <c r="S77" s="67"/>
      <c r="T77" s="67"/>
      <c r="U77" s="67"/>
      <c r="V77" s="19">
        <v>3</v>
      </c>
    </row>
    <row r="78" spans="1:22" x14ac:dyDescent="0.3">
      <c r="A78" s="61" t="s">
        <v>120</v>
      </c>
      <c r="B78" s="59"/>
      <c r="C78" s="59"/>
      <c r="D78" s="59"/>
      <c r="E78" s="29"/>
      <c r="F78" s="29"/>
      <c r="G78" s="29"/>
      <c r="H78" s="29"/>
      <c r="I78" s="29"/>
      <c r="J78" s="27"/>
      <c r="M78" s="15" t="s">
        <v>126</v>
      </c>
      <c r="N78" s="67"/>
      <c r="O78" s="67"/>
      <c r="P78" s="67"/>
      <c r="Q78" s="67"/>
      <c r="R78" s="67">
        <v>2</v>
      </c>
      <c r="S78" s="67"/>
      <c r="T78" s="67"/>
      <c r="U78" s="67"/>
      <c r="V78" s="67">
        <v>2</v>
      </c>
    </row>
    <row r="79" spans="1:22" x14ac:dyDescent="0.3">
      <c r="A79" s="13" t="s">
        <v>4</v>
      </c>
      <c r="B79" s="14" t="s">
        <v>11</v>
      </c>
      <c r="C79" s="14"/>
      <c r="D79" s="14"/>
      <c r="E79" s="14"/>
      <c r="F79" s="14"/>
      <c r="G79" s="14"/>
      <c r="H79" s="14"/>
      <c r="I79" s="14"/>
      <c r="M79" s="5" t="s">
        <v>129</v>
      </c>
      <c r="N79" s="65"/>
      <c r="O79" s="65"/>
      <c r="P79" s="65"/>
      <c r="Q79" s="65"/>
      <c r="R79" s="65"/>
      <c r="S79" s="65">
        <v>2</v>
      </c>
      <c r="T79" s="65"/>
      <c r="U79" s="65"/>
      <c r="V79" s="65">
        <v>2</v>
      </c>
    </row>
    <row r="80" spans="1:22" x14ac:dyDescent="0.3">
      <c r="A80" s="15" t="s">
        <v>6</v>
      </c>
      <c r="B80" s="16" t="s">
        <v>37</v>
      </c>
      <c r="C80" s="16" t="s">
        <v>27</v>
      </c>
      <c r="D80" s="16" t="s">
        <v>123</v>
      </c>
      <c r="E80" s="16" t="s">
        <v>124</v>
      </c>
      <c r="F80" s="16" t="s">
        <v>34</v>
      </c>
      <c r="G80" s="16" t="s">
        <v>20</v>
      </c>
      <c r="H80" s="16" t="s">
        <v>125</v>
      </c>
      <c r="I80" s="45" t="s">
        <v>10</v>
      </c>
      <c r="M80" s="6" t="s">
        <v>127</v>
      </c>
      <c r="N80" s="65"/>
      <c r="O80" s="65"/>
      <c r="P80" s="65"/>
      <c r="Q80" s="65"/>
      <c r="R80" s="65">
        <v>2</v>
      </c>
      <c r="S80" s="65"/>
      <c r="T80" s="65"/>
      <c r="U80" s="65"/>
      <c r="V80" s="8">
        <v>2</v>
      </c>
    </row>
    <row r="81" spans="1:22" x14ac:dyDescent="0.3">
      <c r="A81" s="17" t="s">
        <v>19</v>
      </c>
      <c r="B81" s="39">
        <v>16</v>
      </c>
      <c r="C81" s="39">
        <v>3</v>
      </c>
      <c r="D81" s="39"/>
      <c r="E81" s="39">
        <v>16</v>
      </c>
      <c r="F81" s="39">
        <v>5</v>
      </c>
      <c r="G81" s="39">
        <v>18</v>
      </c>
      <c r="H81" s="39">
        <v>3</v>
      </c>
      <c r="I81" s="39">
        <v>61</v>
      </c>
      <c r="L81" s="8"/>
      <c r="M81" s="17" t="s">
        <v>1814</v>
      </c>
      <c r="N81" s="66">
        <v>2</v>
      </c>
      <c r="O81" s="66"/>
      <c r="P81" s="66"/>
      <c r="Q81" s="66"/>
      <c r="R81" s="66"/>
      <c r="S81" s="66"/>
      <c r="T81" s="66"/>
      <c r="U81" s="66"/>
      <c r="V81" s="66">
        <v>2</v>
      </c>
    </row>
    <row r="82" spans="1:22" x14ac:dyDescent="0.3">
      <c r="A82" s="15" t="s">
        <v>22</v>
      </c>
      <c r="B82" s="41">
        <v>23</v>
      </c>
      <c r="C82" s="41">
        <v>80</v>
      </c>
      <c r="D82" s="41">
        <v>12</v>
      </c>
      <c r="E82" s="41">
        <v>2</v>
      </c>
      <c r="F82" s="41">
        <v>46</v>
      </c>
      <c r="G82" s="41">
        <v>122</v>
      </c>
      <c r="H82" s="41">
        <v>25</v>
      </c>
      <c r="I82" s="41">
        <v>310</v>
      </c>
      <c r="L82" s="8"/>
      <c r="M82" s="15" t="s">
        <v>122</v>
      </c>
      <c r="N82" s="67"/>
      <c r="O82" s="67"/>
      <c r="P82" s="67"/>
      <c r="Q82" s="67"/>
      <c r="R82" s="67"/>
      <c r="S82" s="67"/>
      <c r="T82" s="67">
        <v>2</v>
      </c>
      <c r="U82" s="67"/>
      <c r="V82" s="67">
        <v>2</v>
      </c>
    </row>
    <row r="83" spans="1:22" x14ac:dyDescent="0.3">
      <c r="A83" s="17" t="s">
        <v>24</v>
      </c>
      <c r="B83" s="39"/>
      <c r="C83" s="39">
        <v>4</v>
      </c>
      <c r="D83" s="39">
        <v>5</v>
      </c>
      <c r="E83" s="39"/>
      <c r="F83" s="39">
        <v>2</v>
      </c>
      <c r="G83" s="39">
        <v>20</v>
      </c>
      <c r="H83" s="39">
        <v>5</v>
      </c>
      <c r="I83" s="39">
        <v>36</v>
      </c>
      <c r="L83" s="8"/>
      <c r="M83" s="6" t="s">
        <v>113</v>
      </c>
      <c r="N83" s="65"/>
      <c r="O83" s="65"/>
      <c r="P83" s="65"/>
      <c r="Q83" s="65"/>
      <c r="R83" s="65"/>
      <c r="S83" s="65">
        <v>2</v>
      </c>
      <c r="T83" s="65"/>
      <c r="U83" s="65"/>
      <c r="V83" s="65">
        <v>2</v>
      </c>
    </row>
    <row r="84" spans="1:22" x14ac:dyDescent="0.3">
      <c r="A84" s="15" t="s">
        <v>26</v>
      </c>
      <c r="B84" s="41">
        <v>2</v>
      </c>
      <c r="C84" s="41">
        <v>18</v>
      </c>
      <c r="D84" s="41">
        <v>5</v>
      </c>
      <c r="E84" s="41"/>
      <c r="F84" s="41">
        <v>4</v>
      </c>
      <c r="G84" s="41">
        <v>48</v>
      </c>
      <c r="H84" s="41">
        <v>25</v>
      </c>
      <c r="I84" s="41">
        <v>102</v>
      </c>
      <c r="L84" s="8"/>
      <c r="M84" s="6" t="s">
        <v>136</v>
      </c>
      <c r="N84" s="65"/>
      <c r="O84" s="65"/>
      <c r="P84" s="65"/>
      <c r="Q84" s="65"/>
      <c r="R84" s="65"/>
      <c r="S84" s="65"/>
      <c r="T84" s="65"/>
      <c r="U84" s="65">
        <v>1</v>
      </c>
      <c r="V84" s="65">
        <v>1</v>
      </c>
    </row>
    <row r="85" spans="1:22" x14ac:dyDescent="0.3">
      <c r="A85" s="17" t="s">
        <v>28</v>
      </c>
      <c r="B85" s="39">
        <v>2</v>
      </c>
      <c r="C85" s="39">
        <v>7</v>
      </c>
      <c r="D85" s="39"/>
      <c r="E85" s="39"/>
      <c r="F85" s="39">
        <v>4</v>
      </c>
      <c r="G85" s="39">
        <v>5</v>
      </c>
      <c r="H85" s="39">
        <v>11</v>
      </c>
      <c r="I85" s="39">
        <v>29</v>
      </c>
      <c r="L85" s="8"/>
      <c r="M85" s="17" t="s">
        <v>135</v>
      </c>
      <c r="N85" s="66"/>
      <c r="O85" s="66"/>
      <c r="P85" s="66"/>
      <c r="Q85" s="66"/>
      <c r="R85" s="66"/>
      <c r="S85" s="66"/>
      <c r="T85" s="66">
        <v>1</v>
      </c>
      <c r="U85" s="66"/>
      <c r="V85" s="66">
        <v>1</v>
      </c>
    </row>
    <row r="86" spans="1:22" x14ac:dyDescent="0.3">
      <c r="A86" s="15" t="s">
        <v>29</v>
      </c>
      <c r="B86" s="41">
        <v>4</v>
      </c>
      <c r="C86" s="41"/>
      <c r="D86" s="41"/>
      <c r="E86" s="41"/>
      <c r="F86" s="41"/>
      <c r="G86" s="41">
        <v>1</v>
      </c>
      <c r="H86" s="41">
        <v>3</v>
      </c>
      <c r="I86" s="41">
        <v>8</v>
      </c>
      <c r="L86" s="8"/>
      <c r="M86" s="5" t="s">
        <v>118</v>
      </c>
      <c r="N86" s="65"/>
      <c r="O86" s="65"/>
      <c r="P86" s="65"/>
      <c r="Q86" s="65"/>
      <c r="R86" s="65"/>
      <c r="S86" s="65"/>
      <c r="T86" s="65">
        <v>1</v>
      </c>
      <c r="U86" s="65"/>
      <c r="V86" s="65">
        <v>1</v>
      </c>
    </row>
    <row r="87" spans="1:22" x14ac:dyDescent="0.3">
      <c r="A87" s="17" t="s">
        <v>31</v>
      </c>
      <c r="B87" s="39">
        <v>8</v>
      </c>
      <c r="C87" s="39">
        <v>10</v>
      </c>
      <c r="D87" s="39"/>
      <c r="E87" s="39"/>
      <c r="F87" s="39">
        <v>8</v>
      </c>
      <c r="G87" s="39"/>
      <c r="H87" s="39">
        <v>10</v>
      </c>
      <c r="I87" s="39">
        <v>36</v>
      </c>
      <c r="M87" s="17" t="s">
        <v>132</v>
      </c>
      <c r="N87" s="66"/>
      <c r="O87" s="66"/>
      <c r="P87" s="66"/>
      <c r="Q87" s="66"/>
      <c r="R87" s="66"/>
      <c r="S87" s="66"/>
      <c r="T87" s="66">
        <v>1</v>
      </c>
      <c r="U87" s="66"/>
      <c r="V87" s="66">
        <v>1</v>
      </c>
    </row>
    <row r="88" spans="1:22" x14ac:dyDescent="0.3">
      <c r="A88" s="30" t="s">
        <v>10</v>
      </c>
      <c r="B88" s="43">
        <v>55</v>
      </c>
      <c r="C88" s="43">
        <v>122</v>
      </c>
      <c r="D88" s="43">
        <v>22</v>
      </c>
      <c r="E88" s="43">
        <v>18</v>
      </c>
      <c r="F88" s="43">
        <v>69</v>
      </c>
      <c r="G88" s="43">
        <v>214</v>
      </c>
      <c r="H88" s="43">
        <v>82</v>
      </c>
      <c r="I88" s="43">
        <v>582</v>
      </c>
      <c r="M88" s="5" t="s">
        <v>133</v>
      </c>
      <c r="N88" s="65"/>
      <c r="O88" s="65"/>
      <c r="P88" s="65"/>
      <c r="Q88" s="65"/>
      <c r="R88" s="65"/>
      <c r="S88" s="65"/>
      <c r="T88" s="65">
        <v>1</v>
      </c>
      <c r="U88" s="65"/>
      <c r="V88" s="65">
        <v>1</v>
      </c>
    </row>
    <row r="89" spans="1:22" x14ac:dyDescent="0.3">
      <c r="B89" s="8"/>
      <c r="C89" s="8"/>
      <c r="D89" s="8"/>
      <c r="E89" s="8"/>
      <c r="F89" s="8"/>
      <c r="G89" s="8"/>
      <c r="H89" s="8"/>
      <c r="I89" s="8"/>
      <c r="J89" s="8"/>
      <c r="M89" s="6" t="s">
        <v>115</v>
      </c>
      <c r="N89" s="65"/>
      <c r="O89" s="65"/>
      <c r="P89" s="65"/>
      <c r="Q89" s="65"/>
      <c r="R89" s="65">
        <v>1</v>
      </c>
      <c r="S89" s="65"/>
      <c r="T89" s="65"/>
      <c r="U89" s="65"/>
      <c r="V89" s="65">
        <v>1</v>
      </c>
    </row>
    <row r="90" spans="1:22" x14ac:dyDescent="0.3">
      <c r="A90" s="28" t="s">
        <v>134</v>
      </c>
      <c r="B90" s="27"/>
      <c r="C90" s="27"/>
      <c r="D90" s="27"/>
      <c r="E90" s="27"/>
      <c r="F90" s="27"/>
      <c r="G90" s="27"/>
      <c r="H90" s="27"/>
      <c r="I90" s="27"/>
      <c r="J90" s="27"/>
      <c r="M90" s="15" t="s">
        <v>89</v>
      </c>
      <c r="N90" s="67">
        <v>1</v>
      </c>
      <c r="O90" s="67"/>
      <c r="P90" s="67"/>
      <c r="Q90" s="67"/>
      <c r="R90" s="67"/>
      <c r="S90" s="67"/>
      <c r="T90" s="67"/>
      <c r="U90" s="67"/>
      <c r="V90" s="67">
        <v>1</v>
      </c>
    </row>
    <row r="91" spans="1:22" x14ac:dyDescent="0.3">
      <c r="A91" s="13" t="s">
        <v>4</v>
      </c>
      <c r="B91" s="14" t="s">
        <v>40</v>
      </c>
      <c r="C91" s="14"/>
      <c r="D91" s="14"/>
      <c r="E91" s="14"/>
      <c r="F91" s="14"/>
      <c r="G91" s="14"/>
      <c r="H91" s="14"/>
      <c r="I91" s="14"/>
      <c r="M91" s="6" t="s">
        <v>1619</v>
      </c>
      <c r="N91" s="65"/>
      <c r="O91" s="65"/>
      <c r="P91" s="65"/>
      <c r="Q91" s="65"/>
      <c r="R91" s="65">
        <v>1</v>
      </c>
      <c r="S91" s="65"/>
      <c r="T91" s="65"/>
      <c r="U91" s="65"/>
      <c r="V91" s="65">
        <v>1</v>
      </c>
    </row>
    <row r="92" spans="1:22" x14ac:dyDescent="0.3">
      <c r="A92" s="15" t="s">
        <v>41</v>
      </c>
      <c r="B92" s="16" t="s">
        <v>37</v>
      </c>
      <c r="C92" s="16" t="s">
        <v>27</v>
      </c>
      <c r="D92" s="16" t="s">
        <v>123</v>
      </c>
      <c r="E92" s="16" t="s">
        <v>124</v>
      </c>
      <c r="F92" s="16" t="s">
        <v>34</v>
      </c>
      <c r="G92" s="16" t="s">
        <v>20</v>
      </c>
      <c r="H92" s="16" t="s">
        <v>125</v>
      </c>
      <c r="I92" s="19" t="s">
        <v>10</v>
      </c>
      <c r="M92" s="15" t="s">
        <v>138</v>
      </c>
      <c r="N92" s="67"/>
      <c r="O92" s="67"/>
      <c r="P92" s="67"/>
      <c r="Q92" s="67"/>
      <c r="R92" s="67">
        <v>1</v>
      </c>
      <c r="S92" s="67"/>
      <c r="T92" s="67"/>
      <c r="U92" s="67"/>
      <c r="V92" s="67">
        <v>1</v>
      </c>
    </row>
    <row r="93" spans="1:22" x14ac:dyDescent="0.3">
      <c r="A93" s="17" t="s">
        <v>9</v>
      </c>
      <c r="B93" s="18">
        <v>1</v>
      </c>
      <c r="C93" s="18">
        <v>67</v>
      </c>
      <c r="D93" s="18">
        <v>5</v>
      </c>
      <c r="E93" s="18"/>
      <c r="F93" s="18">
        <v>68</v>
      </c>
      <c r="G93" s="18">
        <v>73</v>
      </c>
      <c r="H93" s="18">
        <v>29</v>
      </c>
      <c r="I93" s="18">
        <v>243</v>
      </c>
      <c r="M93" s="20" t="s">
        <v>10</v>
      </c>
      <c r="N93" s="68">
        <v>85</v>
      </c>
      <c r="O93" s="68">
        <v>22</v>
      </c>
      <c r="P93" s="68">
        <v>28</v>
      </c>
      <c r="Q93" s="68">
        <v>18</v>
      </c>
      <c r="R93" s="68">
        <v>202</v>
      </c>
      <c r="S93" s="68">
        <v>29</v>
      </c>
      <c r="T93" s="68">
        <v>187</v>
      </c>
      <c r="U93" s="68">
        <v>11</v>
      </c>
      <c r="V93" s="68">
        <v>582</v>
      </c>
    </row>
    <row r="94" spans="1:22" x14ac:dyDescent="0.3">
      <c r="A94" s="15" t="s">
        <v>7</v>
      </c>
      <c r="B94" s="19">
        <v>53</v>
      </c>
      <c r="C94" s="19">
        <v>50</v>
      </c>
      <c r="D94" s="19">
        <v>17</v>
      </c>
      <c r="E94" s="19">
        <v>18</v>
      </c>
      <c r="F94" s="19"/>
      <c r="G94" s="19">
        <v>17</v>
      </c>
      <c r="H94" s="19">
        <v>41</v>
      </c>
      <c r="I94" s="19">
        <v>196</v>
      </c>
      <c r="M94"/>
      <c r="N94"/>
      <c r="O94"/>
      <c r="P94"/>
      <c r="Q94"/>
      <c r="R94"/>
      <c r="S94"/>
      <c r="T94"/>
      <c r="U94"/>
      <c r="V94"/>
    </row>
    <row r="95" spans="1:22" x14ac:dyDescent="0.3">
      <c r="A95" s="17" t="s">
        <v>8</v>
      </c>
      <c r="B95" s="18">
        <v>1</v>
      </c>
      <c r="C95" s="18">
        <v>4</v>
      </c>
      <c r="D95" s="18"/>
      <c r="E95" s="18"/>
      <c r="F95" s="18">
        <v>1</v>
      </c>
      <c r="G95" s="18">
        <v>90</v>
      </c>
      <c r="H95" s="18">
        <v>11</v>
      </c>
      <c r="I95" s="18">
        <v>107</v>
      </c>
    </row>
    <row r="96" spans="1:22" x14ac:dyDescent="0.3">
      <c r="A96" s="15" t="s">
        <v>3</v>
      </c>
      <c r="B96" s="19"/>
      <c r="C96" s="19">
        <v>1</v>
      </c>
      <c r="D96" s="19"/>
      <c r="E96" s="19"/>
      <c r="F96" s="19"/>
      <c r="G96" s="19">
        <v>34</v>
      </c>
      <c r="H96" s="19">
        <v>1</v>
      </c>
      <c r="I96" s="19">
        <v>36</v>
      </c>
    </row>
    <row r="97" spans="1:10" x14ac:dyDescent="0.3">
      <c r="A97" s="30" t="s">
        <v>10</v>
      </c>
      <c r="B97" s="31">
        <v>55</v>
      </c>
      <c r="C97" s="31">
        <v>122</v>
      </c>
      <c r="D97" s="31">
        <v>22</v>
      </c>
      <c r="E97" s="31">
        <v>18</v>
      </c>
      <c r="F97" s="31">
        <v>69</v>
      </c>
      <c r="G97" s="31">
        <v>214</v>
      </c>
      <c r="H97" s="31">
        <v>82</v>
      </c>
      <c r="I97" s="31">
        <v>582</v>
      </c>
    </row>
    <row r="98" spans="1:10" x14ac:dyDescent="0.3">
      <c r="B98" s="8"/>
      <c r="C98" s="8"/>
      <c r="D98" s="8"/>
      <c r="E98" s="8"/>
      <c r="F98" s="8"/>
      <c r="G98" s="8"/>
      <c r="H98" s="8"/>
      <c r="I98" s="8"/>
    </row>
    <row r="100" spans="1:10" x14ac:dyDescent="0.3">
      <c r="A100" s="28" t="s">
        <v>139</v>
      </c>
      <c r="B100" s="27"/>
      <c r="C100" s="27"/>
      <c r="D100" s="27"/>
      <c r="E100" s="27"/>
      <c r="F100" s="27"/>
      <c r="G100" s="27"/>
      <c r="H100" s="27"/>
      <c r="I100" s="27"/>
      <c r="J100" s="27"/>
    </row>
    <row r="101" spans="1:10" x14ac:dyDescent="0.3">
      <c r="A101" s="13" t="s">
        <v>140</v>
      </c>
      <c r="B101" s="14" t="s">
        <v>40</v>
      </c>
      <c r="C101" s="14"/>
      <c r="D101" s="14"/>
      <c r="E101" s="14"/>
      <c r="F101" s="14"/>
      <c r="G101" s="14"/>
      <c r="H101" s="14"/>
      <c r="I101" s="14"/>
      <c r="J101" s="14"/>
    </row>
    <row r="102" spans="1:10" x14ac:dyDescent="0.3">
      <c r="A102" s="15" t="s">
        <v>41</v>
      </c>
      <c r="B102" s="19" t="s">
        <v>13</v>
      </c>
      <c r="C102" s="19" t="s">
        <v>14</v>
      </c>
      <c r="D102" s="19" t="s">
        <v>43</v>
      </c>
      <c r="E102" s="19" t="s">
        <v>15</v>
      </c>
      <c r="F102" s="19" t="s">
        <v>16</v>
      </c>
      <c r="G102" s="19" t="s">
        <v>17</v>
      </c>
      <c r="H102" s="19" t="s">
        <v>18</v>
      </c>
      <c r="I102" s="19" t="s">
        <v>46</v>
      </c>
      <c r="J102" s="19" t="s">
        <v>10</v>
      </c>
    </row>
    <row r="103" spans="1:10" x14ac:dyDescent="0.3">
      <c r="A103" s="17" t="s">
        <v>142</v>
      </c>
      <c r="B103" s="18"/>
      <c r="C103" s="18">
        <v>37</v>
      </c>
      <c r="D103" s="18"/>
      <c r="E103" s="18"/>
      <c r="F103" s="18">
        <v>4</v>
      </c>
      <c r="G103" s="18"/>
      <c r="H103" s="18"/>
      <c r="I103" s="18"/>
      <c r="J103" s="18">
        <v>41</v>
      </c>
    </row>
    <row r="104" spans="1:10" x14ac:dyDescent="0.3">
      <c r="A104" s="15" t="s">
        <v>141</v>
      </c>
      <c r="B104" s="19"/>
      <c r="C104" s="19"/>
      <c r="D104" s="19"/>
      <c r="E104" s="19"/>
      <c r="F104" s="19"/>
      <c r="G104" s="19">
        <v>28</v>
      </c>
      <c r="H104" s="19"/>
      <c r="I104" s="19"/>
      <c r="J104" s="19">
        <v>28</v>
      </c>
    </row>
    <row r="105" spans="1:10" x14ac:dyDescent="0.3">
      <c r="A105" s="15" t="s">
        <v>144</v>
      </c>
      <c r="B105" s="19">
        <v>24</v>
      </c>
      <c r="C105" s="19"/>
      <c r="D105" s="19"/>
      <c r="E105" s="19"/>
      <c r="F105" s="19">
        <v>1</v>
      </c>
      <c r="G105" s="19"/>
      <c r="H105" s="19"/>
      <c r="I105" s="19"/>
      <c r="J105" s="19">
        <v>25</v>
      </c>
    </row>
    <row r="106" spans="1:10" x14ac:dyDescent="0.3">
      <c r="A106" s="17" t="s">
        <v>147</v>
      </c>
      <c r="B106" s="18">
        <v>22</v>
      </c>
      <c r="C106" s="18"/>
      <c r="D106" s="18"/>
      <c r="E106" s="18"/>
      <c r="F106" s="18"/>
      <c r="G106" s="18"/>
      <c r="H106" s="18"/>
      <c r="I106" s="18"/>
      <c r="J106" s="18">
        <v>22</v>
      </c>
    </row>
    <row r="107" spans="1:10" x14ac:dyDescent="0.3">
      <c r="A107" s="15" t="s">
        <v>146</v>
      </c>
      <c r="B107" s="19">
        <v>19</v>
      </c>
      <c r="C107" s="19"/>
      <c r="D107" s="19"/>
      <c r="E107" s="19"/>
      <c r="F107" s="19"/>
      <c r="G107" s="19"/>
      <c r="H107" s="19"/>
      <c r="I107" s="19"/>
      <c r="J107" s="19">
        <v>19</v>
      </c>
    </row>
    <row r="108" spans="1:10" x14ac:dyDescent="0.3">
      <c r="A108" s="15" t="s">
        <v>148</v>
      </c>
      <c r="B108" s="19"/>
      <c r="C108" s="19"/>
      <c r="D108" s="19"/>
      <c r="E108" s="19"/>
      <c r="F108" s="19"/>
      <c r="G108" s="19">
        <v>18</v>
      </c>
      <c r="H108" s="19"/>
      <c r="I108" s="19"/>
      <c r="J108" s="19">
        <v>18</v>
      </c>
    </row>
    <row r="109" spans="1:10" x14ac:dyDescent="0.3">
      <c r="A109" s="17" t="s">
        <v>167</v>
      </c>
      <c r="B109" s="18"/>
      <c r="C109" s="18">
        <v>12</v>
      </c>
      <c r="D109" s="18"/>
      <c r="E109" s="18"/>
      <c r="F109" s="18">
        <v>5</v>
      </c>
      <c r="G109" s="18"/>
      <c r="H109" s="18"/>
      <c r="I109" s="18"/>
      <c r="J109" s="18">
        <v>17</v>
      </c>
    </row>
    <row r="110" spans="1:10" x14ac:dyDescent="0.3">
      <c r="A110" s="15" t="s">
        <v>205</v>
      </c>
      <c r="B110" s="19"/>
      <c r="C110" s="19"/>
      <c r="D110" s="19"/>
      <c r="E110" s="19"/>
      <c r="F110" s="19"/>
      <c r="G110" s="19">
        <v>16</v>
      </c>
      <c r="H110" s="19"/>
      <c r="I110" s="19"/>
      <c r="J110" s="19">
        <v>16</v>
      </c>
    </row>
    <row r="111" spans="1:10" x14ac:dyDescent="0.3">
      <c r="A111" s="15" t="s">
        <v>145</v>
      </c>
      <c r="B111" s="19"/>
      <c r="C111" s="19"/>
      <c r="D111" s="19"/>
      <c r="E111" s="19"/>
      <c r="F111" s="19">
        <v>1</v>
      </c>
      <c r="G111" s="19">
        <v>14</v>
      </c>
      <c r="H111" s="19"/>
      <c r="I111" s="19"/>
      <c r="J111" s="19">
        <v>15</v>
      </c>
    </row>
    <row r="112" spans="1:10" x14ac:dyDescent="0.3">
      <c r="A112" s="15" t="s">
        <v>169</v>
      </c>
      <c r="B112" s="19"/>
      <c r="C112" s="19"/>
      <c r="D112" s="19"/>
      <c r="E112" s="19"/>
      <c r="F112" s="19"/>
      <c r="G112" s="19"/>
      <c r="H112" s="19"/>
      <c r="I112" s="19">
        <v>15</v>
      </c>
      <c r="J112" s="19">
        <v>15</v>
      </c>
    </row>
    <row r="113" spans="1:20" x14ac:dyDescent="0.3">
      <c r="A113" s="17" t="s">
        <v>143</v>
      </c>
      <c r="B113" s="18"/>
      <c r="C113" s="18"/>
      <c r="D113" s="18"/>
      <c r="E113" s="18">
        <v>15</v>
      </c>
      <c r="F113" s="18"/>
      <c r="G113" s="18"/>
      <c r="H113" s="18"/>
      <c r="I113" s="18"/>
      <c r="J113" s="18">
        <v>15</v>
      </c>
    </row>
    <row r="114" spans="1:20" x14ac:dyDescent="0.3">
      <c r="A114" s="15" t="s">
        <v>155</v>
      </c>
      <c r="B114" s="19"/>
      <c r="C114" s="19"/>
      <c r="D114" s="19">
        <v>14</v>
      </c>
      <c r="E114" s="19"/>
      <c r="F114" s="19"/>
      <c r="G114" s="19"/>
      <c r="H114" s="19"/>
      <c r="I114" s="19"/>
      <c r="J114" s="19">
        <v>14</v>
      </c>
    </row>
    <row r="115" spans="1:20" x14ac:dyDescent="0.3">
      <c r="A115" s="15" t="s">
        <v>171</v>
      </c>
      <c r="B115" s="19"/>
      <c r="C115" s="19"/>
      <c r="D115" s="19"/>
      <c r="E115" s="19">
        <v>13</v>
      </c>
      <c r="F115" s="19"/>
      <c r="G115" s="19"/>
      <c r="H115" s="19"/>
      <c r="I115" s="19"/>
      <c r="J115" s="19">
        <v>13</v>
      </c>
    </row>
    <row r="116" spans="1:20" x14ac:dyDescent="0.3">
      <c r="A116" s="17" t="s">
        <v>152</v>
      </c>
      <c r="B116" s="18"/>
      <c r="C116" s="18"/>
      <c r="D116" s="18"/>
      <c r="E116" s="18"/>
      <c r="F116" s="18"/>
      <c r="G116" s="18">
        <v>12</v>
      </c>
      <c r="H116" s="18"/>
      <c r="I116" s="18"/>
      <c r="J116" s="18">
        <v>12</v>
      </c>
    </row>
    <row r="117" spans="1:20" x14ac:dyDescent="0.3">
      <c r="A117" s="17" t="s">
        <v>151</v>
      </c>
      <c r="B117" s="18">
        <v>12</v>
      </c>
      <c r="C117" s="18"/>
      <c r="D117" s="18"/>
      <c r="E117" s="18"/>
      <c r="F117" s="18"/>
      <c r="G117" s="18"/>
      <c r="H117" s="18"/>
      <c r="I117" s="18"/>
      <c r="J117" s="18">
        <v>12</v>
      </c>
    </row>
    <row r="118" spans="1:20" x14ac:dyDescent="0.3">
      <c r="A118" s="17" t="s">
        <v>149</v>
      </c>
      <c r="B118" s="18">
        <v>11</v>
      </c>
      <c r="C118" s="18"/>
      <c r="D118" s="18"/>
      <c r="E118" s="18"/>
      <c r="F118" s="18"/>
      <c r="G118" s="18"/>
      <c r="H118" s="18"/>
      <c r="I118" s="18"/>
      <c r="J118" s="18">
        <v>11</v>
      </c>
    </row>
    <row r="119" spans="1:20" x14ac:dyDescent="0.3">
      <c r="A119" s="17" t="s">
        <v>165</v>
      </c>
      <c r="B119" s="18">
        <v>11</v>
      </c>
      <c r="C119" s="18"/>
      <c r="D119" s="18"/>
      <c r="E119" s="18"/>
      <c r="F119" s="18"/>
      <c r="G119" s="18"/>
      <c r="H119" s="18"/>
      <c r="I119" s="18"/>
      <c r="J119" s="18">
        <v>11</v>
      </c>
    </row>
    <row r="120" spans="1:20" x14ac:dyDescent="0.3">
      <c r="A120" s="17" t="s">
        <v>181</v>
      </c>
      <c r="B120" s="18">
        <v>10</v>
      </c>
      <c r="C120" s="18"/>
      <c r="D120" s="18"/>
      <c r="E120" s="18"/>
      <c r="F120" s="18">
        <v>1</v>
      </c>
      <c r="G120" s="18"/>
      <c r="H120" s="18"/>
      <c r="I120" s="18"/>
      <c r="J120" s="18">
        <v>11</v>
      </c>
      <c r="M120" s="7" t="s">
        <v>159</v>
      </c>
      <c r="N120" s="5" t="s">
        <v>160</v>
      </c>
      <c r="P120" s="7" t="s">
        <v>159</v>
      </c>
      <c r="Q120" s="5" t="s">
        <v>160</v>
      </c>
      <c r="S120" s="7" t="s">
        <v>159</v>
      </c>
      <c r="T120" s="5" t="s">
        <v>160</v>
      </c>
    </row>
    <row r="121" spans="1:20" x14ac:dyDescent="0.3">
      <c r="A121" s="17" t="s">
        <v>93</v>
      </c>
      <c r="B121" s="18">
        <v>7</v>
      </c>
      <c r="C121" s="18"/>
      <c r="D121" s="18"/>
      <c r="E121" s="18"/>
      <c r="F121" s="18"/>
      <c r="G121" s="18"/>
      <c r="H121" s="18"/>
      <c r="I121" s="18">
        <v>3</v>
      </c>
      <c r="J121" s="18">
        <v>10</v>
      </c>
      <c r="M121" s="58" t="s">
        <v>162</v>
      </c>
      <c r="N121" s="59"/>
      <c r="P121" s="58" t="s">
        <v>163</v>
      </c>
      <c r="Q121" s="59"/>
      <c r="S121" s="58" t="s">
        <v>164</v>
      </c>
      <c r="T121" s="59"/>
    </row>
    <row r="122" spans="1:20" x14ac:dyDescent="0.3">
      <c r="A122" s="15" t="s">
        <v>153</v>
      </c>
      <c r="B122" s="19"/>
      <c r="C122" s="19"/>
      <c r="D122" s="19"/>
      <c r="E122" s="19"/>
      <c r="F122" s="19">
        <v>1</v>
      </c>
      <c r="G122" s="19">
        <v>9</v>
      </c>
      <c r="H122" s="19"/>
      <c r="I122" s="19"/>
      <c r="J122" s="19">
        <v>10</v>
      </c>
      <c r="M122" s="13" t="s">
        <v>41</v>
      </c>
      <c r="N122" s="21" t="s">
        <v>166</v>
      </c>
      <c r="P122" s="13" t="s">
        <v>41</v>
      </c>
      <c r="Q122" s="21" t="s">
        <v>166</v>
      </c>
      <c r="S122" s="13" t="s">
        <v>41</v>
      </c>
      <c r="T122" s="14" t="s">
        <v>166</v>
      </c>
    </row>
    <row r="123" spans="1:20" x14ac:dyDescent="0.3">
      <c r="A123" s="17" t="s">
        <v>196</v>
      </c>
      <c r="B123" s="18">
        <v>9</v>
      </c>
      <c r="C123" s="18"/>
      <c r="D123" s="18"/>
      <c r="E123" s="18"/>
      <c r="F123" s="18"/>
      <c r="G123" s="18"/>
      <c r="H123" s="18"/>
      <c r="I123" s="18"/>
      <c r="J123" s="18">
        <v>9</v>
      </c>
      <c r="M123" s="17" t="s">
        <v>22</v>
      </c>
      <c r="N123" s="26">
        <v>2260</v>
      </c>
      <c r="P123" s="15" t="s">
        <v>168</v>
      </c>
      <c r="Q123" s="22">
        <v>16985</v>
      </c>
      <c r="S123" s="15" t="s">
        <v>168</v>
      </c>
      <c r="T123" s="22">
        <v>16985</v>
      </c>
    </row>
    <row r="124" spans="1:20" x14ac:dyDescent="0.3">
      <c r="A124" s="17" t="s">
        <v>177</v>
      </c>
      <c r="B124" s="18"/>
      <c r="C124" s="18"/>
      <c r="D124" s="18"/>
      <c r="E124" s="18"/>
      <c r="F124" s="18"/>
      <c r="G124" s="18">
        <v>9</v>
      </c>
      <c r="H124" s="18"/>
      <c r="I124" s="18"/>
      <c r="J124" s="18">
        <v>9</v>
      </c>
      <c r="M124" s="15" t="s">
        <v>24</v>
      </c>
      <c r="N124" s="25">
        <v>930</v>
      </c>
      <c r="P124" s="50" t="s">
        <v>170</v>
      </c>
      <c r="Q124" s="49">
        <v>13106</v>
      </c>
      <c r="S124" s="50" t="s">
        <v>170</v>
      </c>
      <c r="T124" s="49">
        <v>13106</v>
      </c>
    </row>
    <row r="125" spans="1:20" x14ac:dyDescent="0.3">
      <c r="A125" s="17" t="s">
        <v>161</v>
      </c>
      <c r="B125" s="18"/>
      <c r="C125" s="18"/>
      <c r="D125" s="18"/>
      <c r="E125" s="18"/>
      <c r="F125" s="18"/>
      <c r="G125" s="18"/>
      <c r="H125" s="18">
        <v>9</v>
      </c>
      <c r="I125" s="18"/>
      <c r="J125" s="18">
        <v>9</v>
      </c>
      <c r="M125" s="17" t="s">
        <v>26</v>
      </c>
      <c r="N125" s="26">
        <v>3526</v>
      </c>
      <c r="P125" s="50" t="s">
        <v>172</v>
      </c>
      <c r="Q125" s="49">
        <v>3879</v>
      </c>
      <c r="S125" s="50" t="s">
        <v>172</v>
      </c>
      <c r="T125" s="49">
        <v>3879</v>
      </c>
    </row>
    <row r="126" spans="1:20" x14ac:dyDescent="0.3">
      <c r="A126" s="15" t="s">
        <v>175</v>
      </c>
      <c r="B126" s="19"/>
      <c r="C126" s="19"/>
      <c r="D126" s="19"/>
      <c r="E126" s="19"/>
      <c r="F126" s="19">
        <v>3</v>
      </c>
      <c r="G126" s="19">
        <v>5</v>
      </c>
      <c r="H126" s="19"/>
      <c r="I126" s="19"/>
      <c r="J126" s="19">
        <v>8</v>
      </c>
      <c r="M126" s="15" t="s">
        <v>28</v>
      </c>
      <c r="N126" s="25">
        <v>5280</v>
      </c>
      <c r="P126" s="30" t="s">
        <v>10</v>
      </c>
      <c r="Q126" s="32">
        <v>16985</v>
      </c>
      <c r="S126" s="5" t="s">
        <v>2146</v>
      </c>
      <c r="T126" s="49"/>
    </row>
    <row r="127" spans="1:20" x14ac:dyDescent="0.3">
      <c r="A127" s="15" t="s">
        <v>184</v>
      </c>
      <c r="B127" s="19"/>
      <c r="C127" s="19">
        <v>7</v>
      </c>
      <c r="D127" s="19"/>
      <c r="E127" s="19"/>
      <c r="F127" s="19">
        <v>1</v>
      </c>
      <c r="G127" s="19"/>
      <c r="H127" s="19"/>
      <c r="I127" s="19"/>
      <c r="J127" s="19">
        <v>8</v>
      </c>
      <c r="M127" s="30" t="s">
        <v>10</v>
      </c>
      <c r="N127" s="33">
        <v>11996</v>
      </c>
      <c r="S127" s="50" t="s">
        <v>2146</v>
      </c>
      <c r="T127" s="49"/>
    </row>
    <row r="128" spans="1:20" x14ac:dyDescent="0.3">
      <c r="A128" s="17" t="s">
        <v>174</v>
      </c>
      <c r="B128" s="18"/>
      <c r="C128" s="18"/>
      <c r="D128" s="18"/>
      <c r="E128" s="18"/>
      <c r="F128" s="18">
        <v>4</v>
      </c>
      <c r="G128" s="18">
        <v>4</v>
      </c>
      <c r="H128" s="18"/>
      <c r="I128" s="18"/>
      <c r="J128" s="18">
        <v>8</v>
      </c>
      <c r="M128"/>
      <c r="N128"/>
      <c r="S128" s="30" t="s">
        <v>10</v>
      </c>
      <c r="T128" s="32">
        <v>16985</v>
      </c>
    </row>
    <row r="129" spans="1:16" x14ac:dyDescent="0.3">
      <c r="A129" s="15" t="s">
        <v>157</v>
      </c>
      <c r="B129" s="19">
        <v>8</v>
      </c>
      <c r="C129" s="19"/>
      <c r="D129" s="19"/>
      <c r="E129" s="19"/>
      <c r="F129" s="19"/>
      <c r="G129" s="19"/>
      <c r="H129" s="19"/>
      <c r="I129" s="19"/>
      <c r="J129" s="19">
        <v>8</v>
      </c>
    </row>
    <row r="130" spans="1:16" x14ac:dyDescent="0.3">
      <c r="A130" s="15" t="s">
        <v>154</v>
      </c>
      <c r="B130" s="19">
        <v>6</v>
      </c>
      <c r="C130" s="19"/>
      <c r="D130" s="19"/>
      <c r="E130" s="19"/>
      <c r="F130" s="19">
        <v>1</v>
      </c>
      <c r="G130" s="19"/>
      <c r="H130" s="19"/>
      <c r="I130" s="19"/>
      <c r="J130" s="19">
        <v>7</v>
      </c>
      <c r="P130" s="5"/>
    </row>
    <row r="131" spans="1:16" x14ac:dyDescent="0.3">
      <c r="A131" s="17" t="s">
        <v>158</v>
      </c>
      <c r="B131" s="18">
        <v>7</v>
      </c>
      <c r="C131" s="18"/>
      <c r="D131" s="18"/>
      <c r="E131" s="18"/>
      <c r="F131" s="18"/>
      <c r="G131" s="18"/>
      <c r="H131" s="18"/>
      <c r="I131" s="18"/>
      <c r="J131" s="18">
        <v>7</v>
      </c>
    </row>
    <row r="132" spans="1:16" x14ac:dyDescent="0.3">
      <c r="A132" s="17" t="s">
        <v>150</v>
      </c>
      <c r="B132" s="18">
        <v>7</v>
      </c>
      <c r="C132" s="18"/>
      <c r="D132" s="18"/>
      <c r="E132" s="18"/>
      <c r="F132" s="18"/>
      <c r="G132" s="18"/>
      <c r="H132" s="18"/>
      <c r="I132" s="18"/>
      <c r="J132" s="18">
        <v>7</v>
      </c>
    </row>
    <row r="133" spans="1:16" x14ac:dyDescent="0.3">
      <c r="A133" s="17" t="s">
        <v>183</v>
      </c>
      <c r="B133" s="18"/>
      <c r="C133" s="18"/>
      <c r="D133" s="18"/>
      <c r="E133" s="18"/>
      <c r="F133" s="18">
        <v>1</v>
      </c>
      <c r="G133" s="18">
        <v>6</v>
      </c>
      <c r="H133" s="18"/>
      <c r="I133" s="18"/>
      <c r="J133" s="18">
        <v>7</v>
      </c>
    </row>
    <row r="134" spans="1:16" x14ac:dyDescent="0.3">
      <c r="A134" s="15" t="s">
        <v>180</v>
      </c>
      <c r="B134" s="19">
        <v>7</v>
      </c>
      <c r="C134" s="19"/>
      <c r="D134" s="19"/>
      <c r="E134" s="19"/>
      <c r="F134" s="19"/>
      <c r="G134" s="19"/>
      <c r="H134" s="19"/>
      <c r="I134" s="19"/>
      <c r="J134" s="19">
        <v>7</v>
      </c>
    </row>
    <row r="135" spans="1:16" x14ac:dyDescent="0.3">
      <c r="A135" s="15" t="s">
        <v>173</v>
      </c>
      <c r="B135" s="19"/>
      <c r="C135" s="19"/>
      <c r="D135" s="19"/>
      <c r="E135" s="19"/>
      <c r="F135" s="19"/>
      <c r="G135" s="19">
        <v>6</v>
      </c>
      <c r="H135" s="19"/>
      <c r="I135" s="19"/>
      <c r="J135" s="19">
        <v>6</v>
      </c>
    </row>
    <row r="136" spans="1:16" x14ac:dyDescent="0.3">
      <c r="A136" s="17" t="s">
        <v>185</v>
      </c>
      <c r="B136" s="18"/>
      <c r="C136" s="18"/>
      <c r="D136" s="18"/>
      <c r="E136" s="18"/>
      <c r="F136" s="18"/>
      <c r="G136" s="18">
        <v>6</v>
      </c>
      <c r="H136" s="18"/>
      <c r="I136" s="18"/>
      <c r="J136" s="18">
        <v>6</v>
      </c>
    </row>
    <row r="137" spans="1:16" x14ac:dyDescent="0.3">
      <c r="A137" s="17" t="s">
        <v>156</v>
      </c>
      <c r="B137" s="18">
        <v>6</v>
      </c>
      <c r="C137" s="18"/>
      <c r="D137" s="18"/>
      <c r="E137" s="18"/>
      <c r="F137" s="18"/>
      <c r="G137" s="18"/>
      <c r="H137" s="18"/>
      <c r="I137" s="18"/>
      <c r="J137" s="18">
        <v>6</v>
      </c>
    </row>
    <row r="138" spans="1:16" x14ac:dyDescent="0.3">
      <c r="A138" s="6" t="s">
        <v>211</v>
      </c>
      <c r="B138" s="8"/>
      <c r="C138" s="8"/>
      <c r="D138" s="8"/>
      <c r="E138" s="8"/>
      <c r="F138" s="8"/>
      <c r="G138" s="8">
        <v>6</v>
      </c>
      <c r="H138" s="8"/>
      <c r="I138" s="8"/>
      <c r="J138" s="8">
        <v>6</v>
      </c>
    </row>
    <row r="139" spans="1:16" x14ac:dyDescent="0.3">
      <c r="A139" s="15" t="s">
        <v>187</v>
      </c>
      <c r="B139" s="19"/>
      <c r="C139" s="19"/>
      <c r="D139" s="19"/>
      <c r="E139" s="19"/>
      <c r="F139" s="19"/>
      <c r="G139" s="19">
        <v>6</v>
      </c>
      <c r="H139" s="19"/>
      <c r="I139" s="19"/>
      <c r="J139" s="19">
        <v>6</v>
      </c>
    </row>
    <row r="140" spans="1:16" x14ac:dyDescent="0.3">
      <c r="A140" s="15" t="s">
        <v>176</v>
      </c>
      <c r="B140" s="19"/>
      <c r="C140" s="19">
        <v>5</v>
      </c>
      <c r="D140" s="19"/>
      <c r="E140" s="19"/>
      <c r="F140" s="19"/>
      <c r="G140" s="19"/>
      <c r="H140" s="19"/>
      <c r="I140" s="19"/>
      <c r="J140" s="19">
        <v>5</v>
      </c>
    </row>
    <row r="141" spans="1:16" x14ac:dyDescent="0.3">
      <c r="A141" s="15" t="s">
        <v>179</v>
      </c>
      <c r="B141" s="19"/>
      <c r="C141" s="19"/>
      <c r="D141" s="19">
        <v>5</v>
      </c>
      <c r="E141" s="19"/>
      <c r="F141" s="19"/>
      <c r="G141" s="19"/>
      <c r="H141" s="19"/>
      <c r="I141" s="19"/>
      <c r="J141" s="19">
        <v>5</v>
      </c>
    </row>
    <row r="142" spans="1:16" x14ac:dyDescent="0.3">
      <c r="A142" s="17" t="s">
        <v>188</v>
      </c>
      <c r="B142" s="18">
        <v>5</v>
      </c>
      <c r="C142" s="18"/>
      <c r="D142" s="18"/>
      <c r="E142" s="18"/>
      <c r="F142" s="18"/>
      <c r="G142" s="18"/>
      <c r="H142" s="18"/>
      <c r="I142" s="18"/>
      <c r="J142" s="18">
        <v>5</v>
      </c>
    </row>
    <row r="143" spans="1:16" x14ac:dyDescent="0.3">
      <c r="A143" s="15" t="s">
        <v>190</v>
      </c>
      <c r="B143" s="19"/>
      <c r="C143" s="19">
        <v>5</v>
      </c>
      <c r="D143" s="19"/>
      <c r="E143" s="19"/>
      <c r="F143" s="19"/>
      <c r="G143" s="19"/>
      <c r="H143" s="19"/>
      <c r="I143" s="19"/>
      <c r="J143" s="19">
        <v>5</v>
      </c>
    </row>
    <row r="144" spans="1:16" x14ac:dyDescent="0.3">
      <c r="A144" s="17" t="s">
        <v>199</v>
      </c>
      <c r="B144" s="18">
        <v>5</v>
      </c>
      <c r="C144" s="18"/>
      <c r="D144" s="18"/>
      <c r="E144" s="18"/>
      <c r="F144" s="18"/>
      <c r="G144" s="18"/>
      <c r="H144" s="18"/>
      <c r="I144" s="18"/>
      <c r="J144" s="18">
        <v>5</v>
      </c>
    </row>
    <row r="145" spans="1:10" x14ac:dyDescent="0.3">
      <c r="A145" s="17" t="s">
        <v>182</v>
      </c>
      <c r="B145" s="18"/>
      <c r="C145" s="18"/>
      <c r="D145" s="18"/>
      <c r="E145" s="18"/>
      <c r="F145" s="18"/>
      <c r="G145" s="18">
        <v>5</v>
      </c>
      <c r="H145" s="18"/>
      <c r="I145" s="18"/>
      <c r="J145" s="18">
        <v>5</v>
      </c>
    </row>
    <row r="146" spans="1:10" x14ac:dyDescent="0.3">
      <c r="A146" s="15" t="s">
        <v>198</v>
      </c>
      <c r="B146" s="19"/>
      <c r="C146" s="19"/>
      <c r="D146" s="19"/>
      <c r="E146" s="19"/>
      <c r="F146" s="19"/>
      <c r="G146" s="19">
        <v>4</v>
      </c>
      <c r="H146" s="19"/>
      <c r="I146" s="19"/>
      <c r="J146" s="19">
        <v>4</v>
      </c>
    </row>
    <row r="147" spans="1:10" x14ac:dyDescent="0.3">
      <c r="A147" s="17" t="s">
        <v>216</v>
      </c>
      <c r="B147" s="18"/>
      <c r="C147" s="18"/>
      <c r="D147" s="18"/>
      <c r="E147" s="18"/>
      <c r="F147" s="18"/>
      <c r="G147" s="18">
        <v>4</v>
      </c>
      <c r="H147" s="18"/>
      <c r="I147" s="18"/>
      <c r="J147" s="18">
        <v>4</v>
      </c>
    </row>
    <row r="148" spans="1:10" x14ac:dyDescent="0.3">
      <c r="A148" s="15" t="s">
        <v>197</v>
      </c>
      <c r="B148" s="19">
        <v>4</v>
      </c>
      <c r="C148" s="19"/>
      <c r="D148" s="19"/>
      <c r="E148" s="19"/>
      <c r="F148" s="19"/>
      <c r="G148" s="19"/>
      <c r="H148" s="19"/>
      <c r="I148" s="19"/>
      <c r="J148" s="19">
        <v>4</v>
      </c>
    </row>
    <row r="149" spans="1:10" x14ac:dyDescent="0.3">
      <c r="A149" s="17" t="s">
        <v>212</v>
      </c>
      <c r="B149" s="18"/>
      <c r="C149" s="18"/>
      <c r="D149" s="18"/>
      <c r="E149" s="18"/>
      <c r="F149" s="18"/>
      <c r="G149" s="18">
        <v>4</v>
      </c>
      <c r="H149" s="18"/>
      <c r="I149" s="18"/>
      <c r="J149" s="18">
        <v>4</v>
      </c>
    </row>
    <row r="150" spans="1:10" x14ac:dyDescent="0.3">
      <c r="A150" s="17" t="s">
        <v>192</v>
      </c>
      <c r="B150" s="18"/>
      <c r="C150" s="18">
        <v>4</v>
      </c>
      <c r="D150" s="18"/>
      <c r="E150" s="18"/>
      <c r="F150" s="18"/>
      <c r="G150" s="18"/>
      <c r="H150" s="18"/>
      <c r="I150" s="18"/>
      <c r="J150" s="18">
        <v>4</v>
      </c>
    </row>
    <row r="151" spans="1:10" x14ac:dyDescent="0.3">
      <c r="A151" s="15" t="s">
        <v>189</v>
      </c>
      <c r="B151" s="19"/>
      <c r="C151" s="19">
        <v>4</v>
      </c>
      <c r="D151" s="19"/>
      <c r="E151" s="19"/>
      <c r="F151" s="19"/>
      <c r="G151" s="19"/>
      <c r="H151" s="19"/>
      <c r="I151" s="19"/>
      <c r="J151" s="19">
        <v>4</v>
      </c>
    </row>
    <row r="152" spans="1:10" x14ac:dyDescent="0.3">
      <c r="A152" s="15" t="s">
        <v>200</v>
      </c>
      <c r="B152" s="19"/>
      <c r="C152" s="19"/>
      <c r="D152" s="19"/>
      <c r="E152" s="19"/>
      <c r="F152" s="19"/>
      <c r="G152" s="19">
        <v>4</v>
      </c>
      <c r="H152" s="19"/>
      <c r="I152" s="19"/>
      <c r="J152" s="19">
        <v>4</v>
      </c>
    </row>
    <row r="153" spans="1:10" x14ac:dyDescent="0.3">
      <c r="A153" s="6" t="s">
        <v>221</v>
      </c>
      <c r="B153" s="8"/>
      <c r="C153" s="8"/>
      <c r="D153" s="8"/>
      <c r="E153" s="8"/>
      <c r="F153" s="8"/>
      <c r="G153" s="8">
        <v>4</v>
      </c>
      <c r="H153" s="8"/>
      <c r="I153" s="8"/>
      <c r="J153" s="8">
        <v>4</v>
      </c>
    </row>
    <row r="154" spans="1:10" x14ac:dyDescent="0.3">
      <c r="A154" s="15" t="s">
        <v>203</v>
      </c>
      <c r="B154" s="19"/>
      <c r="C154" s="19"/>
      <c r="D154" s="19"/>
      <c r="E154" s="19"/>
      <c r="F154" s="19">
        <v>1</v>
      </c>
      <c r="G154" s="19">
        <v>2</v>
      </c>
      <c r="H154" s="19"/>
      <c r="I154" s="19"/>
      <c r="J154" s="19">
        <v>3</v>
      </c>
    </row>
    <row r="155" spans="1:10" x14ac:dyDescent="0.3">
      <c r="A155" s="6" t="s">
        <v>201</v>
      </c>
      <c r="B155" s="8">
        <v>2</v>
      </c>
      <c r="C155" s="8"/>
      <c r="D155" s="8"/>
      <c r="E155" s="8"/>
      <c r="F155" s="8">
        <v>1</v>
      </c>
      <c r="G155" s="8"/>
      <c r="H155" s="8"/>
      <c r="I155" s="8"/>
      <c r="J155" s="8">
        <v>3</v>
      </c>
    </row>
    <row r="156" spans="1:10" x14ac:dyDescent="0.3">
      <c r="A156" s="17" t="s">
        <v>195</v>
      </c>
      <c r="B156" s="18"/>
      <c r="C156" s="18"/>
      <c r="D156" s="18"/>
      <c r="E156" s="18"/>
      <c r="F156" s="18"/>
      <c r="G156" s="18">
        <v>3</v>
      </c>
      <c r="H156" s="18"/>
      <c r="I156" s="18"/>
      <c r="J156" s="18">
        <v>3</v>
      </c>
    </row>
    <row r="157" spans="1:10" x14ac:dyDescent="0.3">
      <c r="A157" s="17" t="s">
        <v>217</v>
      </c>
      <c r="B157" s="18"/>
      <c r="C157" s="18">
        <v>3</v>
      </c>
      <c r="D157" s="18"/>
      <c r="E157" s="18"/>
      <c r="F157" s="18"/>
      <c r="G157" s="18"/>
      <c r="H157" s="18"/>
      <c r="I157" s="18"/>
      <c r="J157" s="18">
        <v>3</v>
      </c>
    </row>
    <row r="158" spans="1:10" x14ac:dyDescent="0.3">
      <c r="A158" s="15" t="s">
        <v>193</v>
      </c>
      <c r="B158" s="19"/>
      <c r="C158" s="19"/>
      <c r="D158" s="19"/>
      <c r="E158" s="19"/>
      <c r="F158" s="19">
        <v>1</v>
      </c>
      <c r="G158" s="19">
        <v>2</v>
      </c>
      <c r="H158" s="19"/>
      <c r="I158" s="19"/>
      <c r="J158" s="19">
        <v>3</v>
      </c>
    </row>
    <row r="159" spans="1:10" x14ac:dyDescent="0.3">
      <c r="A159" s="6" t="s">
        <v>186</v>
      </c>
      <c r="B159" s="8">
        <v>3</v>
      </c>
      <c r="C159" s="8"/>
      <c r="D159" s="8"/>
      <c r="E159" s="8"/>
      <c r="F159" s="8"/>
      <c r="G159" s="8"/>
      <c r="H159" s="8"/>
      <c r="I159" s="8"/>
      <c r="J159" s="8">
        <v>3</v>
      </c>
    </row>
    <row r="160" spans="1:10" x14ac:dyDescent="0.3">
      <c r="A160" s="15" t="s">
        <v>215</v>
      </c>
      <c r="B160" s="19">
        <v>2</v>
      </c>
      <c r="C160" s="19"/>
      <c r="D160" s="19"/>
      <c r="E160" s="19"/>
      <c r="F160" s="19"/>
      <c r="G160" s="19"/>
      <c r="H160" s="19"/>
      <c r="I160" s="19"/>
      <c r="J160" s="19">
        <v>2</v>
      </c>
    </row>
    <row r="161" spans="1:10" x14ac:dyDescent="0.3">
      <c r="A161" s="15" t="s">
        <v>208</v>
      </c>
      <c r="B161" s="19">
        <v>2</v>
      </c>
      <c r="C161" s="19"/>
      <c r="D161" s="19"/>
      <c r="E161" s="19"/>
      <c r="F161" s="19"/>
      <c r="G161" s="19"/>
      <c r="H161" s="19"/>
      <c r="I161" s="19"/>
      <c r="J161" s="19">
        <v>2</v>
      </c>
    </row>
    <row r="162" spans="1:10" x14ac:dyDescent="0.3">
      <c r="A162" s="6" t="s">
        <v>214</v>
      </c>
      <c r="B162" s="8">
        <v>2</v>
      </c>
      <c r="C162" s="8"/>
      <c r="D162" s="8"/>
      <c r="E162" s="8"/>
      <c r="F162" s="8"/>
      <c r="G162" s="8"/>
      <c r="H162" s="8"/>
      <c r="I162" s="8"/>
      <c r="J162" s="8">
        <v>2</v>
      </c>
    </row>
    <row r="163" spans="1:10" x14ac:dyDescent="0.3">
      <c r="A163" s="17" t="s">
        <v>178</v>
      </c>
      <c r="B163" s="18"/>
      <c r="C163" s="18">
        <v>1</v>
      </c>
      <c r="D163" s="18">
        <v>1</v>
      </c>
      <c r="E163" s="18"/>
      <c r="F163" s="18"/>
      <c r="G163" s="18"/>
      <c r="H163" s="18"/>
      <c r="I163" s="18"/>
      <c r="J163" s="18">
        <v>2</v>
      </c>
    </row>
    <row r="164" spans="1:10" x14ac:dyDescent="0.3">
      <c r="A164" s="6" t="s">
        <v>1635</v>
      </c>
      <c r="B164" s="8">
        <v>2</v>
      </c>
      <c r="C164" s="8"/>
      <c r="D164" s="8"/>
      <c r="E164" s="8"/>
      <c r="F164" s="8"/>
      <c r="G164" s="8"/>
      <c r="H164" s="8"/>
      <c r="I164" s="8"/>
      <c r="J164" s="8">
        <v>2</v>
      </c>
    </row>
    <row r="165" spans="1:10" x14ac:dyDescent="0.3">
      <c r="A165" s="6" t="s">
        <v>209</v>
      </c>
      <c r="B165" s="8"/>
      <c r="C165" s="8"/>
      <c r="D165" s="8">
        <v>2</v>
      </c>
      <c r="E165" s="8"/>
      <c r="F165" s="8"/>
      <c r="G165" s="8"/>
      <c r="H165" s="8"/>
      <c r="I165" s="8"/>
      <c r="J165" s="8">
        <v>2</v>
      </c>
    </row>
    <row r="166" spans="1:10" x14ac:dyDescent="0.3">
      <c r="A166" s="6" t="s">
        <v>213</v>
      </c>
      <c r="B166" s="8">
        <v>2</v>
      </c>
      <c r="C166" s="8"/>
      <c r="D166" s="8"/>
      <c r="E166" s="8"/>
      <c r="F166" s="8"/>
      <c r="G166" s="8"/>
      <c r="H166" s="8"/>
      <c r="I166" s="8"/>
      <c r="J166" s="8">
        <v>2</v>
      </c>
    </row>
    <row r="167" spans="1:10" x14ac:dyDescent="0.3">
      <c r="A167" s="17" t="s">
        <v>1812</v>
      </c>
      <c r="B167" s="18"/>
      <c r="C167" s="18">
        <v>2</v>
      </c>
      <c r="D167" s="18"/>
      <c r="E167" s="18"/>
      <c r="F167" s="18"/>
      <c r="G167" s="18"/>
      <c r="H167" s="18"/>
      <c r="I167" s="18"/>
      <c r="J167" s="18">
        <v>2</v>
      </c>
    </row>
    <row r="168" spans="1:10" x14ac:dyDescent="0.3">
      <c r="A168" s="15" t="s">
        <v>191</v>
      </c>
      <c r="B168" s="19"/>
      <c r="C168" s="19"/>
      <c r="D168" s="19"/>
      <c r="E168" s="19"/>
      <c r="F168" s="19"/>
      <c r="G168" s="19">
        <v>2</v>
      </c>
      <c r="H168" s="19"/>
      <c r="I168" s="19"/>
      <c r="J168" s="19">
        <v>2</v>
      </c>
    </row>
    <row r="169" spans="1:10" x14ac:dyDescent="0.3">
      <c r="A169" s="15" t="s">
        <v>219</v>
      </c>
      <c r="B169" s="19"/>
      <c r="C169" s="19">
        <v>2</v>
      </c>
      <c r="D169" s="19"/>
      <c r="E169" s="19"/>
      <c r="F169" s="19"/>
      <c r="G169" s="19"/>
      <c r="H169" s="19"/>
      <c r="I169" s="19"/>
      <c r="J169" s="19">
        <v>2</v>
      </c>
    </row>
    <row r="170" spans="1:10" x14ac:dyDescent="0.3">
      <c r="A170" s="17" t="s">
        <v>202</v>
      </c>
      <c r="B170" s="18"/>
      <c r="C170" s="18"/>
      <c r="D170" s="18"/>
      <c r="E170" s="18"/>
      <c r="F170" s="18"/>
      <c r="G170" s="18">
        <v>2</v>
      </c>
      <c r="H170" s="18"/>
      <c r="I170" s="18"/>
      <c r="J170" s="18">
        <v>2</v>
      </c>
    </row>
    <row r="171" spans="1:10" x14ac:dyDescent="0.3">
      <c r="A171" s="6" t="s">
        <v>210</v>
      </c>
      <c r="B171" s="8"/>
      <c r="C171" s="8"/>
      <c r="D171" s="8"/>
      <c r="E171" s="8"/>
      <c r="F171" s="8"/>
      <c r="G171" s="8">
        <v>2</v>
      </c>
      <c r="H171" s="8"/>
      <c r="I171" s="8"/>
      <c r="J171" s="8">
        <v>2</v>
      </c>
    </row>
    <row r="172" spans="1:10" x14ac:dyDescent="0.3">
      <c r="A172" s="6" t="s">
        <v>206</v>
      </c>
      <c r="B172" s="8"/>
      <c r="C172" s="8"/>
      <c r="D172" s="8"/>
      <c r="E172" s="8"/>
      <c r="F172" s="8">
        <v>2</v>
      </c>
      <c r="G172" s="8"/>
      <c r="H172" s="8"/>
      <c r="I172" s="8"/>
      <c r="J172" s="8">
        <v>2</v>
      </c>
    </row>
    <row r="173" spans="1:10" x14ac:dyDescent="0.3">
      <c r="A173" s="6" t="s">
        <v>207</v>
      </c>
      <c r="B173" s="8"/>
      <c r="C173" s="8"/>
      <c r="D173" s="8"/>
      <c r="E173" s="8"/>
      <c r="F173" s="8"/>
      <c r="G173" s="8">
        <v>1</v>
      </c>
      <c r="H173" s="8"/>
      <c r="I173" s="8"/>
      <c r="J173" s="8">
        <v>1</v>
      </c>
    </row>
    <row r="174" spans="1:10" x14ac:dyDescent="0.3">
      <c r="A174" s="17" t="s">
        <v>225</v>
      </c>
      <c r="B174" s="18">
        <v>1</v>
      </c>
      <c r="C174" s="18"/>
      <c r="D174" s="18"/>
      <c r="E174" s="18"/>
      <c r="F174" s="18"/>
      <c r="G174" s="18"/>
      <c r="H174" s="18"/>
      <c r="I174" s="18"/>
      <c r="J174" s="18">
        <v>1</v>
      </c>
    </row>
    <row r="175" spans="1:10" x14ac:dyDescent="0.3">
      <c r="A175" s="6" t="s">
        <v>222</v>
      </c>
      <c r="B175" s="8">
        <v>1</v>
      </c>
      <c r="C175" s="8"/>
      <c r="D175" s="8"/>
      <c r="E175" s="8"/>
      <c r="F175" s="8"/>
      <c r="G175" s="8"/>
      <c r="H175" s="8"/>
      <c r="I175" s="8"/>
      <c r="J175" s="8">
        <v>1</v>
      </c>
    </row>
    <row r="176" spans="1:10" x14ac:dyDescent="0.3">
      <c r="A176" s="6" t="s">
        <v>204</v>
      </c>
      <c r="B176" s="8">
        <v>1</v>
      </c>
      <c r="C176" s="8"/>
      <c r="D176" s="8"/>
      <c r="E176" s="8"/>
      <c r="F176" s="8"/>
      <c r="G176" s="8"/>
      <c r="H176" s="8"/>
      <c r="I176" s="8"/>
      <c r="J176" s="8">
        <v>1</v>
      </c>
    </row>
    <row r="177" spans="1:10" x14ac:dyDescent="0.3">
      <c r="A177" s="6" t="s">
        <v>218</v>
      </c>
      <c r="B177" s="8"/>
      <c r="C177" s="8"/>
      <c r="D177" s="8"/>
      <c r="E177" s="8"/>
      <c r="F177" s="8"/>
      <c r="G177" s="8">
        <v>1</v>
      </c>
      <c r="H177" s="8"/>
      <c r="I177" s="8"/>
      <c r="J177" s="8">
        <v>1</v>
      </c>
    </row>
    <row r="178" spans="1:10" x14ac:dyDescent="0.3">
      <c r="A178" s="6" t="s">
        <v>223</v>
      </c>
      <c r="B178" s="8"/>
      <c r="C178" s="8"/>
      <c r="D178" s="8"/>
      <c r="E178" s="8"/>
      <c r="F178" s="8"/>
      <c r="G178" s="8">
        <v>1</v>
      </c>
      <c r="H178" s="8"/>
      <c r="I178" s="8"/>
      <c r="J178" s="8">
        <v>1</v>
      </c>
    </row>
    <row r="179" spans="1:10" x14ac:dyDescent="0.3">
      <c r="A179" s="15" t="s">
        <v>1907</v>
      </c>
      <c r="B179" s="19"/>
      <c r="C179" s="19">
        <v>1</v>
      </c>
      <c r="D179" s="19"/>
      <c r="E179" s="19"/>
      <c r="F179" s="19"/>
      <c r="G179" s="19"/>
      <c r="H179" s="19"/>
      <c r="I179" s="19"/>
      <c r="J179" s="19">
        <v>1</v>
      </c>
    </row>
    <row r="180" spans="1:10" x14ac:dyDescent="0.3">
      <c r="A180" s="15" t="s">
        <v>226</v>
      </c>
      <c r="B180" s="19"/>
      <c r="C180" s="19"/>
      <c r="D180" s="19"/>
      <c r="E180" s="19"/>
      <c r="F180" s="19"/>
      <c r="G180" s="19">
        <v>1</v>
      </c>
      <c r="H180" s="19"/>
      <c r="I180" s="19"/>
      <c r="J180" s="19">
        <v>1</v>
      </c>
    </row>
    <row r="181" spans="1:10" x14ac:dyDescent="0.3">
      <c r="A181" s="6" t="s">
        <v>228</v>
      </c>
      <c r="B181" s="8"/>
      <c r="C181" s="8"/>
      <c r="D181" s="8"/>
      <c r="E181" s="8"/>
      <c r="F181" s="8"/>
      <c r="G181" s="8"/>
      <c r="H181" s="8">
        <v>1</v>
      </c>
      <c r="I181" s="8"/>
      <c r="J181" s="8">
        <v>1</v>
      </c>
    </row>
    <row r="182" spans="1:10" x14ac:dyDescent="0.3">
      <c r="A182" s="6" t="s">
        <v>1617</v>
      </c>
      <c r="B182" s="8">
        <v>1</v>
      </c>
      <c r="C182" s="8"/>
      <c r="D182" s="8"/>
      <c r="E182" s="8"/>
      <c r="F182" s="8"/>
      <c r="G182" s="8"/>
      <c r="H182" s="8"/>
      <c r="I182" s="8"/>
      <c r="J182" s="8">
        <v>1</v>
      </c>
    </row>
    <row r="183" spans="1:10" ht="15" customHeight="1" x14ac:dyDescent="0.3">
      <c r="A183" s="17" t="s">
        <v>227</v>
      </c>
      <c r="B183" s="18"/>
      <c r="C183" s="18">
        <v>1</v>
      </c>
      <c r="D183" s="18"/>
      <c r="E183" s="18"/>
      <c r="F183" s="18"/>
      <c r="G183" s="18"/>
      <c r="H183" s="18"/>
      <c r="I183" s="18"/>
      <c r="J183" s="18">
        <v>1</v>
      </c>
    </row>
    <row r="184" spans="1:10" ht="15" customHeight="1" x14ac:dyDescent="0.3">
      <c r="A184" s="6" t="s">
        <v>229</v>
      </c>
      <c r="B184" s="8"/>
      <c r="C184" s="8"/>
      <c r="D184" s="8"/>
      <c r="E184" s="8"/>
      <c r="F184" s="8">
        <v>1</v>
      </c>
      <c r="G184" s="8"/>
      <c r="H184" s="8"/>
      <c r="I184" s="8"/>
      <c r="J184" s="8">
        <v>1</v>
      </c>
    </row>
    <row r="185" spans="1:10" ht="15" customHeight="1" x14ac:dyDescent="0.3">
      <c r="A185" s="6" t="s">
        <v>2128</v>
      </c>
      <c r="B185" s="8"/>
      <c r="C185" s="8"/>
      <c r="D185" s="8"/>
      <c r="E185" s="8"/>
      <c r="F185" s="8"/>
      <c r="G185" s="8"/>
      <c r="H185" s="8">
        <v>1</v>
      </c>
      <c r="I185" s="8"/>
      <c r="J185" s="8">
        <v>1</v>
      </c>
    </row>
    <row r="186" spans="1:10" ht="15" customHeight="1" x14ac:dyDescent="0.3">
      <c r="A186" s="17" t="s">
        <v>224</v>
      </c>
      <c r="B186" s="18">
        <v>1</v>
      </c>
      <c r="C186" s="18"/>
      <c r="D186" s="18"/>
      <c r="E186" s="18"/>
      <c r="F186" s="18"/>
      <c r="G186" s="18"/>
      <c r="H186" s="18"/>
      <c r="I186" s="18"/>
      <c r="J186" s="18">
        <v>1</v>
      </c>
    </row>
    <row r="187" spans="1:10" ht="15" customHeight="1" x14ac:dyDescent="0.3">
      <c r="A187" s="15" t="s">
        <v>220</v>
      </c>
      <c r="B187" s="19"/>
      <c r="C187" s="19">
        <v>1</v>
      </c>
      <c r="D187" s="19"/>
      <c r="E187" s="19"/>
      <c r="F187" s="19"/>
      <c r="G187" s="19"/>
      <c r="H187" s="19"/>
      <c r="I187" s="19"/>
      <c r="J187" s="19">
        <v>1</v>
      </c>
    </row>
    <row r="188" spans="1:10" ht="15" customHeight="1" x14ac:dyDescent="0.3">
      <c r="A188" s="15" t="s">
        <v>1625</v>
      </c>
      <c r="B188" s="19">
        <v>1</v>
      </c>
      <c r="C188" s="19"/>
      <c r="D188" s="19"/>
      <c r="E188" s="19"/>
      <c r="F188" s="19"/>
      <c r="G188" s="19"/>
      <c r="H188" s="19"/>
      <c r="I188" s="19"/>
      <c r="J188" s="19">
        <v>1</v>
      </c>
    </row>
    <row r="189" spans="1:10" ht="15" customHeight="1" x14ac:dyDescent="0.3">
      <c r="A189" s="17" t="s">
        <v>194</v>
      </c>
      <c r="B189" s="18">
        <v>1</v>
      </c>
      <c r="C189" s="18"/>
      <c r="D189" s="18"/>
      <c r="E189" s="18"/>
      <c r="F189" s="18"/>
      <c r="G189" s="18"/>
      <c r="H189" s="18"/>
      <c r="I189" s="18"/>
      <c r="J189" s="18">
        <v>1</v>
      </c>
    </row>
    <row r="190" spans="1:10" x14ac:dyDescent="0.3">
      <c r="A190" s="30" t="s">
        <v>10</v>
      </c>
      <c r="B190" s="31">
        <v>202</v>
      </c>
      <c r="C190" s="31">
        <v>85</v>
      </c>
      <c r="D190" s="31">
        <v>22</v>
      </c>
      <c r="E190" s="31">
        <v>28</v>
      </c>
      <c r="F190" s="31">
        <v>29</v>
      </c>
      <c r="G190" s="31">
        <v>187</v>
      </c>
      <c r="H190" s="31">
        <v>11</v>
      </c>
      <c r="I190" s="31">
        <v>18</v>
      </c>
      <c r="J190" s="31">
        <v>582</v>
      </c>
    </row>
  </sheetData>
  <mergeCells count="11">
    <mergeCell ref="A3:F3"/>
    <mergeCell ref="A1:U1"/>
    <mergeCell ref="M3:T3"/>
    <mergeCell ref="S121:T121"/>
    <mergeCell ref="A16:E16"/>
    <mergeCell ref="P121:Q121"/>
    <mergeCell ref="A15:E15"/>
    <mergeCell ref="A78:D78"/>
    <mergeCell ref="M26:V26"/>
    <mergeCell ref="A18:F18"/>
    <mergeCell ref="M121:N121"/>
  </mergeCells>
  <pageMargins left="0.74803149606299213" right="0.74803149606299213" top="0.19685039370078741" bottom="0.19685039370078741" header="0.51181102362204722" footer="0.51181102362204722"/>
  <pageSetup paperSize="9" scale="2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AQ583"/>
  <sheetViews>
    <sheetView zoomScaleNormal="100" workbookViewId="0">
      <pane ySplit="1" topLeftCell="A2" activePane="bottomLeft" state="frozen"/>
      <selection pane="bottomLeft" activeCell="G17" sqref="G17"/>
    </sheetView>
  </sheetViews>
  <sheetFormatPr defaultColWidth="13.5546875" defaultRowHeight="14.4" x14ac:dyDescent="0.3"/>
  <cols>
    <col min="1" max="1" width="13.6640625" style="1" bestFit="1" customWidth="1"/>
    <col min="2" max="2" width="13.5546875" style="1" customWidth="1"/>
    <col min="3" max="3" width="12.44140625" style="1" bestFit="1" customWidth="1"/>
    <col min="4" max="4" width="18.33203125" style="2" bestFit="1" customWidth="1"/>
    <col min="5" max="5" width="18.33203125" style="1" bestFit="1" customWidth="1"/>
    <col min="6" max="6" width="17.33203125" style="1" bestFit="1" customWidth="1"/>
    <col min="7" max="7" width="16.109375" style="1" bestFit="1" customWidth="1"/>
    <col min="8" max="8" width="14.44140625" style="1" customWidth="1"/>
    <col min="9" max="9" width="11.88671875" style="1" bestFit="1" customWidth="1"/>
    <col min="10" max="10" width="37" style="1" bestFit="1" customWidth="1"/>
    <col min="11" max="11" width="34.33203125" style="1" bestFit="1" customWidth="1"/>
    <col min="12" max="12" width="34.33203125" style="2" bestFit="1" customWidth="1"/>
    <col min="13" max="13" width="18.33203125" style="1" bestFit="1" customWidth="1"/>
    <col min="14" max="14" width="14.88671875" style="1" bestFit="1" customWidth="1"/>
    <col min="15" max="15" width="40.88671875" style="1" bestFit="1" customWidth="1"/>
    <col min="16" max="16" width="18.88671875" style="1" bestFit="1" customWidth="1"/>
    <col min="17" max="17" width="19.5546875" style="1" bestFit="1" customWidth="1"/>
    <col min="18" max="18" width="21.44140625" style="1" bestFit="1" customWidth="1"/>
    <col min="19" max="19" width="9.6640625" style="1" bestFit="1" customWidth="1"/>
    <col min="20" max="20" width="12.44140625" style="1" bestFit="1" customWidth="1"/>
    <col min="21" max="21" width="29.6640625" style="1" bestFit="1" customWidth="1"/>
    <col min="22" max="22" width="53.5546875" style="1" bestFit="1" customWidth="1"/>
    <col min="23" max="23" width="17.88671875" style="1" bestFit="1" customWidth="1"/>
    <col min="24" max="24" width="41.88671875" style="1" bestFit="1" customWidth="1"/>
    <col min="25" max="25" width="11" style="1" bestFit="1" customWidth="1"/>
    <col min="26" max="26" width="42.109375" style="1" bestFit="1" customWidth="1"/>
    <col min="27" max="27" width="16.109375" style="1" bestFit="1" customWidth="1"/>
    <col min="28" max="28" width="10" style="1" bestFit="1" customWidth="1"/>
    <col min="29" max="29" width="8" style="1" bestFit="1" customWidth="1"/>
    <col min="30" max="30" width="14.44140625" style="1" bestFit="1" customWidth="1"/>
    <col min="31" max="31" width="10.44140625" style="1" bestFit="1" customWidth="1"/>
    <col min="32" max="32" width="10" style="1" bestFit="1" customWidth="1"/>
    <col min="33" max="33" width="12.109375" style="1" bestFit="1" customWidth="1"/>
    <col min="34" max="34" width="8" style="1" bestFit="1" customWidth="1"/>
    <col min="35" max="35" width="59.109375" style="1" bestFit="1" customWidth="1"/>
    <col min="36" max="36" width="140.44140625" style="1" bestFit="1" customWidth="1"/>
    <col min="37" max="37" width="11.88671875" style="1" bestFit="1" customWidth="1"/>
    <col min="38" max="38" width="37.44140625" style="1" bestFit="1" customWidth="1"/>
    <col min="39" max="39" width="31.5546875" style="1" bestFit="1" customWidth="1"/>
    <col min="40" max="40" width="20" style="1" bestFit="1" customWidth="1"/>
    <col min="41" max="41" width="21.6640625" style="1" bestFit="1" customWidth="1"/>
    <col min="42" max="42" width="24" style="3" bestFit="1" customWidth="1"/>
    <col min="43" max="43" width="20.109375" style="1" bestFit="1" customWidth="1"/>
    <col min="44" max="359" width="13.5546875" style="1" customWidth="1"/>
    <col min="360" max="16384" width="13.5546875" style="1"/>
  </cols>
  <sheetData>
    <row r="1" spans="1:43" x14ac:dyDescent="0.3">
      <c r="A1" s="54" t="s">
        <v>230</v>
      </c>
      <c r="B1" s="55" t="s">
        <v>231</v>
      </c>
      <c r="C1" s="55" t="s">
        <v>232</v>
      </c>
      <c r="D1" s="55" t="s">
        <v>233</v>
      </c>
      <c r="E1" s="55" t="s">
        <v>234</v>
      </c>
      <c r="F1" s="56" t="s">
        <v>6</v>
      </c>
      <c r="G1" s="56" t="s">
        <v>235</v>
      </c>
      <c r="H1" s="55" t="s">
        <v>236</v>
      </c>
      <c r="I1" s="55" t="s">
        <v>237</v>
      </c>
      <c r="J1" s="55" t="s">
        <v>238</v>
      </c>
      <c r="K1" s="55" t="s">
        <v>239</v>
      </c>
      <c r="L1" s="55" t="s">
        <v>240</v>
      </c>
      <c r="M1" s="55" t="s">
        <v>241</v>
      </c>
      <c r="N1" s="55" t="s">
        <v>242</v>
      </c>
      <c r="O1" s="55" t="s">
        <v>243</v>
      </c>
      <c r="P1" s="55" t="s">
        <v>244</v>
      </c>
      <c r="Q1" s="55" t="s">
        <v>245</v>
      </c>
      <c r="R1" s="55" t="s">
        <v>246</v>
      </c>
      <c r="S1" s="55" t="s">
        <v>3</v>
      </c>
      <c r="T1" s="55" t="s">
        <v>247</v>
      </c>
      <c r="U1" s="55" t="s">
        <v>248</v>
      </c>
      <c r="V1" s="55" t="s">
        <v>100</v>
      </c>
      <c r="W1" s="55" t="s">
        <v>249</v>
      </c>
      <c r="X1" s="55" t="s">
        <v>250</v>
      </c>
      <c r="Y1" s="55" t="s">
        <v>251</v>
      </c>
      <c r="Z1" s="55" t="s">
        <v>252</v>
      </c>
      <c r="AA1" s="55" t="s">
        <v>253</v>
      </c>
      <c r="AB1" s="55" t="s">
        <v>159</v>
      </c>
      <c r="AC1" s="55" t="s">
        <v>254</v>
      </c>
      <c r="AD1" s="55" t="s">
        <v>255</v>
      </c>
      <c r="AE1" s="55" t="s">
        <v>256</v>
      </c>
      <c r="AF1" s="55" t="s">
        <v>257</v>
      </c>
      <c r="AG1" s="55" t="s">
        <v>258</v>
      </c>
      <c r="AH1" s="55" t="s">
        <v>259</v>
      </c>
      <c r="AI1" s="55" t="s">
        <v>260</v>
      </c>
      <c r="AJ1" s="55" t="s">
        <v>261</v>
      </c>
      <c r="AK1" s="56" t="s">
        <v>5</v>
      </c>
      <c r="AL1" s="56" t="s">
        <v>262</v>
      </c>
      <c r="AM1" s="56" t="s">
        <v>263</v>
      </c>
      <c r="AN1" s="56" t="s">
        <v>12</v>
      </c>
      <c r="AO1" s="56" t="s">
        <v>264</v>
      </c>
      <c r="AP1" s="56" t="s">
        <v>265</v>
      </c>
      <c r="AQ1" s="56" t="s">
        <v>11</v>
      </c>
    </row>
    <row r="2" spans="1:43" x14ac:dyDescent="0.3">
      <c r="A2" s="1">
        <v>24390618</v>
      </c>
      <c r="B2" s="1">
        <v>25188918</v>
      </c>
      <c r="C2" s="1" t="s">
        <v>266</v>
      </c>
      <c r="D2" s="4">
        <v>46113.974166666667</v>
      </c>
      <c r="E2" s="4">
        <v>46153.73982638889</v>
      </c>
      <c r="F2" s="57" t="s">
        <v>31</v>
      </c>
      <c r="G2" s="57" t="s">
        <v>31</v>
      </c>
      <c r="H2" s="1" t="s">
        <v>267</v>
      </c>
      <c r="I2" s="1" t="s">
        <v>268</v>
      </c>
      <c r="J2" s="1" t="s">
        <v>269</v>
      </c>
      <c r="K2" s="1" t="s">
        <v>270</v>
      </c>
      <c r="L2" s="1" t="s">
        <v>270</v>
      </c>
      <c r="M2" s="4">
        <v>46113.477083333331</v>
      </c>
      <c r="N2" s="1">
        <v>312</v>
      </c>
      <c r="O2" s="1" t="s">
        <v>93</v>
      </c>
      <c r="P2" s="1" t="s">
        <v>271</v>
      </c>
      <c r="Q2" s="1" t="s">
        <v>272</v>
      </c>
      <c r="R2" s="1" t="s">
        <v>273</v>
      </c>
      <c r="S2" s="1" t="s">
        <v>7</v>
      </c>
      <c r="T2" s="1" t="s">
        <v>274</v>
      </c>
      <c r="U2" s="1" t="s">
        <v>225</v>
      </c>
      <c r="V2" s="1" t="s">
        <v>275</v>
      </c>
      <c r="W2" s="1" t="s">
        <v>93</v>
      </c>
      <c r="X2" s="1" t="s">
        <v>276</v>
      </c>
      <c r="Y2" s="1">
        <v>2280569687</v>
      </c>
      <c r="Z2" s="1" t="s">
        <v>117</v>
      </c>
      <c r="AA2" s="1" t="s">
        <v>93</v>
      </c>
      <c r="AB2" s="1">
        <v>1053.2</v>
      </c>
      <c r="AC2" s="1">
        <v>109.16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 t="s">
        <v>277</v>
      </c>
      <c r="AJ2" s="1" t="s">
        <v>278</v>
      </c>
      <c r="AK2" s="1" t="s">
        <v>13</v>
      </c>
      <c r="AL2" s="1" t="s">
        <v>80</v>
      </c>
      <c r="AM2" s="1" t="s">
        <v>279</v>
      </c>
      <c r="AN2" s="1" t="s">
        <v>21</v>
      </c>
      <c r="AO2" s="1" t="s">
        <v>280</v>
      </c>
      <c r="AP2" s="1" t="s">
        <v>281</v>
      </c>
      <c r="AQ2" s="1" t="s">
        <v>37</v>
      </c>
    </row>
    <row r="3" spans="1:43" x14ac:dyDescent="0.3">
      <c r="A3" s="1">
        <v>24392297</v>
      </c>
      <c r="B3" s="1">
        <v>25190644</v>
      </c>
      <c r="C3" s="1" t="s">
        <v>266</v>
      </c>
      <c r="D3" s="4">
        <v>46114.461180555547</v>
      </c>
      <c r="E3" s="4">
        <v>46153.737835648149</v>
      </c>
      <c r="F3" s="57" t="s">
        <v>31</v>
      </c>
      <c r="G3" s="57" t="s">
        <v>31</v>
      </c>
      <c r="H3" s="1" t="s">
        <v>282</v>
      </c>
      <c r="I3" s="1" t="s">
        <v>17</v>
      </c>
      <c r="J3" s="1" t="s">
        <v>283</v>
      </c>
      <c r="K3" s="1" t="s">
        <v>284</v>
      </c>
      <c r="L3" s="1" t="s">
        <v>284</v>
      </c>
      <c r="M3" s="4">
        <v>46113.865277777782</v>
      </c>
      <c r="N3" s="1" t="s">
        <v>285</v>
      </c>
      <c r="O3" s="1" t="s">
        <v>93</v>
      </c>
      <c r="P3" s="1" t="s">
        <v>271</v>
      </c>
      <c r="Q3" s="1" t="s">
        <v>286</v>
      </c>
      <c r="R3" s="1" t="s">
        <v>286</v>
      </c>
      <c r="S3" s="1" t="s">
        <v>9</v>
      </c>
      <c r="T3" s="1" t="s">
        <v>274</v>
      </c>
      <c r="U3" s="1" t="s">
        <v>148</v>
      </c>
      <c r="V3" s="1" t="s">
        <v>287</v>
      </c>
      <c r="W3" s="1" t="s">
        <v>288</v>
      </c>
      <c r="X3" s="1" t="s">
        <v>289</v>
      </c>
      <c r="Y3" s="1" t="s">
        <v>93</v>
      </c>
      <c r="Z3" s="1" t="s">
        <v>59</v>
      </c>
      <c r="AA3" s="1" t="s">
        <v>93</v>
      </c>
      <c r="AB3" s="1">
        <v>1356.94</v>
      </c>
      <c r="AC3" s="1">
        <v>50.7</v>
      </c>
      <c r="AD3" s="1">
        <v>0</v>
      </c>
      <c r="AE3" s="1">
        <v>0</v>
      </c>
      <c r="AF3" s="1">
        <v>0</v>
      </c>
      <c r="AG3" s="1">
        <v>0</v>
      </c>
      <c r="AH3" s="1">
        <v>13</v>
      </c>
      <c r="AI3" s="1" t="s">
        <v>290</v>
      </c>
      <c r="AJ3" s="1" t="s">
        <v>291</v>
      </c>
      <c r="AK3" s="1" t="s">
        <v>17</v>
      </c>
      <c r="AL3" s="1" t="s">
        <v>65</v>
      </c>
      <c r="AM3" s="1" t="s">
        <v>292</v>
      </c>
      <c r="AN3" s="1" t="s">
        <v>21</v>
      </c>
      <c r="AO3" s="1" t="s">
        <v>293</v>
      </c>
      <c r="AP3" s="1" t="s">
        <v>281</v>
      </c>
      <c r="AQ3" s="1" t="s">
        <v>34</v>
      </c>
    </row>
    <row r="4" spans="1:43" x14ac:dyDescent="0.3">
      <c r="A4" s="1">
        <v>24392297</v>
      </c>
      <c r="B4" s="1">
        <v>25190645</v>
      </c>
      <c r="C4" s="1" t="s">
        <v>294</v>
      </c>
      <c r="D4" s="4">
        <v>46114.461180555547</v>
      </c>
      <c r="E4" s="4">
        <v>46153.737835648149</v>
      </c>
      <c r="F4" s="57" t="s">
        <v>31</v>
      </c>
      <c r="G4" s="57" t="s">
        <v>31</v>
      </c>
      <c r="H4" s="1" t="s">
        <v>282</v>
      </c>
      <c r="I4" s="1" t="s">
        <v>17</v>
      </c>
      <c r="J4" s="1" t="s">
        <v>283</v>
      </c>
      <c r="K4" s="1" t="s">
        <v>284</v>
      </c>
      <c r="L4" s="1" t="s">
        <v>284</v>
      </c>
      <c r="M4" s="4">
        <v>46113.865277777782</v>
      </c>
      <c r="N4" s="1" t="s">
        <v>285</v>
      </c>
      <c r="O4" s="1" t="s">
        <v>93</v>
      </c>
      <c r="P4" s="1" t="s">
        <v>271</v>
      </c>
      <c r="Q4" s="1" t="s">
        <v>286</v>
      </c>
      <c r="R4" s="1" t="s">
        <v>286</v>
      </c>
      <c r="S4" s="1" t="s">
        <v>9</v>
      </c>
      <c r="T4" s="1" t="s">
        <v>274</v>
      </c>
      <c r="U4" s="1" t="s">
        <v>148</v>
      </c>
      <c r="V4" s="1" t="s">
        <v>287</v>
      </c>
      <c r="W4" s="1" t="s">
        <v>288</v>
      </c>
      <c r="X4" s="1" t="s">
        <v>93</v>
      </c>
      <c r="Y4" s="1" t="s">
        <v>93</v>
      </c>
      <c r="Z4" s="1" t="s">
        <v>59</v>
      </c>
      <c r="AA4" s="1" t="s">
        <v>93</v>
      </c>
      <c r="AB4" s="1">
        <v>1555.2619999999999</v>
      </c>
      <c r="AC4" s="1">
        <v>54.22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 t="s">
        <v>290</v>
      </c>
      <c r="AJ4" s="1" t="s">
        <v>291</v>
      </c>
      <c r="AK4" s="1" t="s">
        <v>17</v>
      </c>
      <c r="AL4" s="1" t="s">
        <v>65</v>
      </c>
      <c r="AM4" s="1" t="s">
        <v>292</v>
      </c>
      <c r="AN4" s="1" t="s">
        <v>21</v>
      </c>
      <c r="AO4" s="1" t="s">
        <v>293</v>
      </c>
      <c r="AP4" s="1" t="s">
        <v>281</v>
      </c>
      <c r="AQ4" s="1" t="s">
        <v>34</v>
      </c>
    </row>
    <row r="5" spans="1:43" x14ac:dyDescent="0.3">
      <c r="A5" s="1">
        <v>24394827</v>
      </c>
      <c r="B5" s="1">
        <v>25193439</v>
      </c>
      <c r="C5" s="1" t="s">
        <v>266</v>
      </c>
      <c r="D5" s="4">
        <v>46114.736446759263</v>
      </c>
      <c r="E5" s="4">
        <v>46153.739918981482</v>
      </c>
      <c r="F5" s="57" t="s">
        <v>31</v>
      </c>
      <c r="G5" s="57" t="s">
        <v>31</v>
      </c>
      <c r="H5" s="1" t="s">
        <v>295</v>
      </c>
      <c r="I5" s="1" t="s">
        <v>268</v>
      </c>
      <c r="J5" s="1" t="s">
        <v>296</v>
      </c>
      <c r="K5" s="1" t="s">
        <v>270</v>
      </c>
      <c r="L5" s="1" t="s">
        <v>270</v>
      </c>
      <c r="M5" s="4">
        <v>46114.522222222222</v>
      </c>
      <c r="N5" s="1">
        <v>6655</v>
      </c>
      <c r="O5" s="1" t="s">
        <v>93</v>
      </c>
      <c r="P5" s="1" t="s">
        <v>271</v>
      </c>
      <c r="Q5" s="1" t="s">
        <v>272</v>
      </c>
      <c r="R5" s="1" t="s">
        <v>273</v>
      </c>
      <c r="S5" s="1" t="s">
        <v>7</v>
      </c>
      <c r="T5" s="1" t="s">
        <v>274</v>
      </c>
      <c r="U5" s="1" t="s">
        <v>154</v>
      </c>
      <c r="V5" s="1" t="s">
        <v>297</v>
      </c>
      <c r="W5" s="1" t="s">
        <v>93</v>
      </c>
      <c r="X5" s="1" t="s">
        <v>298</v>
      </c>
      <c r="Y5" s="1">
        <v>2301058749</v>
      </c>
      <c r="Z5" s="1" t="s">
        <v>48</v>
      </c>
      <c r="AA5" s="1" t="s">
        <v>93</v>
      </c>
      <c r="AB5" s="1">
        <v>1861.69</v>
      </c>
      <c r="AC5" s="1">
        <v>96.25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 t="s">
        <v>299</v>
      </c>
      <c r="AJ5" s="1" t="s">
        <v>300</v>
      </c>
      <c r="AK5" s="1" t="s">
        <v>13</v>
      </c>
      <c r="AL5" s="1" t="s">
        <v>80</v>
      </c>
      <c r="AM5" s="1" t="s">
        <v>279</v>
      </c>
      <c r="AN5" s="1" t="s">
        <v>21</v>
      </c>
      <c r="AO5" s="1" t="s">
        <v>280</v>
      </c>
      <c r="AP5" s="1" t="s">
        <v>281</v>
      </c>
      <c r="AQ5" s="1" t="s">
        <v>37</v>
      </c>
    </row>
    <row r="6" spans="1:43" x14ac:dyDescent="0.3">
      <c r="A6" s="1">
        <v>24394828</v>
      </c>
      <c r="B6" s="1">
        <v>25193440</v>
      </c>
      <c r="C6" s="1" t="s">
        <v>266</v>
      </c>
      <c r="D6" s="4">
        <v>46114.73646990741</v>
      </c>
      <c r="E6" s="4">
        <v>46205.541145833333</v>
      </c>
      <c r="F6" s="1" t="s">
        <v>22</v>
      </c>
      <c r="G6" s="57" t="s">
        <v>31</v>
      </c>
      <c r="H6" s="1" t="s">
        <v>301</v>
      </c>
      <c r="I6" s="1" t="s">
        <v>268</v>
      </c>
      <c r="J6" s="1" t="s">
        <v>302</v>
      </c>
      <c r="K6" s="1" t="s">
        <v>270</v>
      </c>
      <c r="L6" s="1" t="s">
        <v>270</v>
      </c>
      <c r="M6" s="4">
        <v>46205.416666666657</v>
      </c>
      <c r="N6" s="1">
        <v>6652</v>
      </c>
      <c r="O6" s="1" t="s">
        <v>93</v>
      </c>
      <c r="P6" s="1" t="s">
        <v>271</v>
      </c>
      <c r="Q6" s="1" t="s">
        <v>303</v>
      </c>
      <c r="R6" s="1" t="s">
        <v>273</v>
      </c>
      <c r="S6" s="1" t="s">
        <v>7</v>
      </c>
      <c r="T6" s="1" t="s">
        <v>274</v>
      </c>
      <c r="U6" s="1" t="s">
        <v>154</v>
      </c>
      <c r="V6" s="1" t="s">
        <v>297</v>
      </c>
      <c r="W6" s="1" t="s">
        <v>93</v>
      </c>
      <c r="X6" s="1" t="s">
        <v>298</v>
      </c>
      <c r="Y6" s="1">
        <v>2301056216</v>
      </c>
      <c r="Z6" s="1" t="s">
        <v>48</v>
      </c>
      <c r="AA6" s="1" t="s">
        <v>93</v>
      </c>
      <c r="AB6" s="1">
        <v>2182.0100000000002</v>
      </c>
      <c r="AC6" s="1">
        <v>116.1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 t="s">
        <v>304</v>
      </c>
      <c r="AJ6" s="1" t="s">
        <v>305</v>
      </c>
      <c r="AK6" s="1" t="s">
        <v>13</v>
      </c>
      <c r="AL6" s="1" t="s">
        <v>80</v>
      </c>
      <c r="AM6" s="1" t="s">
        <v>279</v>
      </c>
      <c r="AN6" s="1" t="s">
        <v>21</v>
      </c>
      <c r="AO6" s="1" t="s">
        <v>280</v>
      </c>
      <c r="AP6" s="1" t="s">
        <v>281</v>
      </c>
      <c r="AQ6" s="1" t="s">
        <v>37</v>
      </c>
    </row>
    <row r="7" spans="1:43" x14ac:dyDescent="0.3">
      <c r="A7" s="1">
        <v>24392516</v>
      </c>
      <c r="B7" s="1">
        <v>25190873</v>
      </c>
      <c r="C7" s="1" t="s">
        <v>266</v>
      </c>
      <c r="D7" s="4">
        <v>46114.468472222223</v>
      </c>
      <c r="E7" s="4">
        <v>46153.739895833343</v>
      </c>
      <c r="F7" s="57" t="s">
        <v>31</v>
      </c>
      <c r="G7" s="57" t="s">
        <v>31</v>
      </c>
      <c r="H7" s="1" t="s">
        <v>306</v>
      </c>
      <c r="I7" s="1" t="s">
        <v>268</v>
      </c>
      <c r="J7" s="1" t="s">
        <v>307</v>
      </c>
      <c r="K7" s="1" t="s">
        <v>270</v>
      </c>
      <c r="L7" s="1" t="s">
        <v>270</v>
      </c>
      <c r="M7" s="4">
        <v>46114.453472222223</v>
      </c>
      <c r="N7" s="1">
        <v>6648</v>
      </c>
      <c r="O7" s="1" t="s">
        <v>93</v>
      </c>
      <c r="P7" s="1" t="s">
        <v>271</v>
      </c>
      <c r="Q7" s="1" t="s">
        <v>272</v>
      </c>
      <c r="R7" s="1" t="s">
        <v>273</v>
      </c>
      <c r="S7" s="1" t="s">
        <v>7</v>
      </c>
      <c r="T7" s="1" t="s">
        <v>274</v>
      </c>
      <c r="U7" s="1" t="s">
        <v>154</v>
      </c>
      <c r="V7" s="1" t="s">
        <v>297</v>
      </c>
      <c r="W7" s="1" t="s">
        <v>93</v>
      </c>
      <c r="X7" s="1" t="s">
        <v>276</v>
      </c>
      <c r="Y7" s="1">
        <v>2280742820</v>
      </c>
      <c r="Z7" s="1" t="s">
        <v>48</v>
      </c>
      <c r="AA7" s="1" t="s">
        <v>93</v>
      </c>
      <c r="AB7" s="1">
        <v>3101.4</v>
      </c>
      <c r="AC7" s="1">
        <v>112.56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 t="s">
        <v>308</v>
      </c>
      <c r="AJ7" s="1" t="s">
        <v>300</v>
      </c>
      <c r="AK7" s="1" t="s">
        <v>13</v>
      </c>
      <c r="AL7" s="1" t="s">
        <v>80</v>
      </c>
      <c r="AM7" s="1" t="s">
        <v>279</v>
      </c>
      <c r="AN7" s="1" t="s">
        <v>21</v>
      </c>
      <c r="AO7" s="1" t="s">
        <v>280</v>
      </c>
      <c r="AP7" s="1" t="s">
        <v>281</v>
      </c>
      <c r="AQ7" s="1" t="s">
        <v>37</v>
      </c>
    </row>
    <row r="8" spans="1:43" x14ac:dyDescent="0.3">
      <c r="A8" s="1">
        <v>24406174</v>
      </c>
      <c r="B8" s="1">
        <v>25206837</v>
      </c>
      <c r="C8" s="1" t="s">
        <v>294</v>
      </c>
      <c r="D8" s="4">
        <v>46118.494479166657</v>
      </c>
      <c r="E8" s="4">
        <v>46157.650659722232</v>
      </c>
      <c r="F8" s="57" t="s">
        <v>31</v>
      </c>
      <c r="G8" s="57" t="s">
        <v>31</v>
      </c>
      <c r="H8" s="1" t="s">
        <v>309</v>
      </c>
      <c r="I8" s="1" t="s">
        <v>17</v>
      </c>
      <c r="J8" s="1" t="s">
        <v>310</v>
      </c>
      <c r="K8" s="1" t="s">
        <v>284</v>
      </c>
      <c r="L8" s="1" t="s">
        <v>284</v>
      </c>
      <c r="M8" s="4">
        <v>46118.279166666667</v>
      </c>
      <c r="N8" s="1" t="s">
        <v>311</v>
      </c>
      <c r="O8" s="1" t="s">
        <v>93</v>
      </c>
      <c r="P8" s="1" t="s">
        <v>271</v>
      </c>
      <c r="Q8" s="1" t="s">
        <v>286</v>
      </c>
      <c r="R8" s="1" t="s">
        <v>286</v>
      </c>
      <c r="S8" s="1" t="s">
        <v>9</v>
      </c>
      <c r="T8" s="1" t="s">
        <v>274</v>
      </c>
      <c r="U8" s="1" t="s">
        <v>148</v>
      </c>
      <c r="V8" s="1" t="s">
        <v>287</v>
      </c>
      <c r="W8" s="1" t="s">
        <v>288</v>
      </c>
      <c r="X8" s="1" t="s">
        <v>93</v>
      </c>
      <c r="Y8" s="1" t="s">
        <v>93</v>
      </c>
      <c r="Z8" s="1" t="s">
        <v>59</v>
      </c>
      <c r="AA8" s="1" t="s">
        <v>93</v>
      </c>
      <c r="AB8" s="1">
        <v>9702</v>
      </c>
      <c r="AC8" s="1">
        <v>8820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 t="s">
        <v>290</v>
      </c>
      <c r="AJ8" s="1" t="s">
        <v>291</v>
      </c>
      <c r="AK8" s="1" t="s">
        <v>17</v>
      </c>
      <c r="AL8" s="1" t="s">
        <v>65</v>
      </c>
      <c r="AM8" s="1" t="s">
        <v>292</v>
      </c>
      <c r="AN8" s="1" t="s">
        <v>21</v>
      </c>
      <c r="AO8" s="1" t="s">
        <v>293</v>
      </c>
      <c r="AP8" s="1" t="s">
        <v>281</v>
      </c>
      <c r="AQ8" s="1" t="s">
        <v>34</v>
      </c>
    </row>
    <row r="9" spans="1:43" x14ac:dyDescent="0.3">
      <c r="A9" s="1">
        <v>24445252</v>
      </c>
      <c r="B9" s="1">
        <v>25250733</v>
      </c>
      <c r="C9" s="1" t="s">
        <v>294</v>
      </c>
      <c r="D9" s="4">
        <v>46125.945104166669</v>
      </c>
      <c r="E9" s="4">
        <v>46153.737951388888</v>
      </c>
      <c r="F9" s="57" t="s">
        <v>31</v>
      </c>
      <c r="G9" s="57" t="s">
        <v>31</v>
      </c>
      <c r="H9" s="1" t="s">
        <v>312</v>
      </c>
      <c r="I9" s="1" t="s">
        <v>17</v>
      </c>
      <c r="J9" s="1" t="s">
        <v>313</v>
      </c>
      <c r="K9" s="1" t="s">
        <v>314</v>
      </c>
      <c r="L9" s="1" t="s">
        <v>314</v>
      </c>
      <c r="M9" s="4">
        <v>46125.636805555558</v>
      </c>
      <c r="N9" s="1" t="s">
        <v>315</v>
      </c>
      <c r="O9" s="1" t="s">
        <v>93</v>
      </c>
      <c r="P9" s="1" t="s">
        <v>271</v>
      </c>
      <c r="Q9" s="1" t="s">
        <v>286</v>
      </c>
      <c r="R9" s="1" t="s">
        <v>286</v>
      </c>
      <c r="S9" s="1" t="s">
        <v>9</v>
      </c>
      <c r="T9" s="1" t="s">
        <v>274</v>
      </c>
      <c r="U9" s="1" t="s">
        <v>185</v>
      </c>
      <c r="V9" s="1" t="s">
        <v>316</v>
      </c>
      <c r="W9" s="1" t="s">
        <v>93</v>
      </c>
      <c r="X9" s="1" t="s">
        <v>93</v>
      </c>
      <c r="Y9" s="1" t="s">
        <v>93</v>
      </c>
      <c r="Z9" s="1" t="s">
        <v>56</v>
      </c>
      <c r="AA9" s="1" t="s">
        <v>93</v>
      </c>
      <c r="AB9" s="1">
        <v>2926.6439999999998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 t="s">
        <v>290</v>
      </c>
      <c r="AJ9" s="1" t="s">
        <v>291</v>
      </c>
      <c r="AK9" s="1" t="s">
        <v>17</v>
      </c>
      <c r="AL9" s="1" t="s">
        <v>65</v>
      </c>
      <c r="AM9" s="1" t="s">
        <v>292</v>
      </c>
      <c r="AN9" s="1" t="s">
        <v>21</v>
      </c>
      <c r="AO9" s="1" t="s">
        <v>293</v>
      </c>
      <c r="AP9" s="1" t="s">
        <v>281</v>
      </c>
      <c r="AQ9" s="1" t="s">
        <v>34</v>
      </c>
    </row>
    <row r="10" spans="1:43" x14ac:dyDescent="0.3">
      <c r="A10" s="1">
        <v>24452444</v>
      </c>
      <c r="B10" s="1">
        <v>25258566</v>
      </c>
      <c r="C10" s="1" t="s">
        <v>266</v>
      </c>
      <c r="D10" s="4">
        <v>46127.486956018518</v>
      </c>
      <c r="E10" s="4">
        <v>46206.715567129628</v>
      </c>
      <c r="F10" s="1" t="s">
        <v>22</v>
      </c>
      <c r="G10" s="57" t="s">
        <v>31</v>
      </c>
      <c r="H10" s="1" t="s">
        <v>317</v>
      </c>
      <c r="I10" s="1" t="s">
        <v>17</v>
      </c>
      <c r="J10" s="1" t="s">
        <v>318</v>
      </c>
      <c r="K10" s="1" t="s">
        <v>319</v>
      </c>
      <c r="L10" s="1" t="s">
        <v>319</v>
      </c>
      <c r="M10" s="4">
        <v>46119.652777777781</v>
      </c>
      <c r="N10" s="1" t="s">
        <v>317</v>
      </c>
      <c r="O10" s="1" t="s">
        <v>93</v>
      </c>
      <c r="P10" s="1" t="s">
        <v>271</v>
      </c>
      <c r="Q10" s="1" t="s">
        <v>320</v>
      </c>
      <c r="R10" s="1" t="s">
        <v>320</v>
      </c>
      <c r="S10" s="1" t="s">
        <v>7</v>
      </c>
      <c r="T10" s="1" t="s">
        <v>274</v>
      </c>
      <c r="U10" s="1" t="s">
        <v>177</v>
      </c>
      <c r="V10" s="1" t="s">
        <v>321</v>
      </c>
      <c r="W10" s="1" t="s">
        <v>288</v>
      </c>
      <c r="X10" s="1" t="s">
        <v>298</v>
      </c>
      <c r="Y10" s="1" t="s">
        <v>93</v>
      </c>
      <c r="Z10" s="1" t="s">
        <v>111</v>
      </c>
      <c r="AA10" s="1" t="s">
        <v>93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 t="s">
        <v>290</v>
      </c>
      <c r="AJ10" s="1" t="s">
        <v>322</v>
      </c>
      <c r="AK10" s="1" t="s">
        <v>17</v>
      </c>
      <c r="AL10" s="1" t="s">
        <v>67</v>
      </c>
      <c r="AM10" s="1" t="s">
        <v>323</v>
      </c>
      <c r="AN10" s="1" t="s">
        <v>21</v>
      </c>
      <c r="AO10" s="1" t="s">
        <v>280</v>
      </c>
      <c r="AP10" s="1" t="s">
        <v>324</v>
      </c>
      <c r="AQ10" s="1" t="s">
        <v>27</v>
      </c>
    </row>
    <row r="11" spans="1:43" x14ac:dyDescent="0.3">
      <c r="A11" s="1">
        <v>24409098</v>
      </c>
      <c r="B11" s="1">
        <v>25210041</v>
      </c>
      <c r="C11" s="1" t="s">
        <v>266</v>
      </c>
      <c r="D11" s="4">
        <v>46118.779016203713</v>
      </c>
      <c r="E11" s="4">
        <v>46153.740081018521</v>
      </c>
      <c r="F11" s="57" t="s">
        <v>31</v>
      </c>
      <c r="G11" s="57" t="s">
        <v>31</v>
      </c>
      <c r="H11" s="1" t="s">
        <v>325</v>
      </c>
      <c r="I11" s="1" t="s">
        <v>268</v>
      </c>
      <c r="J11" s="1" t="s">
        <v>326</v>
      </c>
      <c r="K11" s="1" t="s">
        <v>270</v>
      </c>
      <c r="L11" s="1" t="s">
        <v>270</v>
      </c>
      <c r="M11" s="4">
        <v>46118.714583333327</v>
      </c>
      <c r="N11" s="1">
        <v>106435</v>
      </c>
      <c r="O11" s="1" t="s">
        <v>93</v>
      </c>
      <c r="P11" s="1" t="s">
        <v>271</v>
      </c>
      <c r="Q11" s="1" t="s">
        <v>303</v>
      </c>
      <c r="R11" s="1" t="s">
        <v>273</v>
      </c>
      <c r="S11" s="1" t="s">
        <v>7</v>
      </c>
      <c r="T11" s="1" t="s">
        <v>274</v>
      </c>
      <c r="U11" s="1" t="s">
        <v>144</v>
      </c>
      <c r="V11" s="1" t="s">
        <v>327</v>
      </c>
      <c r="W11" s="1" t="s">
        <v>93</v>
      </c>
      <c r="X11" s="1" t="s">
        <v>276</v>
      </c>
      <c r="Y11" s="1">
        <v>2281245127</v>
      </c>
      <c r="Z11" s="1" t="s">
        <v>54</v>
      </c>
      <c r="AA11" s="1" t="s">
        <v>93</v>
      </c>
      <c r="AB11" s="1">
        <v>246.16</v>
      </c>
      <c r="AC11" s="1">
        <v>62.14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 t="s">
        <v>328</v>
      </c>
      <c r="AJ11" s="1" t="s">
        <v>329</v>
      </c>
      <c r="AK11" s="1" t="s">
        <v>13</v>
      </c>
      <c r="AL11" s="1" t="s">
        <v>80</v>
      </c>
      <c r="AM11" s="1" t="s">
        <v>279</v>
      </c>
      <c r="AN11" s="1" t="s">
        <v>21</v>
      </c>
      <c r="AO11" s="1" t="s">
        <v>280</v>
      </c>
      <c r="AP11" s="1" t="s">
        <v>281</v>
      </c>
      <c r="AQ11" s="1" t="s">
        <v>37</v>
      </c>
    </row>
    <row r="12" spans="1:43" x14ac:dyDescent="0.3">
      <c r="A12" s="1">
        <v>24424868</v>
      </c>
      <c r="B12" s="1">
        <v>25227226</v>
      </c>
      <c r="C12" s="1" t="s">
        <v>266</v>
      </c>
      <c r="D12" s="4">
        <v>46121.722569444442</v>
      </c>
      <c r="E12" s="4">
        <v>46206.71266203704</v>
      </c>
      <c r="F12" s="1" t="s">
        <v>22</v>
      </c>
      <c r="G12" s="57" t="s">
        <v>31</v>
      </c>
      <c r="H12" s="1" t="s">
        <v>330</v>
      </c>
      <c r="I12" s="1" t="s">
        <v>17</v>
      </c>
      <c r="J12" s="1" t="s">
        <v>331</v>
      </c>
      <c r="K12" s="1" t="s">
        <v>319</v>
      </c>
      <c r="L12" s="1" t="s">
        <v>319</v>
      </c>
      <c r="M12" s="4">
        <v>46120.584722222222</v>
      </c>
      <c r="N12" s="1" t="s">
        <v>332</v>
      </c>
      <c r="O12" s="1" t="s">
        <v>333</v>
      </c>
      <c r="P12" s="1" t="s">
        <v>271</v>
      </c>
      <c r="Q12" s="1" t="s">
        <v>303</v>
      </c>
      <c r="R12" s="1" t="s">
        <v>272</v>
      </c>
      <c r="S12" s="1" t="s">
        <v>8</v>
      </c>
      <c r="T12" s="1" t="s">
        <v>274</v>
      </c>
      <c r="U12" s="1" t="s">
        <v>177</v>
      </c>
      <c r="V12" s="1" t="s">
        <v>334</v>
      </c>
      <c r="W12" s="1" t="s">
        <v>288</v>
      </c>
      <c r="X12" s="1" t="s">
        <v>335</v>
      </c>
      <c r="Y12" s="1" t="s">
        <v>93</v>
      </c>
      <c r="Z12" s="1" t="s">
        <v>56</v>
      </c>
      <c r="AA12" s="1" t="s">
        <v>93</v>
      </c>
      <c r="AB12" s="1">
        <v>186.13</v>
      </c>
      <c r="AC12" s="1">
        <v>98.38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 t="s">
        <v>290</v>
      </c>
      <c r="AJ12" s="1" t="s">
        <v>336</v>
      </c>
      <c r="AK12" s="1" t="s">
        <v>17</v>
      </c>
      <c r="AL12" s="1" t="s">
        <v>108</v>
      </c>
      <c r="AM12" s="1" t="s">
        <v>337</v>
      </c>
      <c r="AN12" s="1" t="s">
        <v>21</v>
      </c>
      <c r="AO12" s="1" t="s">
        <v>280</v>
      </c>
      <c r="AP12" s="1" t="s">
        <v>324</v>
      </c>
      <c r="AQ12" s="1" t="s">
        <v>27</v>
      </c>
    </row>
    <row r="13" spans="1:43" x14ac:dyDescent="0.3">
      <c r="A13" s="1">
        <v>24493184</v>
      </c>
      <c r="B13" s="1">
        <v>25304501</v>
      </c>
      <c r="C13" s="1" t="s">
        <v>266</v>
      </c>
      <c r="D13" s="4">
        <v>46136.362581018519</v>
      </c>
      <c r="E13" s="4">
        <v>46153.740057870367</v>
      </c>
      <c r="F13" s="57" t="s">
        <v>31</v>
      </c>
      <c r="G13" s="57" t="s">
        <v>31</v>
      </c>
      <c r="H13" s="1" t="s">
        <v>338</v>
      </c>
      <c r="I13" s="1" t="s">
        <v>16</v>
      </c>
      <c r="J13" s="1" t="s">
        <v>339</v>
      </c>
      <c r="K13" s="1" t="s">
        <v>340</v>
      </c>
      <c r="L13" s="1" t="s">
        <v>340</v>
      </c>
      <c r="M13" s="4">
        <v>46057.754166666673</v>
      </c>
      <c r="N13" s="1">
        <v>4656877</v>
      </c>
      <c r="O13" s="1" t="s">
        <v>341</v>
      </c>
      <c r="P13" s="1" t="s">
        <v>342</v>
      </c>
      <c r="Q13" s="1" t="s">
        <v>303</v>
      </c>
      <c r="R13" s="1" t="s">
        <v>272</v>
      </c>
      <c r="S13" s="1" t="s">
        <v>8</v>
      </c>
      <c r="T13" s="1" t="s">
        <v>274</v>
      </c>
      <c r="U13" s="1" t="s">
        <v>175</v>
      </c>
      <c r="V13" s="1" t="s">
        <v>343</v>
      </c>
      <c r="W13" s="1" t="s">
        <v>288</v>
      </c>
      <c r="X13" s="1" t="s">
        <v>344</v>
      </c>
      <c r="Y13" s="1" t="s">
        <v>93</v>
      </c>
      <c r="Z13" s="1" t="s">
        <v>91</v>
      </c>
      <c r="AA13" s="1" t="s">
        <v>93</v>
      </c>
      <c r="AB13" s="1">
        <v>1177.04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 t="s">
        <v>345</v>
      </c>
      <c r="AJ13" s="1" t="s">
        <v>322</v>
      </c>
      <c r="AK13" s="1" t="s">
        <v>16</v>
      </c>
      <c r="AL13" s="1" t="s">
        <v>67</v>
      </c>
      <c r="AM13" s="1" t="s">
        <v>323</v>
      </c>
      <c r="AN13" s="1" t="s">
        <v>21</v>
      </c>
      <c r="AO13" s="1" t="s">
        <v>280</v>
      </c>
      <c r="AP13" s="1" t="s">
        <v>324</v>
      </c>
      <c r="AQ13" s="1" t="s">
        <v>27</v>
      </c>
    </row>
    <row r="14" spans="1:43" x14ac:dyDescent="0.3">
      <c r="A14" s="1">
        <v>24445252</v>
      </c>
      <c r="B14" s="1">
        <v>25250732</v>
      </c>
      <c r="C14" s="1" t="s">
        <v>266</v>
      </c>
      <c r="D14" s="4">
        <v>46125.945104166669</v>
      </c>
      <c r="E14" s="4">
        <v>46153.737951388888</v>
      </c>
      <c r="F14" s="57" t="s">
        <v>31</v>
      </c>
      <c r="G14" s="57" t="s">
        <v>31</v>
      </c>
      <c r="H14" s="1" t="s">
        <v>312</v>
      </c>
      <c r="I14" s="1" t="s">
        <v>17</v>
      </c>
      <c r="J14" s="1" t="s">
        <v>313</v>
      </c>
      <c r="K14" s="1" t="s">
        <v>314</v>
      </c>
      <c r="L14" s="1" t="s">
        <v>314</v>
      </c>
      <c r="M14" s="4">
        <v>46125.636805555558</v>
      </c>
      <c r="N14" s="1" t="s">
        <v>315</v>
      </c>
      <c r="O14" s="1" t="s">
        <v>93</v>
      </c>
      <c r="P14" s="1" t="s">
        <v>271</v>
      </c>
      <c r="Q14" s="1" t="s">
        <v>286</v>
      </c>
      <c r="R14" s="1" t="s">
        <v>286</v>
      </c>
      <c r="S14" s="1" t="s">
        <v>9</v>
      </c>
      <c r="T14" s="1" t="s">
        <v>274</v>
      </c>
      <c r="U14" s="1" t="s">
        <v>185</v>
      </c>
      <c r="V14" s="1" t="s">
        <v>316</v>
      </c>
      <c r="W14" s="1" t="s">
        <v>93</v>
      </c>
      <c r="X14" s="1" t="s">
        <v>346</v>
      </c>
      <c r="Y14" s="1" t="s">
        <v>93</v>
      </c>
      <c r="Z14" s="1" t="s">
        <v>56</v>
      </c>
      <c r="AA14" s="1" t="s">
        <v>93</v>
      </c>
      <c r="AB14" s="1">
        <v>3468.0985000000001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 t="s">
        <v>290</v>
      </c>
      <c r="AJ14" s="1" t="s">
        <v>291</v>
      </c>
      <c r="AK14" s="1" t="s">
        <v>17</v>
      </c>
      <c r="AL14" s="1" t="s">
        <v>65</v>
      </c>
      <c r="AM14" s="1" t="s">
        <v>292</v>
      </c>
      <c r="AN14" s="1" t="s">
        <v>21</v>
      </c>
      <c r="AO14" s="1" t="s">
        <v>293</v>
      </c>
      <c r="AP14" s="1" t="s">
        <v>281</v>
      </c>
      <c r="AQ14" s="1" t="s">
        <v>34</v>
      </c>
    </row>
    <row r="15" spans="1:43" x14ac:dyDescent="0.3">
      <c r="A15" s="1">
        <v>24406174</v>
      </c>
      <c r="B15" s="1">
        <v>25206836</v>
      </c>
      <c r="C15" s="1" t="s">
        <v>266</v>
      </c>
      <c r="D15" s="4">
        <v>46118.494479166657</v>
      </c>
      <c r="E15" s="4">
        <v>46157.650659722232</v>
      </c>
      <c r="F15" s="57" t="s">
        <v>31</v>
      </c>
      <c r="G15" s="57" t="s">
        <v>31</v>
      </c>
      <c r="H15" s="1" t="s">
        <v>309</v>
      </c>
      <c r="I15" s="1" t="s">
        <v>17</v>
      </c>
      <c r="J15" s="1" t="s">
        <v>310</v>
      </c>
      <c r="K15" s="1" t="s">
        <v>284</v>
      </c>
      <c r="L15" s="1" t="s">
        <v>284</v>
      </c>
      <c r="M15" s="4">
        <v>46118.279166666667</v>
      </c>
      <c r="N15" s="1" t="s">
        <v>311</v>
      </c>
      <c r="O15" s="1" t="s">
        <v>93</v>
      </c>
      <c r="P15" s="1" t="s">
        <v>271</v>
      </c>
      <c r="Q15" s="1" t="s">
        <v>286</v>
      </c>
      <c r="R15" s="1" t="s">
        <v>286</v>
      </c>
      <c r="S15" s="1" t="s">
        <v>9</v>
      </c>
      <c r="T15" s="1" t="s">
        <v>274</v>
      </c>
      <c r="U15" s="1" t="s">
        <v>148</v>
      </c>
      <c r="V15" s="1" t="s">
        <v>287</v>
      </c>
      <c r="W15" s="1" t="s">
        <v>288</v>
      </c>
      <c r="X15" s="1" t="s">
        <v>347</v>
      </c>
      <c r="Y15" s="1" t="s">
        <v>93</v>
      </c>
      <c r="Z15" s="1" t="s">
        <v>59</v>
      </c>
      <c r="AA15" s="1" t="s">
        <v>93</v>
      </c>
      <c r="AB15" s="1">
        <v>9702</v>
      </c>
      <c r="AC15" s="1">
        <v>8820</v>
      </c>
      <c r="AD15" s="1">
        <v>0</v>
      </c>
      <c r="AE15" s="1">
        <v>0</v>
      </c>
      <c r="AF15" s="1">
        <v>0</v>
      </c>
      <c r="AG15" s="1">
        <v>0</v>
      </c>
      <c r="AH15" s="1">
        <v>13</v>
      </c>
      <c r="AI15" s="1" t="s">
        <v>290</v>
      </c>
      <c r="AJ15" s="1" t="s">
        <v>291</v>
      </c>
      <c r="AK15" s="1" t="s">
        <v>17</v>
      </c>
      <c r="AL15" s="1" t="s">
        <v>65</v>
      </c>
      <c r="AM15" s="1" t="s">
        <v>292</v>
      </c>
      <c r="AN15" s="1" t="s">
        <v>21</v>
      </c>
      <c r="AO15" s="1" t="s">
        <v>293</v>
      </c>
      <c r="AP15" s="1" t="s">
        <v>281</v>
      </c>
      <c r="AQ15" s="1" t="s">
        <v>34</v>
      </c>
    </row>
    <row r="16" spans="1:43" x14ac:dyDescent="0.3">
      <c r="A16" s="1">
        <v>24520473</v>
      </c>
      <c r="B16" s="1">
        <v>25337403</v>
      </c>
      <c r="C16" s="1" t="s">
        <v>294</v>
      </c>
      <c r="D16" s="4">
        <v>46142.578692129631</v>
      </c>
      <c r="E16" s="4">
        <v>46157.659259259257</v>
      </c>
      <c r="F16" s="57" t="s">
        <v>31</v>
      </c>
      <c r="G16" s="57" t="s">
        <v>31</v>
      </c>
      <c r="H16" s="1" t="s">
        <v>348</v>
      </c>
      <c r="I16" s="1" t="s">
        <v>17</v>
      </c>
      <c r="J16" s="1" t="s">
        <v>349</v>
      </c>
      <c r="K16" s="1" t="s">
        <v>284</v>
      </c>
      <c r="L16" s="1" t="s">
        <v>284</v>
      </c>
      <c r="M16" s="4">
        <v>46142.445138888892</v>
      </c>
      <c r="N16" s="1" t="s">
        <v>350</v>
      </c>
      <c r="O16" s="1" t="s">
        <v>93</v>
      </c>
      <c r="P16" s="1" t="s">
        <v>271</v>
      </c>
      <c r="Q16" s="1" t="s">
        <v>286</v>
      </c>
      <c r="R16" s="1" t="s">
        <v>286</v>
      </c>
      <c r="S16" s="1" t="s">
        <v>9</v>
      </c>
      <c r="T16" s="1" t="s">
        <v>274</v>
      </c>
      <c r="U16" s="1" t="s">
        <v>148</v>
      </c>
      <c r="V16" s="1" t="s">
        <v>287</v>
      </c>
      <c r="W16" s="1" t="s">
        <v>288</v>
      </c>
      <c r="X16" s="1" t="s">
        <v>93</v>
      </c>
      <c r="Y16" s="1" t="s">
        <v>93</v>
      </c>
      <c r="Z16" s="1" t="s">
        <v>59</v>
      </c>
      <c r="AA16" s="1" t="s">
        <v>93</v>
      </c>
      <c r="AB16" s="1">
        <v>5234.0254999999997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 t="s">
        <v>290</v>
      </c>
      <c r="AJ16" s="1" t="s">
        <v>291</v>
      </c>
      <c r="AK16" s="1" t="s">
        <v>17</v>
      </c>
      <c r="AL16" s="1" t="s">
        <v>65</v>
      </c>
      <c r="AM16" s="1" t="s">
        <v>292</v>
      </c>
      <c r="AN16" s="1" t="s">
        <v>21</v>
      </c>
      <c r="AO16" s="1" t="s">
        <v>293</v>
      </c>
      <c r="AP16" s="1" t="s">
        <v>281</v>
      </c>
      <c r="AQ16" s="1" t="s">
        <v>34</v>
      </c>
    </row>
    <row r="17" spans="1:43" x14ac:dyDescent="0.3">
      <c r="A17" s="1">
        <v>24493290</v>
      </c>
      <c r="B17" s="1">
        <v>25304642</v>
      </c>
      <c r="C17" s="1" t="s">
        <v>294</v>
      </c>
      <c r="D17" s="4">
        <v>46136.390474537038</v>
      </c>
      <c r="E17" s="4">
        <v>46154.629560185182</v>
      </c>
      <c r="F17" s="57" t="s">
        <v>31</v>
      </c>
      <c r="G17" s="57" t="s">
        <v>31</v>
      </c>
      <c r="H17" s="1" t="s">
        <v>351</v>
      </c>
      <c r="I17" s="1" t="s">
        <v>17</v>
      </c>
      <c r="J17" s="1" t="s">
        <v>352</v>
      </c>
      <c r="K17" s="1" t="s">
        <v>319</v>
      </c>
      <c r="L17" s="1" t="s">
        <v>319</v>
      </c>
      <c r="M17" s="4">
        <v>46135.390972222223</v>
      </c>
      <c r="N17" s="1" t="s">
        <v>353</v>
      </c>
      <c r="O17" s="1" t="s">
        <v>93</v>
      </c>
      <c r="P17" s="1" t="s">
        <v>271</v>
      </c>
      <c r="Q17" s="1" t="s">
        <v>303</v>
      </c>
      <c r="R17" s="1" t="s">
        <v>272</v>
      </c>
      <c r="S17" s="1" t="s">
        <v>9</v>
      </c>
      <c r="T17" s="1" t="s">
        <v>274</v>
      </c>
      <c r="U17" s="1" t="s">
        <v>152</v>
      </c>
      <c r="V17" s="1" t="s">
        <v>354</v>
      </c>
      <c r="W17" s="1" t="s">
        <v>93</v>
      </c>
      <c r="X17" s="1" t="s">
        <v>93</v>
      </c>
      <c r="Y17" s="1" t="s">
        <v>93</v>
      </c>
      <c r="Z17" s="1" t="s">
        <v>53</v>
      </c>
      <c r="AA17" s="1" t="s">
        <v>93</v>
      </c>
      <c r="AB17" s="1">
        <v>782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 t="s">
        <v>290</v>
      </c>
      <c r="AJ17" s="1" t="s">
        <v>355</v>
      </c>
      <c r="AK17" s="1" t="s">
        <v>17</v>
      </c>
      <c r="AL17" s="1" t="s">
        <v>75</v>
      </c>
      <c r="AM17" s="1" t="s">
        <v>337</v>
      </c>
      <c r="AN17" s="1" t="s">
        <v>21</v>
      </c>
      <c r="AO17" s="1" t="s">
        <v>280</v>
      </c>
      <c r="AP17" s="1" t="s">
        <v>324</v>
      </c>
      <c r="AQ17" s="1" t="s">
        <v>27</v>
      </c>
    </row>
    <row r="18" spans="1:43" x14ac:dyDescent="0.3">
      <c r="A18" s="1">
        <v>24555720</v>
      </c>
      <c r="B18" s="1">
        <v>25378740</v>
      </c>
      <c r="C18" s="1" t="s">
        <v>294</v>
      </c>
      <c r="D18" s="4">
        <v>46150.481863425928</v>
      </c>
      <c r="E18" s="4">
        <v>46153.579722222217</v>
      </c>
      <c r="F18" s="57" t="s">
        <v>31</v>
      </c>
      <c r="G18" s="57" t="s">
        <v>31</v>
      </c>
      <c r="H18" s="1" t="s">
        <v>356</v>
      </c>
      <c r="I18" s="1" t="s">
        <v>17</v>
      </c>
      <c r="J18" s="1" t="s">
        <v>357</v>
      </c>
      <c r="K18" s="1" t="s">
        <v>319</v>
      </c>
      <c r="L18" s="1" t="s">
        <v>319</v>
      </c>
      <c r="M18" s="4">
        <v>46141.64166666667</v>
      </c>
      <c r="N18" s="1" t="s">
        <v>358</v>
      </c>
      <c r="O18" s="1" t="s">
        <v>93</v>
      </c>
      <c r="P18" s="1" t="s">
        <v>271</v>
      </c>
      <c r="Q18" s="1" t="s">
        <v>303</v>
      </c>
      <c r="R18" s="1" t="s">
        <v>272</v>
      </c>
      <c r="S18" s="1" t="s">
        <v>9</v>
      </c>
      <c r="T18" s="1" t="s">
        <v>274</v>
      </c>
      <c r="U18" s="1" t="s">
        <v>152</v>
      </c>
      <c r="V18" s="1" t="s">
        <v>354</v>
      </c>
      <c r="W18" s="1" t="s">
        <v>93</v>
      </c>
      <c r="X18" s="1" t="s">
        <v>93</v>
      </c>
      <c r="Y18" s="1" t="s">
        <v>93</v>
      </c>
      <c r="Z18" s="1" t="s">
        <v>53</v>
      </c>
      <c r="AA18" s="1" t="s">
        <v>93</v>
      </c>
      <c r="AB18" s="1">
        <v>2004.17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 t="s">
        <v>290</v>
      </c>
      <c r="AJ18" s="1" t="s">
        <v>291</v>
      </c>
      <c r="AK18" s="1" t="s">
        <v>17</v>
      </c>
      <c r="AL18" s="1" t="s">
        <v>65</v>
      </c>
      <c r="AM18" s="1" t="s">
        <v>292</v>
      </c>
      <c r="AN18" s="1" t="s">
        <v>21</v>
      </c>
      <c r="AO18" s="1" t="s">
        <v>280</v>
      </c>
      <c r="AP18" s="1" t="s">
        <v>324</v>
      </c>
      <c r="AQ18" s="1" t="s">
        <v>27</v>
      </c>
    </row>
    <row r="19" spans="1:43" x14ac:dyDescent="0.3">
      <c r="A19" s="1">
        <v>24521768</v>
      </c>
      <c r="B19" s="1">
        <v>25338853</v>
      </c>
      <c r="C19" s="1" t="s">
        <v>294</v>
      </c>
      <c r="D19" s="4">
        <v>46142.661307870367</v>
      </c>
      <c r="E19" s="4">
        <v>46153.575648148151</v>
      </c>
      <c r="F19" s="57" t="s">
        <v>31</v>
      </c>
      <c r="G19" s="57" t="s">
        <v>31</v>
      </c>
      <c r="H19" s="1" t="s">
        <v>359</v>
      </c>
      <c r="I19" s="1" t="s">
        <v>17</v>
      </c>
      <c r="J19" s="1" t="s">
        <v>360</v>
      </c>
      <c r="K19" s="1" t="s">
        <v>319</v>
      </c>
      <c r="L19" s="1" t="s">
        <v>319</v>
      </c>
      <c r="M19" s="4">
        <v>46142.546527777777</v>
      </c>
      <c r="N19" s="1" t="s">
        <v>361</v>
      </c>
      <c r="O19" s="1" t="s">
        <v>93</v>
      </c>
      <c r="P19" s="1" t="s">
        <v>271</v>
      </c>
      <c r="Q19" s="1" t="s">
        <v>303</v>
      </c>
      <c r="R19" s="1" t="s">
        <v>272</v>
      </c>
      <c r="S19" s="1" t="s">
        <v>9</v>
      </c>
      <c r="T19" s="1" t="s">
        <v>274</v>
      </c>
      <c r="U19" s="1" t="s">
        <v>152</v>
      </c>
      <c r="V19" s="1" t="s">
        <v>354</v>
      </c>
      <c r="W19" s="1" t="s">
        <v>93</v>
      </c>
      <c r="X19" s="1" t="s">
        <v>93</v>
      </c>
      <c r="Y19" s="1" t="s">
        <v>93</v>
      </c>
      <c r="Z19" s="1" t="s">
        <v>53</v>
      </c>
      <c r="AA19" s="1" t="s">
        <v>93</v>
      </c>
      <c r="AB19" s="1">
        <v>399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 t="s">
        <v>290</v>
      </c>
      <c r="AJ19" s="1" t="s">
        <v>291</v>
      </c>
      <c r="AK19" s="1" t="s">
        <v>17</v>
      </c>
      <c r="AL19" s="1" t="s">
        <v>65</v>
      </c>
      <c r="AM19" s="1" t="s">
        <v>292</v>
      </c>
      <c r="AN19" s="1" t="s">
        <v>21</v>
      </c>
      <c r="AO19" s="1" t="s">
        <v>280</v>
      </c>
      <c r="AP19" s="1" t="s">
        <v>324</v>
      </c>
      <c r="AQ19" s="1" t="s">
        <v>27</v>
      </c>
    </row>
    <row r="20" spans="1:43" x14ac:dyDescent="0.3">
      <c r="A20" s="1">
        <v>24510624</v>
      </c>
      <c r="B20" s="1">
        <v>25325541</v>
      </c>
      <c r="C20" s="1" t="s">
        <v>266</v>
      </c>
      <c r="D20" s="4">
        <v>46140.425717592603</v>
      </c>
      <c r="E20" s="4">
        <v>46206.715567129628</v>
      </c>
      <c r="F20" s="1" t="s">
        <v>22</v>
      </c>
      <c r="G20" s="57" t="s">
        <v>31</v>
      </c>
      <c r="H20" s="1" t="s">
        <v>362</v>
      </c>
      <c r="I20" s="1" t="s">
        <v>17</v>
      </c>
      <c r="J20" s="1" t="s">
        <v>363</v>
      </c>
      <c r="K20" s="1" t="s">
        <v>364</v>
      </c>
      <c r="L20" s="1" t="s">
        <v>364</v>
      </c>
      <c r="M20" s="4">
        <v>46140.323611111111</v>
      </c>
      <c r="N20" s="1" t="s">
        <v>362</v>
      </c>
      <c r="O20" s="1" t="s">
        <v>93</v>
      </c>
      <c r="P20" s="1" t="s">
        <v>342</v>
      </c>
      <c r="Q20" s="1" t="s">
        <v>320</v>
      </c>
      <c r="R20" s="1" t="s">
        <v>320</v>
      </c>
      <c r="S20" s="1" t="s">
        <v>7</v>
      </c>
      <c r="T20" s="1" t="s">
        <v>365</v>
      </c>
      <c r="U20" s="1" t="s">
        <v>174</v>
      </c>
      <c r="V20" s="1" t="s">
        <v>366</v>
      </c>
      <c r="W20" s="1" t="s">
        <v>288</v>
      </c>
      <c r="X20" s="1" t="s">
        <v>298</v>
      </c>
      <c r="Y20" s="1" t="s">
        <v>93</v>
      </c>
      <c r="Z20" s="1" t="s">
        <v>101</v>
      </c>
      <c r="AA20" s="1" t="s">
        <v>93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 t="s">
        <v>290</v>
      </c>
      <c r="AJ20" s="1" t="s">
        <v>322</v>
      </c>
      <c r="AK20" s="1" t="s">
        <v>17</v>
      </c>
      <c r="AL20" s="1" t="s">
        <v>67</v>
      </c>
      <c r="AM20" s="1" t="s">
        <v>323</v>
      </c>
      <c r="AN20" s="1" t="s">
        <v>21</v>
      </c>
      <c r="AO20" s="1" t="s">
        <v>280</v>
      </c>
      <c r="AP20" s="1" t="s">
        <v>324</v>
      </c>
      <c r="AQ20" s="1" t="s">
        <v>27</v>
      </c>
    </row>
    <row r="21" spans="1:43" x14ac:dyDescent="0.3">
      <c r="A21" s="1">
        <v>24576799</v>
      </c>
      <c r="B21" s="1">
        <v>25400183</v>
      </c>
      <c r="C21" s="1" t="s">
        <v>266</v>
      </c>
      <c r="D21" s="4">
        <v>46154.404282407413</v>
      </c>
      <c r="E21" s="4">
        <v>46206.715578703697</v>
      </c>
      <c r="F21" s="1" t="s">
        <v>22</v>
      </c>
      <c r="G21" s="57" t="s">
        <v>31</v>
      </c>
      <c r="H21" s="1" t="s">
        <v>367</v>
      </c>
      <c r="I21" s="1" t="s">
        <v>17</v>
      </c>
      <c r="J21" s="1" t="s">
        <v>363</v>
      </c>
      <c r="K21" s="1" t="s">
        <v>364</v>
      </c>
      <c r="L21" s="1" t="s">
        <v>364</v>
      </c>
      <c r="M21" s="4">
        <v>46153.644444444442</v>
      </c>
      <c r="N21" s="1" t="s">
        <v>367</v>
      </c>
      <c r="O21" s="1" t="s">
        <v>93</v>
      </c>
      <c r="P21" s="1" t="s">
        <v>271</v>
      </c>
      <c r="Q21" s="1" t="s">
        <v>286</v>
      </c>
      <c r="R21" s="1" t="s">
        <v>286</v>
      </c>
      <c r="S21" s="1" t="s">
        <v>7</v>
      </c>
      <c r="T21" s="1" t="s">
        <v>365</v>
      </c>
      <c r="U21" s="1" t="s">
        <v>174</v>
      </c>
      <c r="V21" s="1" t="s">
        <v>368</v>
      </c>
      <c r="W21" s="1" t="s">
        <v>93</v>
      </c>
      <c r="X21" s="1" t="s">
        <v>298</v>
      </c>
      <c r="Y21" s="1">
        <v>7700088287</v>
      </c>
      <c r="Z21" s="1" t="s">
        <v>93</v>
      </c>
      <c r="AA21" s="1" t="s">
        <v>93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 t="s">
        <v>290</v>
      </c>
      <c r="AJ21" s="1" t="s">
        <v>369</v>
      </c>
      <c r="AK21" s="1" t="s">
        <v>17</v>
      </c>
      <c r="AL21" s="1" t="s">
        <v>71</v>
      </c>
      <c r="AM21" s="1" t="s">
        <v>337</v>
      </c>
      <c r="AN21" s="1" t="s">
        <v>21</v>
      </c>
      <c r="AO21" s="1" t="s">
        <v>280</v>
      </c>
      <c r="AP21" s="1" t="s">
        <v>324</v>
      </c>
      <c r="AQ21" s="1" t="s">
        <v>125</v>
      </c>
    </row>
    <row r="22" spans="1:43" x14ac:dyDescent="0.3">
      <c r="A22" s="1">
        <v>24554567</v>
      </c>
      <c r="B22" s="1">
        <v>25377579</v>
      </c>
      <c r="C22" s="1" t="s">
        <v>266</v>
      </c>
      <c r="D22" s="4">
        <v>46150.285312499997</v>
      </c>
      <c r="E22" s="4">
        <v>46206.715567129628</v>
      </c>
      <c r="F22" s="1" t="s">
        <v>22</v>
      </c>
      <c r="G22" s="57" t="s">
        <v>31</v>
      </c>
      <c r="H22" s="1" t="s">
        <v>370</v>
      </c>
      <c r="I22" s="1" t="s">
        <v>17</v>
      </c>
      <c r="J22" s="1" t="s">
        <v>371</v>
      </c>
      <c r="K22" s="1" t="s">
        <v>372</v>
      </c>
      <c r="L22" s="1" t="s">
        <v>284</v>
      </c>
      <c r="M22" s="4">
        <v>46147.602777777778</v>
      </c>
      <c r="N22" s="1" t="s">
        <v>370</v>
      </c>
      <c r="O22" s="1" t="s">
        <v>93</v>
      </c>
      <c r="P22" s="1" t="s">
        <v>271</v>
      </c>
      <c r="Q22" s="1" t="s">
        <v>320</v>
      </c>
      <c r="R22" s="1" t="s">
        <v>373</v>
      </c>
      <c r="S22" s="1" t="s">
        <v>7</v>
      </c>
      <c r="T22" s="1" t="s">
        <v>274</v>
      </c>
      <c r="U22" s="1" t="s">
        <v>148</v>
      </c>
      <c r="V22" s="1" t="s">
        <v>287</v>
      </c>
      <c r="W22" s="1" t="s">
        <v>288</v>
      </c>
      <c r="X22" s="1" t="s">
        <v>276</v>
      </c>
      <c r="Y22" s="1">
        <v>2615162872</v>
      </c>
      <c r="Z22" s="1" t="s">
        <v>59</v>
      </c>
      <c r="AA22" s="1" t="s">
        <v>93</v>
      </c>
      <c r="AB22" s="1">
        <v>0</v>
      </c>
      <c r="AC22" s="1">
        <v>0</v>
      </c>
      <c r="AD22" s="1">
        <v>500</v>
      </c>
      <c r="AE22" s="1">
        <v>0</v>
      </c>
      <c r="AF22" s="1">
        <v>0</v>
      </c>
      <c r="AG22" s="1">
        <v>0</v>
      </c>
      <c r="AH22" s="1">
        <v>0</v>
      </c>
      <c r="AI22" s="1" t="s">
        <v>290</v>
      </c>
      <c r="AJ22" s="1" t="s">
        <v>322</v>
      </c>
      <c r="AK22" s="1" t="s">
        <v>17</v>
      </c>
      <c r="AL22" s="1" t="s">
        <v>67</v>
      </c>
      <c r="AM22" s="1" t="s">
        <v>323</v>
      </c>
      <c r="AN22" s="1" t="s">
        <v>21</v>
      </c>
      <c r="AO22" s="1" t="s">
        <v>280</v>
      </c>
      <c r="AP22" s="1" t="s">
        <v>324</v>
      </c>
      <c r="AQ22" s="1" t="s">
        <v>27</v>
      </c>
    </row>
    <row r="23" spans="1:43" x14ac:dyDescent="0.3">
      <c r="A23" s="1">
        <v>24523313</v>
      </c>
      <c r="B23" s="1">
        <v>25340752</v>
      </c>
      <c r="C23" s="1" t="s">
        <v>266</v>
      </c>
      <c r="D23" s="4">
        <v>46142.856319444443</v>
      </c>
      <c r="E23" s="4">
        <v>46142.884629629632</v>
      </c>
      <c r="F23" s="57" t="s">
        <v>31</v>
      </c>
      <c r="G23" s="57" t="s">
        <v>31</v>
      </c>
      <c r="H23" s="1" t="s">
        <v>374</v>
      </c>
      <c r="I23" s="1" t="s">
        <v>268</v>
      </c>
      <c r="J23" s="1" t="s">
        <v>375</v>
      </c>
      <c r="K23" s="1" t="s">
        <v>376</v>
      </c>
      <c r="L23" s="1" t="s">
        <v>376</v>
      </c>
      <c r="M23" s="4">
        <v>46142.744444444441</v>
      </c>
      <c r="N23" s="1">
        <v>142425</v>
      </c>
      <c r="O23" s="1" t="s">
        <v>93</v>
      </c>
      <c r="P23" s="1" t="s">
        <v>342</v>
      </c>
      <c r="Q23" s="1" t="s">
        <v>286</v>
      </c>
      <c r="R23" s="1" t="s">
        <v>286</v>
      </c>
      <c r="S23" s="1" t="s">
        <v>9</v>
      </c>
      <c r="T23" s="1" t="s">
        <v>274</v>
      </c>
      <c r="U23" s="1" t="s">
        <v>197</v>
      </c>
      <c r="V23" s="1" t="s">
        <v>377</v>
      </c>
      <c r="W23" s="1" t="s">
        <v>93</v>
      </c>
      <c r="X23" s="1" t="s">
        <v>378</v>
      </c>
      <c r="Y23" s="1" t="s">
        <v>93</v>
      </c>
      <c r="Z23" s="1" t="s">
        <v>114</v>
      </c>
      <c r="AA23" s="1" t="s">
        <v>93</v>
      </c>
      <c r="AB23" s="1">
        <v>647.1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 t="s">
        <v>379</v>
      </c>
      <c r="AJ23" s="1" t="s">
        <v>380</v>
      </c>
      <c r="AK23" s="1" t="s">
        <v>13</v>
      </c>
      <c r="AL23" s="1" t="s">
        <v>75</v>
      </c>
      <c r="AM23" s="1" t="s">
        <v>337</v>
      </c>
      <c r="AN23" s="1" t="s">
        <v>21</v>
      </c>
      <c r="AO23" s="1" t="s">
        <v>280</v>
      </c>
      <c r="AP23" s="1" t="s">
        <v>324</v>
      </c>
      <c r="AQ23" s="1" t="s">
        <v>125</v>
      </c>
    </row>
    <row r="24" spans="1:43" x14ac:dyDescent="0.3">
      <c r="A24" s="1">
        <v>24555720</v>
      </c>
      <c r="B24" s="1">
        <v>25378739</v>
      </c>
      <c r="C24" s="1" t="s">
        <v>266</v>
      </c>
      <c r="D24" s="4">
        <v>46150.481863425928</v>
      </c>
      <c r="E24" s="4">
        <v>46153.579722222217</v>
      </c>
      <c r="F24" s="57" t="s">
        <v>31</v>
      </c>
      <c r="G24" s="57" t="s">
        <v>31</v>
      </c>
      <c r="H24" s="1" t="s">
        <v>356</v>
      </c>
      <c r="I24" s="1" t="s">
        <v>17</v>
      </c>
      <c r="J24" s="1" t="s">
        <v>357</v>
      </c>
      <c r="K24" s="1" t="s">
        <v>319</v>
      </c>
      <c r="L24" s="1" t="s">
        <v>319</v>
      </c>
      <c r="M24" s="4">
        <v>46141.64166666667</v>
      </c>
      <c r="N24" s="1" t="s">
        <v>358</v>
      </c>
      <c r="O24" s="1" t="s">
        <v>93</v>
      </c>
      <c r="P24" s="1" t="s">
        <v>271</v>
      </c>
      <c r="Q24" s="1" t="s">
        <v>303</v>
      </c>
      <c r="R24" s="1" t="s">
        <v>272</v>
      </c>
      <c r="S24" s="1" t="s">
        <v>9</v>
      </c>
      <c r="T24" s="1" t="s">
        <v>274</v>
      </c>
      <c r="U24" s="1" t="s">
        <v>152</v>
      </c>
      <c r="V24" s="1" t="s">
        <v>354</v>
      </c>
      <c r="W24" s="1" t="s">
        <v>93</v>
      </c>
      <c r="X24" s="1" t="s">
        <v>381</v>
      </c>
      <c r="Y24" s="1" t="s">
        <v>93</v>
      </c>
      <c r="Z24" s="1" t="s">
        <v>53</v>
      </c>
      <c r="AA24" s="1" t="s">
        <v>93</v>
      </c>
      <c r="AB24" s="1">
        <v>1974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 t="s">
        <v>290</v>
      </c>
      <c r="AJ24" s="1" t="s">
        <v>291</v>
      </c>
      <c r="AK24" s="1" t="s">
        <v>17</v>
      </c>
      <c r="AL24" s="1" t="s">
        <v>65</v>
      </c>
      <c r="AM24" s="1" t="s">
        <v>292</v>
      </c>
      <c r="AN24" s="1" t="s">
        <v>21</v>
      </c>
      <c r="AO24" s="1" t="s">
        <v>280</v>
      </c>
      <c r="AP24" s="1" t="s">
        <v>324</v>
      </c>
      <c r="AQ24" s="1" t="s">
        <v>27</v>
      </c>
    </row>
    <row r="25" spans="1:43" x14ac:dyDescent="0.3">
      <c r="A25" s="1">
        <v>24555720</v>
      </c>
      <c r="B25" s="1">
        <v>25378741</v>
      </c>
      <c r="C25" s="1" t="s">
        <v>382</v>
      </c>
      <c r="D25" s="4">
        <v>46150.481863425928</v>
      </c>
      <c r="E25" s="4">
        <v>46153.579722222217</v>
      </c>
      <c r="F25" s="57" t="s">
        <v>31</v>
      </c>
      <c r="G25" s="57" t="s">
        <v>31</v>
      </c>
      <c r="H25" s="1" t="s">
        <v>356</v>
      </c>
      <c r="I25" s="1" t="s">
        <v>17</v>
      </c>
      <c r="J25" s="1" t="s">
        <v>357</v>
      </c>
      <c r="K25" s="1" t="s">
        <v>319</v>
      </c>
      <c r="L25" s="1" t="s">
        <v>319</v>
      </c>
      <c r="M25" s="4">
        <v>46141.64166666667</v>
      </c>
      <c r="N25" s="1" t="s">
        <v>358</v>
      </c>
      <c r="O25" s="1" t="s">
        <v>93</v>
      </c>
      <c r="P25" s="1" t="s">
        <v>271</v>
      </c>
      <c r="Q25" s="1" t="s">
        <v>286</v>
      </c>
      <c r="R25" s="1" t="s">
        <v>286</v>
      </c>
      <c r="S25" s="1" t="s">
        <v>9</v>
      </c>
      <c r="T25" s="1" t="s">
        <v>274</v>
      </c>
      <c r="U25" s="1" t="s">
        <v>152</v>
      </c>
      <c r="V25" s="1" t="s">
        <v>354</v>
      </c>
      <c r="W25" s="1" t="s">
        <v>93</v>
      </c>
      <c r="X25" s="1" t="s">
        <v>381</v>
      </c>
      <c r="Y25" s="1" t="s">
        <v>93</v>
      </c>
      <c r="Z25" s="1" t="s">
        <v>53</v>
      </c>
      <c r="AA25" s="1" t="s">
        <v>93</v>
      </c>
      <c r="AB25" s="1">
        <v>2248.0500000000002</v>
      </c>
      <c r="AC25" s="1">
        <v>39.44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 t="s">
        <v>290</v>
      </c>
      <c r="AJ25" s="1" t="s">
        <v>291</v>
      </c>
      <c r="AK25" s="1" t="s">
        <v>17</v>
      </c>
      <c r="AL25" s="1" t="s">
        <v>65</v>
      </c>
      <c r="AM25" s="1" t="s">
        <v>292</v>
      </c>
      <c r="AN25" s="1" t="s">
        <v>21</v>
      </c>
      <c r="AO25" s="1" t="s">
        <v>280</v>
      </c>
      <c r="AP25" s="1" t="s">
        <v>324</v>
      </c>
      <c r="AQ25" s="1" t="s">
        <v>27</v>
      </c>
    </row>
    <row r="26" spans="1:43" x14ac:dyDescent="0.3">
      <c r="A26" s="1">
        <v>24521768</v>
      </c>
      <c r="B26" s="1">
        <v>25338852</v>
      </c>
      <c r="C26" s="1" t="s">
        <v>266</v>
      </c>
      <c r="D26" s="4">
        <v>46142.661307870367</v>
      </c>
      <c r="E26" s="4">
        <v>46153.575648148151</v>
      </c>
      <c r="F26" s="57" t="s">
        <v>31</v>
      </c>
      <c r="G26" s="57" t="s">
        <v>31</v>
      </c>
      <c r="H26" s="1" t="s">
        <v>359</v>
      </c>
      <c r="I26" s="1" t="s">
        <v>17</v>
      </c>
      <c r="J26" s="1" t="s">
        <v>360</v>
      </c>
      <c r="K26" s="1" t="s">
        <v>319</v>
      </c>
      <c r="L26" s="1" t="s">
        <v>319</v>
      </c>
      <c r="M26" s="4">
        <v>46142.546527777777</v>
      </c>
      <c r="N26" s="1" t="s">
        <v>361</v>
      </c>
      <c r="O26" s="1" t="s">
        <v>93</v>
      </c>
      <c r="P26" s="1" t="s">
        <v>271</v>
      </c>
      <c r="Q26" s="1" t="s">
        <v>303</v>
      </c>
      <c r="R26" s="1" t="s">
        <v>272</v>
      </c>
      <c r="S26" s="1" t="s">
        <v>9</v>
      </c>
      <c r="T26" s="1" t="s">
        <v>274</v>
      </c>
      <c r="U26" s="1" t="s">
        <v>152</v>
      </c>
      <c r="V26" s="1" t="s">
        <v>354</v>
      </c>
      <c r="W26" s="1" t="s">
        <v>93</v>
      </c>
      <c r="X26" s="1" t="s">
        <v>383</v>
      </c>
      <c r="Y26" s="1" t="s">
        <v>93</v>
      </c>
      <c r="Z26" s="1" t="s">
        <v>53</v>
      </c>
      <c r="AA26" s="1" t="s">
        <v>93</v>
      </c>
      <c r="AB26" s="1">
        <v>760</v>
      </c>
      <c r="AC26" s="1">
        <v>38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 t="s">
        <v>290</v>
      </c>
      <c r="AJ26" s="1" t="s">
        <v>291</v>
      </c>
      <c r="AK26" s="1" t="s">
        <v>17</v>
      </c>
      <c r="AL26" s="1" t="s">
        <v>65</v>
      </c>
      <c r="AM26" s="1" t="s">
        <v>292</v>
      </c>
      <c r="AN26" s="1" t="s">
        <v>21</v>
      </c>
      <c r="AO26" s="1" t="s">
        <v>280</v>
      </c>
      <c r="AP26" s="1" t="s">
        <v>324</v>
      </c>
      <c r="AQ26" s="1" t="s">
        <v>27</v>
      </c>
    </row>
    <row r="27" spans="1:43" x14ac:dyDescent="0.3">
      <c r="A27" s="1">
        <v>24520473</v>
      </c>
      <c r="B27" s="1">
        <v>25337402</v>
      </c>
      <c r="C27" s="1" t="s">
        <v>266</v>
      </c>
      <c r="D27" s="4">
        <v>46142.578692129631</v>
      </c>
      <c r="E27" s="4">
        <v>46157.659259259257</v>
      </c>
      <c r="F27" s="57" t="s">
        <v>31</v>
      </c>
      <c r="G27" s="57" t="s">
        <v>31</v>
      </c>
      <c r="H27" s="1" t="s">
        <v>348</v>
      </c>
      <c r="I27" s="1" t="s">
        <v>17</v>
      </c>
      <c r="J27" s="1" t="s">
        <v>349</v>
      </c>
      <c r="K27" s="1" t="s">
        <v>284</v>
      </c>
      <c r="L27" s="1" t="s">
        <v>284</v>
      </c>
      <c r="M27" s="4">
        <v>46142.445138888892</v>
      </c>
      <c r="N27" s="1" t="s">
        <v>350</v>
      </c>
      <c r="O27" s="1" t="s">
        <v>93</v>
      </c>
      <c r="P27" s="1" t="s">
        <v>271</v>
      </c>
      <c r="Q27" s="1" t="s">
        <v>286</v>
      </c>
      <c r="R27" s="1" t="s">
        <v>286</v>
      </c>
      <c r="S27" s="1" t="s">
        <v>9</v>
      </c>
      <c r="T27" s="1" t="s">
        <v>274</v>
      </c>
      <c r="U27" s="1" t="s">
        <v>148</v>
      </c>
      <c r="V27" s="1" t="s">
        <v>287</v>
      </c>
      <c r="W27" s="1" t="s">
        <v>288</v>
      </c>
      <c r="X27" s="1" t="s">
        <v>384</v>
      </c>
      <c r="Y27" s="1" t="s">
        <v>93</v>
      </c>
      <c r="Z27" s="1" t="s">
        <v>59</v>
      </c>
      <c r="AA27" s="1" t="s">
        <v>93</v>
      </c>
      <c r="AB27" s="1">
        <v>1590.1987999999999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13</v>
      </c>
      <c r="AI27" s="1" t="s">
        <v>290</v>
      </c>
      <c r="AJ27" s="1" t="s">
        <v>291</v>
      </c>
      <c r="AK27" s="1" t="s">
        <v>17</v>
      </c>
      <c r="AL27" s="1" t="s">
        <v>65</v>
      </c>
      <c r="AM27" s="1" t="s">
        <v>292</v>
      </c>
      <c r="AN27" s="1" t="s">
        <v>21</v>
      </c>
      <c r="AO27" s="1" t="s">
        <v>293</v>
      </c>
      <c r="AP27" s="1" t="s">
        <v>281</v>
      </c>
      <c r="AQ27" s="1" t="s">
        <v>34</v>
      </c>
    </row>
    <row r="28" spans="1:43" x14ac:dyDescent="0.3">
      <c r="A28" s="1">
        <v>24493290</v>
      </c>
      <c r="B28" s="1">
        <v>25304641</v>
      </c>
      <c r="C28" s="1" t="s">
        <v>266</v>
      </c>
      <c r="D28" s="4">
        <v>46136.390474537038</v>
      </c>
      <c r="E28" s="4">
        <v>46154.629560185182</v>
      </c>
      <c r="F28" s="57" t="s">
        <v>31</v>
      </c>
      <c r="G28" s="57" t="s">
        <v>31</v>
      </c>
      <c r="H28" s="1" t="s">
        <v>351</v>
      </c>
      <c r="I28" s="1" t="s">
        <v>17</v>
      </c>
      <c r="J28" s="1" t="s">
        <v>352</v>
      </c>
      <c r="K28" s="1" t="s">
        <v>319</v>
      </c>
      <c r="L28" s="1" t="s">
        <v>319</v>
      </c>
      <c r="M28" s="4">
        <v>46135.390972222223</v>
      </c>
      <c r="N28" s="1" t="s">
        <v>353</v>
      </c>
      <c r="O28" s="1" t="s">
        <v>93</v>
      </c>
      <c r="P28" s="1" t="s">
        <v>271</v>
      </c>
      <c r="Q28" s="1" t="s">
        <v>286</v>
      </c>
      <c r="R28" s="1" t="s">
        <v>286</v>
      </c>
      <c r="S28" s="1" t="s">
        <v>9</v>
      </c>
      <c r="T28" s="1" t="s">
        <v>274</v>
      </c>
      <c r="U28" s="1" t="s">
        <v>152</v>
      </c>
      <c r="V28" s="1" t="s">
        <v>354</v>
      </c>
      <c r="W28" s="1" t="s">
        <v>93</v>
      </c>
      <c r="X28" s="1" t="s">
        <v>385</v>
      </c>
      <c r="Y28" s="1" t="s">
        <v>93</v>
      </c>
      <c r="Z28" s="1" t="s">
        <v>53</v>
      </c>
      <c r="AA28" s="1" t="s">
        <v>93</v>
      </c>
      <c r="AB28" s="1">
        <v>1059</v>
      </c>
      <c r="AC28" s="1">
        <v>31.77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 t="s">
        <v>290</v>
      </c>
      <c r="AJ28" s="1" t="s">
        <v>355</v>
      </c>
      <c r="AK28" s="1" t="s">
        <v>17</v>
      </c>
      <c r="AL28" s="1" t="s">
        <v>75</v>
      </c>
      <c r="AM28" s="1" t="s">
        <v>337</v>
      </c>
      <c r="AN28" s="1" t="s">
        <v>21</v>
      </c>
      <c r="AO28" s="1" t="s">
        <v>280</v>
      </c>
      <c r="AP28" s="1" t="s">
        <v>324</v>
      </c>
      <c r="AQ28" s="1" t="s">
        <v>27</v>
      </c>
    </row>
    <row r="29" spans="1:43" x14ac:dyDescent="0.3">
      <c r="A29" s="1">
        <v>24555179</v>
      </c>
      <c r="B29" s="1">
        <v>25378142</v>
      </c>
      <c r="C29" s="1" t="s">
        <v>266</v>
      </c>
      <c r="D29" s="4">
        <v>46150.449305555558</v>
      </c>
      <c r="E29" s="4">
        <v>46150.462268518517</v>
      </c>
      <c r="F29" s="57" t="s">
        <v>31</v>
      </c>
      <c r="G29" s="57" t="s">
        <v>31</v>
      </c>
      <c r="H29" s="1" t="s">
        <v>386</v>
      </c>
      <c r="I29" s="1" t="s">
        <v>268</v>
      </c>
      <c r="J29" s="1" t="s">
        <v>387</v>
      </c>
      <c r="K29" s="1" t="s">
        <v>270</v>
      </c>
      <c r="L29" s="1" t="s">
        <v>270</v>
      </c>
      <c r="M29" s="4">
        <v>46150.40902777778</v>
      </c>
      <c r="N29" s="1">
        <v>120419</v>
      </c>
      <c r="O29" s="1" t="s">
        <v>93</v>
      </c>
      <c r="P29" s="1" t="s">
        <v>271</v>
      </c>
      <c r="Q29" s="1" t="s">
        <v>388</v>
      </c>
      <c r="R29" s="1" t="s">
        <v>388</v>
      </c>
      <c r="S29" s="1" t="s">
        <v>9</v>
      </c>
      <c r="T29" s="1" t="s">
        <v>274</v>
      </c>
      <c r="U29" s="1" t="s">
        <v>158</v>
      </c>
      <c r="V29" s="1" t="s">
        <v>389</v>
      </c>
      <c r="W29" s="1" t="s">
        <v>93</v>
      </c>
      <c r="X29" s="1" t="s">
        <v>390</v>
      </c>
      <c r="Y29" s="1" t="s">
        <v>93</v>
      </c>
      <c r="Z29" s="1" t="s">
        <v>70</v>
      </c>
      <c r="AA29" s="1" t="s">
        <v>93</v>
      </c>
      <c r="AB29" s="1">
        <v>373.5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 t="s">
        <v>391</v>
      </c>
      <c r="AJ29" s="1" t="s">
        <v>392</v>
      </c>
      <c r="AK29" s="1" t="s">
        <v>13</v>
      </c>
      <c r="AL29" s="1" t="s">
        <v>98</v>
      </c>
      <c r="AM29" s="1" t="s">
        <v>393</v>
      </c>
      <c r="AN29" s="1" t="s">
        <v>30</v>
      </c>
      <c r="AO29" s="1" t="s">
        <v>280</v>
      </c>
      <c r="AP29" s="1" t="s">
        <v>324</v>
      </c>
      <c r="AQ29" s="1" t="s">
        <v>125</v>
      </c>
    </row>
    <row r="30" spans="1:43" x14ac:dyDescent="0.3">
      <c r="A30" s="1">
        <v>24533095</v>
      </c>
      <c r="B30" s="1">
        <v>25354182</v>
      </c>
      <c r="C30" s="1" t="s">
        <v>266</v>
      </c>
      <c r="D30" s="4">
        <v>46146.648206018523</v>
      </c>
      <c r="E30" s="4">
        <v>46146.658414351848</v>
      </c>
      <c r="F30" s="57" t="s">
        <v>31</v>
      </c>
      <c r="G30" s="57" t="s">
        <v>31</v>
      </c>
      <c r="H30" s="1" t="s">
        <v>394</v>
      </c>
      <c r="I30" s="1" t="s">
        <v>268</v>
      </c>
      <c r="J30" s="1" t="s">
        <v>395</v>
      </c>
      <c r="K30" s="1" t="s">
        <v>270</v>
      </c>
      <c r="L30" s="1" t="s">
        <v>270</v>
      </c>
      <c r="M30" s="4">
        <v>46146.489583333343</v>
      </c>
      <c r="N30" s="1">
        <v>119301</v>
      </c>
      <c r="O30" s="1" t="s">
        <v>93</v>
      </c>
      <c r="P30" s="1" t="s">
        <v>271</v>
      </c>
      <c r="Q30" s="1" t="s">
        <v>388</v>
      </c>
      <c r="R30" s="1" t="s">
        <v>388</v>
      </c>
      <c r="S30" s="1" t="s">
        <v>9</v>
      </c>
      <c r="T30" s="1" t="s">
        <v>274</v>
      </c>
      <c r="U30" s="1" t="s">
        <v>158</v>
      </c>
      <c r="V30" s="1" t="s">
        <v>389</v>
      </c>
      <c r="W30" s="1" t="s">
        <v>93</v>
      </c>
      <c r="X30" s="1" t="s">
        <v>390</v>
      </c>
      <c r="Y30" s="1" t="s">
        <v>93</v>
      </c>
      <c r="Z30" s="1" t="s">
        <v>70</v>
      </c>
      <c r="AA30" s="1" t="s">
        <v>93</v>
      </c>
      <c r="AB30" s="1">
        <v>186.75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 t="s">
        <v>396</v>
      </c>
      <c r="AJ30" s="1" t="s">
        <v>392</v>
      </c>
      <c r="AK30" s="1" t="s">
        <v>13</v>
      </c>
      <c r="AL30" s="1" t="s">
        <v>98</v>
      </c>
      <c r="AM30" s="1" t="s">
        <v>393</v>
      </c>
      <c r="AN30" s="1" t="s">
        <v>30</v>
      </c>
      <c r="AO30" s="1" t="s">
        <v>280</v>
      </c>
      <c r="AP30" s="1" t="s">
        <v>324</v>
      </c>
      <c r="AQ30" s="1" t="s">
        <v>125</v>
      </c>
    </row>
    <row r="31" spans="1:43" x14ac:dyDescent="0.3">
      <c r="A31" s="1">
        <v>24493879</v>
      </c>
      <c r="B31" s="1">
        <v>25305327</v>
      </c>
      <c r="C31" s="1" t="s">
        <v>266</v>
      </c>
      <c r="D31" s="4">
        <v>46136.507557870369</v>
      </c>
      <c r="E31" s="4">
        <v>46206.71266203704</v>
      </c>
      <c r="F31" s="1" t="s">
        <v>22</v>
      </c>
      <c r="G31" s="57" t="s">
        <v>31</v>
      </c>
      <c r="H31" s="1" t="s">
        <v>397</v>
      </c>
      <c r="I31" s="1" t="s">
        <v>17</v>
      </c>
      <c r="J31" s="1" t="s">
        <v>398</v>
      </c>
      <c r="K31" s="1" t="s">
        <v>399</v>
      </c>
      <c r="L31" s="1" t="s">
        <v>399</v>
      </c>
      <c r="M31" s="4">
        <v>46135.506249999999</v>
      </c>
      <c r="N31" s="1" t="s">
        <v>400</v>
      </c>
      <c r="O31" s="1" t="s">
        <v>93</v>
      </c>
      <c r="P31" s="1" t="s">
        <v>271</v>
      </c>
      <c r="Q31" s="1" t="s">
        <v>286</v>
      </c>
      <c r="R31" s="1" t="s">
        <v>286</v>
      </c>
      <c r="S31" s="1" t="s">
        <v>9</v>
      </c>
      <c r="T31" s="1" t="s">
        <v>274</v>
      </c>
      <c r="U31" s="1" t="s">
        <v>212</v>
      </c>
      <c r="V31" s="1" t="s">
        <v>401</v>
      </c>
      <c r="W31" s="1" t="s">
        <v>93</v>
      </c>
      <c r="X31" s="1" t="s">
        <v>402</v>
      </c>
      <c r="Y31" s="1" t="s">
        <v>93</v>
      </c>
      <c r="Z31" s="1" t="s">
        <v>116</v>
      </c>
      <c r="AA31" s="1" t="s">
        <v>93</v>
      </c>
      <c r="AB31" s="1">
        <v>8001.63</v>
      </c>
      <c r="AC31" s="1">
        <v>171.64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 t="s">
        <v>290</v>
      </c>
      <c r="AJ31" s="1" t="s">
        <v>403</v>
      </c>
      <c r="AK31" s="1" t="s">
        <v>17</v>
      </c>
      <c r="AL31" s="1" t="s">
        <v>73</v>
      </c>
      <c r="AM31" s="1" t="s">
        <v>337</v>
      </c>
      <c r="AN31" s="1" t="s">
        <v>21</v>
      </c>
      <c r="AO31" s="1" t="s">
        <v>280</v>
      </c>
      <c r="AP31" s="1" t="s">
        <v>324</v>
      </c>
      <c r="AQ31" s="1" t="s">
        <v>27</v>
      </c>
    </row>
    <row r="32" spans="1:43" x14ac:dyDescent="0.3">
      <c r="A32" s="1">
        <v>24714763</v>
      </c>
      <c r="B32" s="1">
        <v>25553301</v>
      </c>
      <c r="C32" s="1" t="s">
        <v>266</v>
      </c>
      <c r="D32" s="4">
        <v>46178.839016203703</v>
      </c>
      <c r="E32" s="4">
        <v>46178.872476851851</v>
      </c>
      <c r="F32" s="57" t="s">
        <v>31</v>
      </c>
      <c r="G32" s="57" t="s">
        <v>31</v>
      </c>
      <c r="H32" s="1" t="s">
        <v>404</v>
      </c>
      <c r="I32" s="1" t="s">
        <v>268</v>
      </c>
      <c r="J32" s="1" t="s">
        <v>405</v>
      </c>
      <c r="K32" s="1" t="s">
        <v>406</v>
      </c>
      <c r="L32" s="1" t="s">
        <v>406</v>
      </c>
      <c r="M32" s="4">
        <v>46178.657638888893</v>
      </c>
      <c r="N32" s="1">
        <v>325193</v>
      </c>
      <c r="O32" s="1" t="s">
        <v>407</v>
      </c>
      <c r="P32" s="1" t="s">
        <v>342</v>
      </c>
      <c r="Q32" s="1" t="s">
        <v>303</v>
      </c>
      <c r="R32" s="1" t="s">
        <v>272</v>
      </c>
      <c r="S32" s="1" t="s">
        <v>8</v>
      </c>
      <c r="T32" s="1" t="s">
        <v>274</v>
      </c>
      <c r="U32" s="1" t="s">
        <v>151</v>
      </c>
      <c r="V32" s="1" t="s">
        <v>408</v>
      </c>
      <c r="W32" s="1" t="s">
        <v>93</v>
      </c>
      <c r="X32" s="1" t="s">
        <v>93</v>
      </c>
      <c r="Y32" s="1" t="s">
        <v>93</v>
      </c>
      <c r="Z32" s="1" t="s">
        <v>63</v>
      </c>
      <c r="AA32" s="1" t="s">
        <v>93</v>
      </c>
      <c r="AB32" s="1">
        <v>4416.5600000000004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 t="s">
        <v>409</v>
      </c>
      <c r="AJ32" s="1" t="s">
        <v>410</v>
      </c>
      <c r="AK32" s="1" t="s">
        <v>13</v>
      </c>
      <c r="AL32" s="1" t="s">
        <v>65</v>
      </c>
      <c r="AM32" s="1" t="s">
        <v>292</v>
      </c>
      <c r="AN32" s="1" t="s">
        <v>21</v>
      </c>
      <c r="AO32" s="1" t="s">
        <v>280</v>
      </c>
      <c r="AP32" s="1" t="s">
        <v>324</v>
      </c>
      <c r="AQ32" s="1" t="s">
        <v>125</v>
      </c>
    </row>
    <row r="33" spans="1:43" x14ac:dyDescent="0.3">
      <c r="A33" s="1">
        <v>24714769</v>
      </c>
      <c r="B33" s="1">
        <v>25553308</v>
      </c>
      <c r="C33" s="1" t="s">
        <v>266</v>
      </c>
      <c r="D33" s="4">
        <v>46178.83929398148</v>
      </c>
      <c r="E33" s="4">
        <v>46178.872881944437</v>
      </c>
      <c r="F33" s="57" t="s">
        <v>31</v>
      </c>
      <c r="G33" s="57" t="s">
        <v>31</v>
      </c>
      <c r="H33" s="1" t="s">
        <v>411</v>
      </c>
      <c r="I33" s="1" t="s">
        <v>268</v>
      </c>
      <c r="J33" s="1" t="s">
        <v>412</v>
      </c>
      <c r="K33" s="1" t="s">
        <v>413</v>
      </c>
      <c r="L33" s="1" t="s">
        <v>413</v>
      </c>
      <c r="M33" s="4">
        <v>46178.666666666657</v>
      </c>
      <c r="N33" s="1">
        <v>324839</v>
      </c>
      <c r="O33" s="1" t="s">
        <v>414</v>
      </c>
      <c r="P33" s="1" t="s">
        <v>342</v>
      </c>
      <c r="Q33" s="1" t="s">
        <v>303</v>
      </c>
      <c r="R33" s="1" t="s">
        <v>272</v>
      </c>
      <c r="S33" s="1" t="s">
        <v>8</v>
      </c>
      <c r="T33" s="1" t="s">
        <v>274</v>
      </c>
      <c r="U33" s="1" t="s">
        <v>151</v>
      </c>
      <c r="V33" s="1" t="s">
        <v>415</v>
      </c>
      <c r="W33" s="1" t="s">
        <v>93</v>
      </c>
      <c r="X33" s="1" t="s">
        <v>93</v>
      </c>
      <c r="Y33" s="1" t="s">
        <v>93</v>
      </c>
      <c r="Z33" s="1" t="s">
        <v>63</v>
      </c>
      <c r="AA33" s="1" t="s">
        <v>93</v>
      </c>
      <c r="AB33" s="1">
        <v>3779.18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 t="s">
        <v>416</v>
      </c>
      <c r="AJ33" s="1" t="s">
        <v>410</v>
      </c>
      <c r="AK33" s="1" t="s">
        <v>13</v>
      </c>
      <c r="AL33" s="1" t="s">
        <v>65</v>
      </c>
      <c r="AM33" s="1" t="s">
        <v>292</v>
      </c>
      <c r="AN33" s="1" t="s">
        <v>21</v>
      </c>
      <c r="AO33" s="1" t="s">
        <v>280</v>
      </c>
      <c r="AP33" s="1" t="s">
        <v>324</v>
      </c>
      <c r="AQ33" s="1" t="s">
        <v>125</v>
      </c>
    </row>
    <row r="34" spans="1:43" x14ac:dyDescent="0.3">
      <c r="A34" s="1">
        <v>24714784</v>
      </c>
      <c r="B34" s="1">
        <v>25553324</v>
      </c>
      <c r="C34" s="1" t="s">
        <v>266</v>
      </c>
      <c r="D34" s="4">
        <v>46178.839918981481</v>
      </c>
      <c r="E34" s="4">
        <v>46178.878784722219</v>
      </c>
      <c r="F34" s="57" t="s">
        <v>31</v>
      </c>
      <c r="G34" s="57" t="s">
        <v>31</v>
      </c>
      <c r="H34" s="1" t="s">
        <v>417</v>
      </c>
      <c r="I34" s="1" t="s">
        <v>268</v>
      </c>
      <c r="J34" s="1" t="s">
        <v>418</v>
      </c>
      <c r="K34" s="1" t="s">
        <v>419</v>
      </c>
      <c r="L34" s="1" t="s">
        <v>419</v>
      </c>
      <c r="M34" s="4">
        <v>46178.717361111107</v>
      </c>
      <c r="N34" s="1">
        <v>323713</v>
      </c>
      <c r="O34" s="1" t="s">
        <v>420</v>
      </c>
      <c r="P34" s="1" t="s">
        <v>342</v>
      </c>
      <c r="Q34" s="1" t="s">
        <v>303</v>
      </c>
      <c r="R34" s="1" t="s">
        <v>272</v>
      </c>
      <c r="S34" s="1" t="s">
        <v>8</v>
      </c>
      <c r="T34" s="1" t="s">
        <v>274</v>
      </c>
      <c r="U34" s="1" t="s">
        <v>151</v>
      </c>
      <c r="V34" s="1" t="s">
        <v>415</v>
      </c>
      <c r="W34" s="1" t="s">
        <v>93</v>
      </c>
      <c r="X34" s="1" t="s">
        <v>93</v>
      </c>
      <c r="Y34" s="1" t="s">
        <v>93</v>
      </c>
      <c r="Z34" s="1" t="s">
        <v>63</v>
      </c>
      <c r="AA34" s="1" t="s">
        <v>93</v>
      </c>
      <c r="AB34" s="1">
        <v>5155.8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 t="s">
        <v>421</v>
      </c>
      <c r="AJ34" s="1" t="s">
        <v>410</v>
      </c>
      <c r="AK34" s="1" t="s">
        <v>13</v>
      </c>
      <c r="AL34" s="1" t="s">
        <v>65</v>
      </c>
      <c r="AM34" s="1" t="s">
        <v>292</v>
      </c>
      <c r="AN34" s="1" t="s">
        <v>21</v>
      </c>
      <c r="AO34" s="1" t="s">
        <v>280</v>
      </c>
      <c r="AP34" s="1" t="s">
        <v>324</v>
      </c>
      <c r="AQ34" s="1" t="s">
        <v>125</v>
      </c>
    </row>
    <row r="35" spans="1:43" x14ac:dyDescent="0.3">
      <c r="A35" s="1">
        <v>24706569</v>
      </c>
      <c r="B35" s="1">
        <v>25545356</v>
      </c>
      <c r="C35" s="1" t="s">
        <v>266</v>
      </c>
      <c r="D35" s="4">
        <v>46177.063564814824</v>
      </c>
      <c r="E35" s="4">
        <v>46177.066342592603</v>
      </c>
      <c r="F35" s="57" t="s">
        <v>31</v>
      </c>
      <c r="G35" s="57" t="s">
        <v>31</v>
      </c>
      <c r="H35" s="1" t="s">
        <v>422</v>
      </c>
      <c r="I35" s="1" t="s">
        <v>268</v>
      </c>
      <c r="J35" s="1" t="s">
        <v>423</v>
      </c>
      <c r="K35" s="1" t="s">
        <v>413</v>
      </c>
      <c r="L35" s="1" t="s">
        <v>413</v>
      </c>
      <c r="M35" s="4">
        <v>46176.948611111111</v>
      </c>
      <c r="N35" s="1">
        <v>324836</v>
      </c>
      <c r="O35" s="1" t="s">
        <v>414</v>
      </c>
      <c r="P35" s="1" t="s">
        <v>342</v>
      </c>
      <c r="Q35" s="1" t="s">
        <v>303</v>
      </c>
      <c r="R35" s="1" t="s">
        <v>272</v>
      </c>
      <c r="S35" s="1" t="s">
        <v>8</v>
      </c>
      <c r="T35" s="1" t="s">
        <v>274</v>
      </c>
      <c r="U35" s="1" t="s">
        <v>151</v>
      </c>
      <c r="V35" s="1" t="s">
        <v>415</v>
      </c>
      <c r="W35" s="1" t="s">
        <v>93</v>
      </c>
      <c r="X35" s="1" t="s">
        <v>93</v>
      </c>
      <c r="Y35" s="1" t="s">
        <v>93</v>
      </c>
      <c r="Z35" s="1" t="s">
        <v>63</v>
      </c>
      <c r="AA35" s="1" t="s">
        <v>93</v>
      </c>
      <c r="AB35" s="1">
        <v>3064.2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 t="s">
        <v>424</v>
      </c>
      <c r="AJ35" s="1" t="s">
        <v>410</v>
      </c>
      <c r="AK35" s="1" t="s">
        <v>13</v>
      </c>
      <c r="AL35" s="1" t="s">
        <v>65</v>
      </c>
      <c r="AM35" s="1" t="s">
        <v>292</v>
      </c>
      <c r="AN35" s="1" t="s">
        <v>21</v>
      </c>
      <c r="AO35" s="1" t="s">
        <v>280</v>
      </c>
      <c r="AP35" s="1" t="s">
        <v>324</v>
      </c>
      <c r="AQ35" s="1" t="s">
        <v>125</v>
      </c>
    </row>
    <row r="36" spans="1:43" x14ac:dyDescent="0.3">
      <c r="A36" s="1">
        <v>24583451</v>
      </c>
      <c r="B36" s="1">
        <v>25407581</v>
      </c>
      <c r="C36" s="1" t="s">
        <v>266</v>
      </c>
      <c r="D36" s="4">
        <v>46155.012696759259</v>
      </c>
      <c r="E36" s="4">
        <v>46155.015243055554</v>
      </c>
      <c r="F36" s="57" t="s">
        <v>31</v>
      </c>
      <c r="G36" s="57" t="s">
        <v>31</v>
      </c>
      <c r="H36" s="1" t="s">
        <v>425</v>
      </c>
      <c r="I36" s="1" t="s">
        <v>268</v>
      </c>
      <c r="J36" s="1" t="s">
        <v>426</v>
      </c>
      <c r="K36" s="1" t="s">
        <v>413</v>
      </c>
      <c r="L36" s="1" t="s">
        <v>413</v>
      </c>
      <c r="M36" s="4">
        <v>46154.926388888889</v>
      </c>
      <c r="N36" s="1">
        <v>315773</v>
      </c>
      <c r="O36" s="1" t="s">
        <v>427</v>
      </c>
      <c r="P36" s="1" t="s">
        <v>342</v>
      </c>
      <c r="Q36" s="1" t="s">
        <v>303</v>
      </c>
      <c r="R36" s="1" t="s">
        <v>272</v>
      </c>
      <c r="S36" s="1" t="s">
        <v>8</v>
      </c>
      <c r="T36" s="1" t="s">
        <v>274</v>
      </c>
      <c r="U36" s="1" t="s">
        <v>151</v>
      </c>
      <c r="V36" s="1" t="s">
        <v>415</v>
      </c>
      <c r="W36" s="1" t="s">
        <v>93</v>
      </c>
      <c r="X36" s="1" t="s">
        <v>93</v>
      </c>
      <c r="Y36" s="1" t="s">
        <v>93</v>
      </c>
      <c r="Z36" s="1" t="s">
        <v>63</v>
      </c>
      <c r="AA36" s="1" t="s">
        <v>93</v>
      </c>
      <c r="AB36" s="1">
        <v>609.55999999999995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 t="s">
        <v>428</v>
      </c>
      <c r="AJ36" s="1" t="s">
        <v>410</v>
      </c>
      <c r="AK36" s="1" t="s">
        <v>13</v>
      </c>
      <c r="AL36" s="1" t="s">
        <v>65</v>
      </c>
      <c r="AM36" s="1" t="s">
        <v>292</v>
      </c>
      <c r="AN36" s="1" t="s">
        <v>21</v>
      </c>
      <c r="AO36" s="1" t="s">
        <v>280</v>
      </c>
      <c r="AP36" s="1" t="s">
        <v>324</v>
      </c>
      <c r="AQ36" s="1" t="s">
        <v>125</v>
      </c>
    </row>
    <row r="37" spans="1:43" x14ac:dyDescent="0.3">
      <c r="A37" s="1">
        <v>24583453</v>
      </c>
      <c r="B37" s="1">
        <v>25407583</v>
      </c>
      <c r="C37" s="1" t="s">
        <v>266</v>
      </c>
      <c r="D37" s="4">
        <v>46155.012766203698</v>
      </c>
      <c r="E37" s="4">
        <v>46155.015243055554</v>
      </c>
      <c r="F37" s="57" t="s">
        <v>31</v>
      </c>
      <c r="G37" s="57" t="s">
        <v>31</v>
      </c>
      <c r="H37" s="1" t="s">
        <v>429</v>
      </c>
      <c r="I37" s="1" t="s">
        <v>268</v>
      </c>
      <c r="J37" s="1" t="s">
        <v>430</v>
      </c>
      <c r="K37" s="1" t="s">
        <v>413</v>
      </c>
      <c r="L37" s="1" t="s">
        <v>413</v>
      </c>
      <c r="M37" s="4">
        <v>46154.94027777778</v>
      </c>
      <c r="N37" s="1">
        <v>315759</v>
      </c>
      <c r="O37" s="1" t="s">
        <v>431</v>
      </c>
      <c r="P37" s="1" t="s">
        <v>342</v>
      </c>
      <c r="Q37" s="1" t="s">
        <v>303</v>
      </c>
      <c r="R37" s="1" t="s">
        <v>272</v>
      </c>
      <c r="S37" s="1" t="s">
        <v>8</v>
      </c>
      <c r="T37" s="1" t="s">
        <v>274</v>
      </c>
      <c r="U37" s="1" t="s">
        <v>151</v>
      </c>
      <c r="V37" s="1" t="s">
        <v>415</v>
      </c>
      <c r="W37" s="1" t="s">
        <v>93</v>
      </c>
      <c r="X37" s="1" t="s">
        <v>93</v>
      </c>
      <c r="Y37" s="1" t="s">
        <v>93</v>
      </c>
      <c r="Z37" s="1" t="s">
        <v>63</v>
      </c>
      <c r="AA37" s="1" t="s">
        <v>93</v>
      </c>
      <c r="AB37" s="1">
        <v>1132.04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 t="s">
        <v>432</v>
      </c>
      <c r="AJ37" s="1" t="s">
        <v>410</v>
      </c>
      <c r="AK37" s="1" t="s">
        <v>13</v>
      </c>
      <c r="AL37" s="1" t="s">
        <v>65</v>
      </c>
      <c r="AM37" s="1" t="s">
        <v>292</v>
      </c>
      <c r="AN37" s="1" t="s">
        <v>21</v>
      </c>
      <c r="AO37" s="1" t="s">
        <v>280</v>
      </c>
      <c r="AP37" s="1" t="s">
        <v>324</v>
      </c>
      <c r="AQ37" s="1" t="s">
        <v>125</v>
      </c>
    </row>
    <row r="38" spans="1:43" x14ac:dyDescent="0.3">
      <c r="A38" s="1">
        <v>24668983</v>
      </c>
      <c r="B38" s="1">
        <v>25504725</v>
      </c>
      <c r="C38" s="1" t="s">
        <v>294</v>
      </c>
      <c r="D38" s="4">
        <v>46171.572627314818</v>
      </c>
      <c r="E38" s="4">
        <v>46174.717557870368</v>
      </c>
      <c r="F38" s="57" t="s">
        <v>31</v>
      </c>
      <c r="G38" s="57" t="s">
        <v>31</v>
      </c>
      <c r="H38" s="1" t="s">
        <v>433</v>
      </c>
      <c r="I38" s="1" t="s">
        <v>17</v>
      </c>
      <c r="J38" s="1" t="s">
        <v>434</v>
      </c>
      <c r="K38" s="1" t="s">
        <v>435</v>
      </c>
      <c r="L38" s="1" t="s">
        <v>435</v>
      </c>
      <c r="M38" s="4">
        <v>46171.332638888889</v>
      </c>
      <c r="N38" s="1" t="s">
        <v>436</v>
      </c>
      <c r="O38" s="1" t="s">
        <v>93</v>
      </c>
      <c r="P38" s="1" t="s">
        <v>271</v>
      </c>
      <c r="Q38" s="1" t="s">
        <v>286</v>
      </c>
      <c r="R38" s="1" t="s">
        <v>286</v>
      </c>
      <c r="S38" s="1" t="s">
        <v>9</v>
      </c>
      <c r="T38" s="1" t="s">
        <v>274</v>
      </c>
      <c r="U38" s="1" t="s">
        <v>148</v>
      </c>
      <c r="V38" s="1" t="s">
        <v>287</v>
      </c>
      <c r="W38" s="1" t="s">
        <v>288</v>
      </c>
      <c r="X38" s="1" t="s">
        <v>93</v>
      </c>
      <c r="Y38" s="1" t="s">
        <v>93</v>
      </c>
      <c r="Z38" s="1" t="s">
        <v>59</v>
      </c>
      <c r="AA38" s="1" t="s">
        <v>93</v>
      </c>
      <c r="AB38" s="1">
        <v>1061.1608000000001</v>
      </c>
      <c r="AC38" s="1">
        <v>34.619999999999997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 t="s">
        <v>290</v>
      </c>
      <c r="AJ38" s="1" t="s">
        <v>291</v>
      </c>
      <c r="AK38" s="1" t="s">
        <v>17</v>
      </c>
      <c r="AL38" s="1" t="s">
        <v>65</v>
      </c>
      <c r="AM38" s="1" t="s">
        <v>292</v>
      </c>
      <c r="AN38" s="1" t="s">
        <v>21</v>
      </c>
      <c r="AO38" s="1" t="s">
        <v>280</v>
      </c>
      <c r="AP38" s="1" t="s">
        <v>324</v>
      </c>
      <c r="AQ38" s="1" t="s">
        <v>27</v>
      </c>
    </row>
    <row r="39" spans="1:43" x14ac:dyDescent="0.3">
      <c r="A39" s="1">
        <v>24713006</v>
      </c>
      <c r="B39" s="1">
        <v>25551262</v>
      </c>
      <c r="C39" s="1" t="s">
        <v>266</v>
      </c>
      <c r="D39" s="4">
        <v>46178.590011574073</v>
      </c>
      <c r="E39" s="4">
        <v>46209.285000000003</v>
      </c>
      <c r="F39" s="1" t="s">
        <v>19</v>
      </c>
      <c r="G39" s="57" t="s">
        <v>31</v>
      </c>
      <c r="H39" s="1" t="s">
        <v>437</v>
      </c>
      <c r="I39" s="1" t="s">
        <v>268</v>
      </c>
      <c r="J39" s="1" t="s">
        <v>438</v>
      </c>
      <c r="K39" s="1" t="s">
        <v>270</v>
      </c>
      <c r="L39" s="1" t="s">
        <v>270</v>
      </c>
      <c r="M39" s="4">
        <v>46178.365277777782</v>
      </c>
      <c r="N39" s="1">
        <v>149403</v>
      </c>
      <c r="O39" s="1" t="s">
        <v>93</v>
      </c>
      <c r="P39" s="1" t="s">
        <v>271</v>
      </c>
      <c r="Q39" s="1" t="s">
        <v>286</v>
      </c>
      <c r="R39" s="1" t="s">
        <v>439</v>
      </c>
      <c r="S39" s="1" t="s">
        <v>7</v>
      </c>
      <c r="T39" s="1" t="s">
        <v>274</v>
      </c>
      <c r="U39" s="1" t="s">
        <v>197</v>
      </c>
      <c r="V39" s="1" t="s">
        <v>440</v>
      </c>
      <c r="W39" s="1" t="s">
        <v>93</v>
      </c>
      <c r="X39" s="1" t="s">
        <v>298</v>
      </c>
      <c r="Y39" s="1">
        <v>2305290931</v>
      </c>
      <c r="Z39" s="1" t="s">
        <v>114</v>
      </c>
      <c r="AA39" s="1" t="s">
        <v>93</v>
      </c>
      <c r="AB39" s="1">
        <v>3011.52</v>
      </c>
      <c r="AC39" s="1">
        <v>124.76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 t="s">
        <v>441</v>
      </c>
      <c r="AJ39" s="1" t="s">
        <v>442</v>
      </c>
      <c r="AK39" s="1" t="s">
        <v>13</v>
      </c>
      <c r="AL39" s="1" t="s">
        <v>94</v>
      </c>
      <c r="AM39" s="1" t="s">
        <v>443</v>
      </c>
      <c r="AN39" s="1" t="s">
        <v>32</v>
      </c>
      <c r="AO39" s="1" t="s">
        <v>280</v>
      </c>
      <c r="AP39" s="1" t="s">
        <v>324</v>
      </c>
      <c r="AQ39" s="1" t="s">
        <v>125</v>
      </c>
    </row>
    <row r="40" spans="1:43" x14ac:dyDescent="0.3">
      <c r="A40" s="1">
        <v>24713008</v>
      </c>
      <c r="B40" s="1">
        <v>25551264</v>
      </c>
      <c r="C40" s="1" t="s">
        <v>266</v>
      </c>
      <c r="D40" s="4">
        <v>46178.590069444443</v>
      </c>
      <c r="E40" s="4">
        <v>46209.285011574073</v>
      </c>
      <c r="F40" s="1" t="s">
        <v>19</v>
      </c>
      <c r="G40" s="57" t="s">
        <v>31</v>
      </c>
      <c r="H40" s="1" t="s">
        <v>444</v>
      </c>
      <c r="I40" s="1" t="s">
        <v>268</v>
      </c>
      <c r="J40" s="1" t="s">
        <v>445</v>
      </c>
      <c r="K40" s="1" t="s">
        <v>270</v>
      </c>
      <c r="L40" s="1" t="s">
        <v>270</v>
      </c>
      <c r="M40" s="4">
        <v>46178.361805555563</v>
      </c>
      <c r="N40" s="1">
        <v>149394</v>
      </c>
      <c r="O40" s="1" t="s">
        <v>93</v>
      </c>
      <c r="P40" s="1" t="s">
        <v>271</v>
      </c>
      <c r="Q40" s="1" t="s">
        <v>286</v>
      </c>
      <c r="R40" s="1" t="s">
        <v>439</v>
      </c>
      <c r="S40" s="1" t="s">
        <v>7</v>
      </c>
      <c r="T40" s="1" t="s">
        <v>274</v>
      </c>
      <c r="U40" s="1" t="s">
        <v>197</v>
      </c>
      <c r="V40" s="1" t="s">
        <v>440</v>
      </c>
      <c r="W40" s="1" t="s">
        <v>93</v>
      </c>
      <c r="X40" s="1" t="s">
        <v>298</v>
      </c>
      <c r="Y40" s="1">
        <v>2305290301</v>
      </c>
      <c r="Z40" s="1" t="s">
        <v>114</v>
      </c>
      <c r="AA40" s="1" t="s">
        <v>93</v>
      </c>
      <c r="AB40" s="1">
        <v>2233.1799999999998</v>
      </c>
      <c r="AC40" s="1">
        <v>124.76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 t="s">
        <v>446</v>
      </c>
      <c r="AJ40" s="1" t="s">
        <v>442</v>
      </c>
      <c r="AK40" s="1" t="s">
        <v>13</v>
      </c>
      <c r="AL40" s="1" t="s">
        <v>94</v>
      </c>
      <c r="AM40" s="1" t="s">
        <v>443</v>
      </c>
      <c r="AN40" s="1" t="s">
        <v>32</v>
      </c>
      <c r="AO40" s="1" t="s">
        <v>280</v>
      </c>
      <c r="AP40" s="1" t="s">
        <v>324</v>
      </c>
      <c r="AQ40" s="1" t="s">
        <v>125</v>
      </c>
    </row>
    <row r="41" spans="1:43" x14ac:dyDescent="0.3">
      <c r="A41" s="1">
        <v>24717148</v>
      </c>
      <c r="B41" s="1">
        <v>25555303</v>
      </c>
      <c r="C41" s="1" t="s">
        <v>266</v>
      </c>
      <c r="D41" s="4">
        <v>46179.431886574072</v>
      </c>
      <c r="E41" s="4">
        <v>46206.715601851851</v>
      </c>
      <c r="F41" s="1" t="s">
        <v>22</v>
      </c>
      <c r="G41" s="57" t="s">
        <v>29</v>
      </c>
      <c r="H41" s="1" t="s">
        <v>447</v>
      </c>
      <c r="I41" s="1" t="s">
        <v>17</v>
      </c>
      <c r="J41" s="1" t="s">
        <v>448</v>
      </c>
      <c r="K41" s="1" t="s">
        <v>319</v>
      </c>
      <c r="L41" s="1" t="s">
        <v>319</v>
      </c>
      <c r="M41" s="4">
        <v>46178.635416666657</v>
      </c>
      <c r="N41" s="1" t="s">
        <v>449</v>
      </c>
      <c r="O41" s="1" t="s">
        <v>93</v>
      </c>
      <c r="P41" s="1" t="s">
        <v>271</v>
      </c>
      <c r="Q41" s="1" t="s">
        <v>303</v>
      </c>
      <c r="R41" s="1" t="s">
        <v>272</v>
      </c>
      <c r="S41" s="1" t="s">
        <v>7</v>
      </c>
      <c r="T41" s="1" t="s">
        <v>274</v>
      </c>
      <c r="U41" s="1" t="s">
        <v>210</v>
      </c>
      <c r="V41" s="1" t="s">
        <v>450</v>
      </c>
      <c r="W41" s="1" t="s">
        <v>93</v>
      </c>
      <c r="X41" s="1" t="s">
        <v>298</v>
      </c>
      <c r="Y41" s="1">
        <v>2305320078</v>
      </c>
      <c r="Z41" s="1" t="s">
        <v>133</v>
      </c>
      <c r="AA41" s="1" t="s">
        <v>93</v>
      </c>
      <c r="AB41" s="1">
        <v>2812.02</v>
      </c>
      <c r="AC41" s="1">
        <v>62.14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 t="s">
        <v>290</v>
      </c>
      <c r="AJ41" s="1" t="s">
        <v>451</v>
      </c>
      <c r="AK41" s="1" t="s">
        <v>17</v>
      </c>
      <c r="AL41" s="1" t="s">
        <v>84</v>
      </c>
      <c r="AM41" s="1" t="s">
        <v>452</v>
      </c>
      <c r="AN41" s="1" t="s">
        <v>21</v>
      </c>
      <c r="AO41" s="1" t="s">
        <v>280</v>
      </c>
      <c r="AP41" s="1" t="s">
        <v>324</v>
      </c>
      <c r="AQ41" s="1" t="s">
        <v>20</v>
      </c>
    </row>
    <row r="42" spans="1:43" x14ac:dyDescent="0.3">
      <c r="A42" s="1">
        <v>24593378</v>
      </c>
      <c r="B42" s="1">
        <v>25418491</v>
      </c>
      <c r="C42" s="1" t="s">
        <v>266</v>
      </c>
      <c r="D42" s="4">
        <v>46156.549120370371</v>
      </c>
      <c r="E42" s="4">
        <v>46156.566331018519</v>
      </c>
      <c r="F42" s="57" t="s">
        <v>31</v>
      </c>
      <c r="G42" s="57" t="s">
        <v>31</v>
      </c>
      <c r="H42" s="1" t="s">
        <v>453</v>
      </c>
      <c r="I42" s="1" t="s">
        <v>268</v>
      </c>
      <c r="J42" s="1" t="s">
        <v>326</v>
      </c>
      <c r="K42" s="1" t="s">
        <v>270</v>
      </c>
      <c r="L42" s="1" t="s">
        <v>270</v>
      </c>
      <c r="M42" s="4">
        <v>46156.479861111111</v>
      </c>
      <c r="N42" s="1">
        <v>4210</v>
      </c>
      <c r="O42" s="1" t="s">
        <v>93</v>
      </c>
      <c r="P42" s="1" t="s">
        <v>271</v>
      </c>
      <c r="Q42" s="1" t="s">
        <v>454</v>
      </c>
      <c r="R42" s="1" t="s">
        <v>273</v>
      </c>
      <c r="S42" s="1" t="s">
        <v>7</v>
      </c>
      <c r="T42" s="1" t="s">
        <v>274</v>
      </c>
      <c r="U42" s="1" t="s">
        <v>224</v>
      </c>
      <c r="V42" s="1" t="s">
        <v>455</v>
      </c>
      <c r="W42" s="1" t="s">
        <v>93</v>
      </c>
      <c r="X42" s="1" t="s">
        <v>276</v>
      </c>
      <c r="Y42" s="1">
        <v>2286719971</v>
      </c>
      <c r="Z42" s="1" t="s">
        <v>138</v>
      </c>
      <c r="AA42" s="1" t="s">
        <v>93</v>
      </c>
      <c r="AB42" s="1">
        <v>154.19999999999999</v>
      </c>
      <c r="AC42" s="1">
        <v>33.64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 t="s">
        <v>456</v>
      </c>
      <c r="AJ42" s="1" t="s">
        <v>380</v>
      </c>
      <c r="AK42" s="1" t="s">
        <v>13</v>
      </c>
      <c r="AL42" s="1" t="s">
        <v>75</v>
      </c>
      <c r="AM42" s="1" t="s">
        <v>337</v>
      </c>
      <c r="AN42" s="1" t="s">
        <v>21</v>
      </c>
      <c r="AO42" s="1" t="s">
        <v>280</v>
      </c>
      <c r="AP42" s="1" t="s">
        <v>281</v>
      </c>
      <c r="AQ42" s="1" t="s">
        <v>37</v>
      </c>
    </row>
    <row r="43" spans="1:43" x14ac:dyDescent="0.3">
      <c r="A43" s="1">
        <v>24599612</v>
      </c>
      <c r="B43" s="1">
        <v>25425648</v>
      </c>
      <c r="C43" s="1" t="s">
        <v>266</v>
      </c>
      <c r="D43" s="4">
        <v>46157.573912037027</v>
      </c>
      <c r="E43" s="4">
        <v>46206.715578703697</v>
      </c>
      <c r="F43" s="1" t="s">
        <v>22</v>
      </c>
      <c r="G43" s="57" t="s">
        <v>31</v>
      </c>
      <c r="H43" s="1" t="s">
        <v>457</v>
      </c>
      <c r="I43" s="1" t="s">
        <v>17</v>
      </c>
      <c r="J43" s="1" t="s">
        <v>458</v>
      </c>
      <c r="K43" s="1" t="s">
        <v>459</v>
      </c>
      <c r="L43" s="1" t="s">
        <v>460</v>
      </c>
      <c r="M43" s="4">
        <v>46083.552083333343</v>
      </c>
      <c r="N43" s="1" t="s">
        <v>457</v>
      </c>
      <c r="O43" s="1" t="s">
        <v>93</v>
      </c>
      <c r="P43" s="1" t="s">
        <v>342</v>
      </c>
      <c r="Q43" s="1" t="s">
        <v>286</v>
      </c>
      <c r="R43" s="1" t="s">
        <v>439</v>
      </c>
      <c r="S43" s="1" t="s">
        <v>7</v>
      </c>
      <c r="T43" s="1" t="s">
        <v>274</v>
      </c>
      <c r="U43" s="1" t="s">
        <v>153</v>
      </c>
      <c r="V43" s="1" t="s">
        <v>461</v>
      </c>
      <c r="W43" s="1" t="s">
        <v>288</v>
      </c>
      <c r="X43" s="1" t="s">
        <v>276</v>
      </c>
      <c r="Y43" s="1">
        <v>9751493047</v>
      </c>
      <c r="Z43" s="1" t="s">
        <v>64</v>
      </c>
      <c r="AA43" s="1" t="s">
        <v>93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21.9</v>
      </c>
      <c r="AI43" s="1" t="s">
        <v>290</v>
      </c>
      <c r="AJ43" s="1" t="s">
        <v>462</v>
      </c>
      <c r="AK43" s="1" t="s">
        <v>17</v>
      </c>
      <c r="AL43" s="1" t="s">
        <v>78</v>
      </c>
      <c r="AM43" s="1" t="s">
        <v>337</v>
      </c>
      <c r="AN43" s="1" t="s">
        <v>21</v>
      </c>
      <c r="AO43" s="1" t="s">
        <v>280</v>
      </c>
      <c r="AP43" s="1" t="s">
        <v>281</v>
      </c>
      <c r="AQ43" s="1" t="s">
        <v>37</v>
      </c>
    </row>
    <row r="44" spans="1:43" x14ac:dyDescent="0.3">
      <c r="A44" s="1">
        <v>24696661</v>
      </c>
      <c r="B44" s="1">
        <v>25540976</v>
      </c>
      <c r="C44" s="1" t="s">
        <v>294</v>
      </c>
      <c r="D44" s="4">
        <v>46175.771956018521</v>
      </c>
      <c r="E44" s="4">
        <v>46206.715590277781</v>
      </c>
      <c r="F44" s="1" t="s">
        <v>22</v>
      </c>
      <c r="G44" s="57" t="s">
        <v>31</v>
      </c>
      <c r="H44" s="1" t="s">
        <v>463</v>
      </c>
      <c r="I44" s="1" t="s">
        <v>17</v>
      </c>
      <c r="J44" s="1" t="s">
        <v>464</v>
      </c>
      <c r="K44" s="1" t="s">
        <v>372</v>
      </c>
      <c r="L44" s="1" t="s">
        <v>399</v>
      </c>
      <c r="M44" s="4">
        <v>46175.56527777778</v>
      </c>
      <c r="N44" s="1" t="s">
        <v>463</v>
      </c>
      <c r="O44" s="1" t="s">
        <v>93</v>
      </c>
      <c r="P44" s="1" t="s">
        <v>271</v>
      </c>
      <c r="Q44" s="1" t="s">
        <v>303</v>
      </c>
      <c r="R44" s="1" t="s">
        <v>272</v>
      </c>
      <c r="S44" s="1" t="s">
        <v>7</v>
      </c>
      <c r="T44" s="1" t="s">
        <v>274</v>
      </c>
      <c r="U44" s="1" t="s">
        <v>153</v>
      </c>
      <c r="V44" s="1" t="s">
        <v>465</v>
      </c>
      <c r="W44" s="1" t="s">
        <v>93</v>
      </c>
      <c r="X44" s="1" t="s">
        <v>276</v>
      </c>
      <c r="Y44" s="1">
        <v>2615507914</v>
      </c>
      <c r="Z44" s="1" t="s">
        <v>64</v>
      </c>
      <c r="AA44" s="1" t="s">
        <v>93</v>
      </c>
      <c r="AB44" s="1">
        <v>2028.5822000000001</v>
      </c>
      <c r="AC44" s="1">
        <v>88.81</v>
      </c>
      <c r="AD44" s="1">
        <v>0</v>
      </c>
      <c r="AE44" s="1">
        <v>0</v>
      </c>
      <c r="AF44" s="1">
        <v>88.81</v>
      </c>
      <c r="AG44" s="1">
        <v>0</v>
      </c>
      <c r="AH44" s="1">
        <v>0</v>
      </c>
      <c r="AI44" s="1" t="s">
        <v>290</v>
      </c>
      <c r="AJ44" s="1" t="s">
        <v>355</v>
      </c>
      <c r="AK44" s="1" t="s">
        <v>17</v>
      </c>
      <c r="AL44" s="1" t="s">
        <v>75</v>
      </c>
      <c r="AM44" s="1" t="s">
        <v>337</v>
      </c>
      <c r="AN44" s="1" t="s">
        <v>21</v>
      </c>
      <c r="AO44" s="1" t="s">
        <v>280</v>
      </c>
      <c r="AP44" s="1" t="s">
        <v>324</v>
      </c>
      <c r="AQ44" s="1" t="s">
        <v>27</v>
      </c>
    </row>
    <row r="45" spans="1:43" x14ac:dyDescent="0.3">
      <c r="A45" s="1">
        <v>24626620</v>
      </c>
      <c r="B45" s="1">
        <v>25455982</v>
      </c>
      <c r="C45" s="1" t="s">
        <v>266</v>
      </c>
      <c r="D45" s="4">
        <v>46162.759421296287</v>
      </c>
      <c r="E45" s="4">
        <v>46184.625671296293</v>
      </c>
      <c r="F45" s="57" t="s">
        <v>29</v>
      </c>
      <c r="G45" s="57" t="s">
        <v>31</v>
      </c>
      <c r="H45" s="1" t="s">
        <v>466</v>
      </c>
      <c r="I45" s="1" t="s">
        <v>16</v>
      </c>
      <c r="J45" s="1" t="s">
        <v>467</v>
      </c>
      <c r="K45" s="1" t="s">
        <v>270</v>
      </c>
      <c r="L45" s="1" t="s">
        <v>270</v>
      </c>
      <c r="M45" s="4">
        <v>46146.626388888893</v>
      </c>
      <c r="N45" s="1">
        <v>6777</v>
      </c>
      <c r="O45" s="1" t="s">
        <v>93</v>
      </c>
      <c r="P45" s="1" t="s">
        <v>342</v>
      </c>
      <c r="Q45" s="1" t="s">
        <v>286</v>
      </c>
      <c r="R45" s="1" t="s">
        <v>272</v>
      </c>
      <c r="S45" s="1" t="s">
        <v>7</v>
      </c>
      <c r="T45" s="1" t="s">
        <v>365</v>
      </c>
      <c r="U45" s="1" t="s">
        <v>154</v>
      </c>
      <c r="V45" s="1" t="s">
        <v>297</v>
      </c>
      <c r="W45" s="1" t="s">
        <v>93</v>
      </c>
      <c r="X45" s="1" t="s">
        <v>276</v>
      </c>
      <c r="Y45" s="1">
        <v>8800001828</v>
      </c>
      <c r="Z45" s="1" t="s">
        <v>48</v>
      </c>
      <c r="AA45" s="1" t="s">
        <v>93</v>
      </c>
      <c r="AB45" s="1">
        <v>0</v>
      </c>
      <c r="AC45" s="1">
        <v>0</v>
      </c>
      <c r="AD45" s="1">
        <v>62.9</v>
      </c>
      <c r="AE45" s="1">
        <v>0</v>
      </c>
      <c r="AF45" s="1">
        <v>0</v>
      </c>
      <c r="AG45" s="1">
        <v>0</v>
      </c>
      <c r="AH45" s="1">
        <v>0</v>
      </c>
      <c r="AI45" s="1" t="s">
        <v>468</v>
      </c>
      <c r="AJ45" s="1" t="s">
        <v>469</v>
      </c>
      <c r="AK45" s="1" t="s">
        <v>16</v>
      </c>
      <c r="AL45" s="1" t="s">
        <v>94</v>
      </c>
      <c r="AM45" s="1" t="s">
        <v>443</v>
      </c>
      <c r="AN45" s="1" t="s">
        <v>32</v>
      </c>
      <c r="AO45" s="1" t="s">
        <v>280</v>
      </c>
      <c r="AP45" s="1" t="s">
        <v>324</v>
      </c>
      <c r="AQ45" s="1" t="s">
        <v>125</v>
      </c>
    </row>
    <row r="46" spans="1:43" x14ac:dyDescent="0.3">
      <c r="A46" s="1">
        <v>24612982</v>
      </c>
      <c r="B46" s="1">
        <v>25441457</v>
      </c>
      <c r="C46" s="1" t="s">
        <v>266</v>
      </c>
      <c r="D46" s="4">
        <v>46160.592835648153</v>
      </c>
      <c r="E46" s="4">
        <v>46206.715578703697</v>
      </c>
      <c r="F46" s="1" t="s">
        <v>22</v>
      </c>
      <c r="G46" s="57" t="s">
        <v>31</v>
      </c>
      <c r="H46" s="1" t="s">
        <v>470</v>
      </c>
      <c r="I46" s="1" t="s">
        <v>17</v>
      </c>
      <c r="J46" s="1" t="s">
        <v>471</v>
      </c>
      <c r="K46" s="1" t="s">
        <v>472</v>
      </c>
      <c r="L46" s="1" t="s">
        <v>473</v>
      </c>
      <c r="M46" s="4">
        <v>46157.651388888888</v>
      </c>
      <c r="N46" s="1" t="s">
        <v>470</v>
      </c>
      <c r="O46" s="1" t="s">
        <v>93</v>
      </c>
      <c r="P46" s="1" t="s">
        <v>271</v>
      </c>
      <c r="Q46" s="1" t="s">
        <v>286</v>
      </c>
      <c r="R46" s="1" t="s">
        <v>439</v>
      </c>
      <c r="S46" s="1" t="s">
        <v>7</v>
      </c>
      <c r="T46" s="1" t="s">
        <v>365</v>
      </c>
      <c r="U46" s="1" t="s">
        <v>205</v>
      </c>
      <c r="V46" s="1" t="s">
        <v>474</v>
      </c>
      <c r="W46" s="1" t="s">
        <v>93</v>
      </c>
      <c r="X46" s="1" t="s">
        <v>276</v>
      </c>
      <c r="Y46" s="1" t="s">
        <v>93</v>
      </c>
      <c r="Z46" s="1" t="s">
        <v>56</v>
      </c>
      <c r="AA46" s="1" t="s">
        <v>93</v>
      </c>
      <c r="AB46" s="1">
        <v>8935.36</v>
      </c>
      <c r="AC46" s="1">
        <v>64.56</v>
      </c>
      <c r="AD46" s="1">
        <v>229.99</v>
      </c>
      <c r="AE46" s="1">
        <v>0</v>
      </c>
      <c r="AF46" s="1">
        <v>0</v>
      </c>
      <c r="AG46" s="1">
        <v>0</v>
      </c>
      <c r="AH46" s="1">
        <v>0</v>
      </c>
      <c r="AI46" s="1" t="s">
        <v>290</v>
      </c>
      <c r="AJ46" s="1" t="s">
        <v>380</v>
      </c>
      <c r="AK46" s="1" t="s">
        <v>17</v>
      </c>
      <c r="AL46" s="1" t="s">
        <v>75</v>
      </c>
      <c r="AM46" s="1" t="s">
        <v>337</v>
      </c>
      <c r="AN46" s="1" t="s">
        <v>21</v>
      </c>
      <c r="AO46" s="1" t="s">
        <v>280</v>
      </c>
      <c r="AP46" s="1" t="s">
        <v>324</v>
      </c>
      <c r="AQ46" s="1" t="s">
        <v>27</v>
      </c>
    </row>
    <row r="47" spans="1:43" x14ac:dyDescent="0.3">
      <c r="A47" s="1">
        <v>24587408</v>
      </c>
      <c r="B47" s="1">
        <v>25411692</v>
      </c>
      <c r="C47" s="1" t="s">
        <v>266</v>
      </c>
      <c r="D47" s="4">
        <v>46155.669791666667</v>
      </c>
      <c r="E47" s="4">
        <v>46206.71266203704</v>
      </c>
      <c r="F47" s="1" t="s">
        <v>22</v>
      </c>
      <c r="G47" s="57" t="s">
        <v>31</v>
      </c>
      <c r="H47" s="1" t="s">
        <v>475</v>
      </c>
      <c r="I47" s="1" t="s">
        <v>17</v>
      </c>
      <c r="J47" s="1" t="s">
        <v>476</v>
      </c>
      <c r="K47" s="1" t="s">
        <v>319</v>
      </c>
      <c r="L47" s="1" t="s">
        <v>319</v>
      </c>
      <c r="M47" s="4">
        <v>46155.559027777781</v>
      </c>
      <c r="N47" s="1" t="s">
        <v>477</v>
      </c>
      <c r="O47" s="1" t="s">
        <v>93</v>
      </c>
      <c r="P47" s="1" t="s">
        <v>342</v>
      </c>
      <c r="Q47" s="1" t="s">
        <v>303</v>
      </c>
      <c r="R47" s="1" t="s">
        <v>272</v>
      </c>
      <c r="S47" s="1" t="s">
        <v>9</v>
      </c>
      <c r="T47" s="1" t="s">
        <v>274</v>
      </c>
      <c r="U47" s="1" t="s">
        <v>152</v>
      </c>
      <c r="V47" s="1" t="s">
        <v>354</v>
      </c>
      <c r="W47" s="1" t="s">
        <v>93</v>
      </c>
      <c r="X47" s="1" t="s">
        <v>478</v>
      </c>
      <c r="Y47" s="1" t="s">
        <v>93</v>
      </c>
      <c r="Z47" s="1" t="s">
        <v>53</v>
      </c>
      <c r="AA47" s="1" t="s">
        <v>93</v>
      </c>
      <c r="AB47" s="1">
        <v>332.27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 t="s">
        <v>290</v>
      </c>
      <c r="AJ47" s="1" t="s">
        <v>479</v>
      </c>
      <c r="AK47" s="1" t="s">
        <v>17</v>
      </c>
      <c r="AL47" s="1" t="s">
        <v>71</v>
      </c>
      <c r="AM47" s="1" t="s">
        <v>337</v>
      </c>
      <c r="AN47" s="1" t="s">
        <v>21</v>
      </c>
      <c r="AO47" s="1" t="s">
        <v>280</v>
      </c>
      <c r="AP47" s="1" t="s">
        <v>324</v>
      </c>
      <c r="AQ47" s="1" t="s">
        <v>27</v>
      </c>
    </row>
    <row r="48" spans="1:43" x14ac:dyDescent="0.3">
      <c r="A48" s="1">
        <v>24659877</v>
      </c>
      <c r="B48" s="1">
        <v>25493953</v>
      </c>
      <c r="C48" s="1" t="s">
        <v>266</v>
      </c>
      <c r="D48" s="4">
        <v>46169.459467592591</v>
      </c>
      <c r="E48" s="4">
        <v>46206.712673611109</v>
      </c>
      <c r="F48" s="1" t="s">
        <v>22</v>
      </c>
      <c r="G48" s="57" t="s">
        <v>31</v>
      </c>
      <c r="H48" s="1" t="s">
        <v>480</v>
      </c>
      <c r="I48" s="1" t="s">
        <v>17</v>
      </c>
      <c r="J48" s="1" t="s">
        <v>481</v>
      </c>
      <c r="K48" s="1" t="s">
        <v>319</v>
      </c>
      <c r="L48" s="1" t="s">
        <v>319</v>
      </c>
      <c r="M48" s="4">
        <v>46169.359027777777</v>
      </c>
      <c r="N48" s="1" t="s">
        <v>482</v>
      </c>
      <c r="O48" s="1" t="s">
        <v>93</v>
      </c>
      <c r="P48" s="1" t="s">
        <v>342</v>
      </c>
      <c r="Q48" s="1" t="s">
        <v>303</v>
      </c>
      <c r="R48" s="1" t="s">
        <v>272</v>
      </c>
      <c r="S48" s="1" t="s">
        <v>9</v>
      </c>
      <c r="T48" s="1" t="s">
        <v>274</v>
      </c>
      <c r="U48" s="1" t="s">
        <v>173</v>
      </c>
      <c r="V48" s="1" t="s">
        <v>483</v>
      </c>
      <c r="W48" s="1" t="s">
        <v>93</v>
      </c>
      <c r="X48" s="1" t="s">
        <v>484</v>
      </c>
      <c r="Y48" s="1" t="s">
        <v>93</v>
      </c>
      <c r="Z48" s="1" t="s">
        <v>85</v>
      </c>
      <c r="AA48" s="1" t="s">
        <v>93</v>
      </c>
      <c r="AB48" s="1">
        <v>580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 t="s">
        <v>290</v>
      </c>
      <c r="AJ48" s="1" t="s">
        <v>380</v>
      </c>
      <c r="AK48" s="1" t="s">
        <v>17</v>
      </c>
      <c r="AL48" s="1" t="s">
        <v>75</v>
      </c>
      <c r="AM48" s="1" t="s">
        <v>337</v>
      </c>
      <c r="AN48" s="1" t="s">
        <v>21</v>
      </c>
      <c r="AO48" s="1" t="s">
        <v>280</v>
      </c>
      <c r="AP48" s="1" t="s">
        <v>324</v>
      </c>
      <c r="AQ48" s="1" t="s">
        <v>27</v>
      </c>
    </row>
    <row r="49" spans="1:43" x14ac:dyDescent="0.3">
      <c r="A49" s="1">
        <v>24718971</v>
      </c>
      <c r="B49" s="1">
        <v>25556998</v>
      </c>
      <c r="C49" s="1" t="s">
        <v>266</v>
      </c>
      <c r="D49" s="4">
        <v>46179.862962962958</v>
      </c>
      <c r="E49" s="4">
        <v>46206.712673611109</v>
      </c>
      <c r="F49" s="1" t="s">
        <v>22</v>
      </c>
      <c r="G49" s="57" t="s">
        <v>29</v>
      </c>
      <c r="H49" s="1" t="s">
        <v>485</v>
      </c>
      <c r="I49" s="1" t="s">
        <v>17</v>
      </c>
      <c r="J49" s="1" t="s">
        <v>486</v>
      </c>
      <c r="K49" s="1" t="s">
        <v>487</v>
      </c>
      <c r="L49" s="1" t="s">
        <v>487</v>
      </c>
      <c r="M49" s="4">
        <v>46179.738888888889</v>
      </c>
      <c r="N49" s="1" t="s">
        <v>488</v>
      </c>
      <c r="O49" s="1" t="s">
        <v>489</v>
      </c>
      <c r="P49" s="1" t="s">
        <v>342</v>
      </c>
      <c r="Q49" s="1" t="s">
        <v>388</v>
      </c>
      <c r="R49" s="1" t="s">
        <v>272</v>
      </c>
      <c r="S49" s="1" t="s">
        <v>8</v>
      </c>
      <c r="T49" s="1" t="s">
        <v>274</v>
      </c>
      <c r="U49" s="1" t="s">
        <v>148</v>
      </c>
      <c r="V49" s="1" t="s">
        <v>287</v>
      </c>
      <c r="W49" s="1" t="s">
        <v>288</v>
      </c>
      <c r="X49" s="1" t="s">
        <v>490</v>
      </c>
      <c r="Y49" s="1" t="s">
        <v>93</v>
      </c>
      <c r="Z49" s="1" t="s">
        <v>74</v>
      </c>
      <c r="AA49" s="1" t="s">
        <v>93</v>
      </c>
      <c r="AB49" s="1">
        <v>1528.32</v>
      </c>
      <c r="AC49" s="1">
        <v>787.53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 t="s">
        <v>290</v>
      </c>
      <c r="AJ49" s="1" t="s">
        <v>322</v>
      </c>
      <c r="AK49" s="1" t="s">
        <v>17</v>
      </c>
      <c r="AL49" s="1" t="s">
        <v>67</v>
      </c>
      <c r="AM49" s="1" t="s">
        <v>323</v>
      </c>
      <c r="AN49" s="1" t="s">
        <v>21</v>
      </c>
      <c r="AO49" s="1" t="s">
        <v>293</v>
      </c>
      <c r="AP49" s="1" t="s">
        <v>281</v>
      </c>
      <c r="AQ49" s="1" t="s">
        <v>34</v>
      </c>
    </row>
    <row r="50" spans="1:43" x14ac:dyDescent="0.3">
      <c r="A50" s="1">
        <v>24731930</v>
      </c>
      <c r="B50" s="1">
        <v>25569446</v>
      </c>
      <c r="C50" s="1" t="s">
        <v>266</v>
      </c>
      <c r="D50" s="4">
        <v>46182.432534722233</v>
      </c>
      <c r="E50" s="4">
        <v>46206.712673611109</v>
      </c>
      <c r="F50" s="1" t="s">
        <v>22</v>
      </c>
      <c r="G50" s="57" t="s">
        <v>29</v>
      </c>
      <c r="H50" s="1" t="s">
        <v>491</v>
      </c>
      <c r="I50" s="1" t="s">
        <v>17</v>
      </c>
      <c r="J50" s="1" t="s">
        <v>492</v>
      </c>
      <c r="K50" s="1" t="s">
        <v>319</v>
      </c>
      <c r="L50" s="1" t="s">
        <v>319</v>
      </c>
      <c r="M50" s="4">
        <v>46181.636805555558</v>
      </c>
      <c r="N50" s="1" t="s">
        <v>493</v>
      </c>
      <c r="O50" s="1" t="s">
        <v>93</v>
      </c>
      <c r="P50" s="1" t="s">
        <v>271</v>
      </c>
      <c r="Q50" s="1" t="s">
        <v>303</v>
      </c>
      <c r="R50" s="1" t="s">
        <v>272</v>
      </c>
      <c r="S50" s="1" t="s">
        <v>9</v>
      </c>
      <c r="T50" s="1" t="s">
        <v>274</v>
      </c>
      <c r="U50" s="1" t="s">
        <v>185</v>
      </c>
      <c r="V50" s="1" t="s">
        <v>316</v>
      </c>
      <c r="W50" s="1" t="s">
        <v>93</v>
      </c>
      <c r="X50" s="1" t="s">
        <v>494</v>
      </c>
      <c r="Y50" s="1" t="s">
        <v>93</v>
      </c>
      <c r="Z50" s="1" t="s">
        <v>56</v>
      </c>
      <c r="AA50" s="1" t="s">
        <v>93</v>
      </c>
      <c r="AB50" s="1">
        <v>5168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 t="s">
        <v>290</v>
      </c>
      <c r="AJ50" s="1" t="s">
        <v>380</v>
      </c>
      <c r="AK50" s="1" t="s">
        <v>17</v>
      </c>
      <c r="AL50" s="1" t="s">
        <v>75</v>
      </c>
      <c r="AM50" s="1" t="s">
        <v>337</v>
      </c>
      <c r="AN50" s="1" t="s">
        <v>21</v>
      </c>
      <c r="AO50" s="1" t="s">
        <v>280</v>
      </c>
      <c r="AP50" s="1" t="s">
        <v>324</v>
      </c>
      <c r="AQ50" s="1" t="s">
        <v>27</v>
      </c>
    </row>
    <row r="51" spans="1:43" x14ac:dyDescent="0.3">
      <c r="A51" s="1">
        <v>24646482</v>
      </c>
      <c r="B51" s="1">
        <v>25478485</v>
      </c>
      <c r="C51" s="1" t="s">
        <v>266</v>
      </c>
      <c r="D51" s="4">
        <v>46166.575879629629</v>
      </c>
      <c r="E51" s="4">
        <v>46174.750902777778</v>
      </c>
      <c r="F51" s="57" t="s">
        <v>31</v>
      </c>
      <c r="G51" s="57" t="s">
        <v>31</v>
      </c>
      <c r="H51" s="1" t="s">
        <v>495</v>
      </c>
      <c r="I51" s="1" t="s">
        <v>16</v>
      </c>
      <c r="J51" s="1" t="s">
        <v>496</v>
      </c>
      <c r="K51" s="1" t="s">
        <v>497</v>
      </c>
      <c r="L51" s="1" t="s">
        <v>498</v>
      </c>
      <c r="M51" s="4">
        <v>46146.64166666667</v>
      </c>
      <c r="N51" s="1">
        <v>4693437</v>
      </c>
      <c r="O51" s="1" t="s">
        <v>93</v>
      </c>
      <c r="P51" s="1" t="s">
        <v>342</v>
      </c>
      <c r="Q51" s="1" t="s">
        <v>303</v>
      </c>
      <c r="R51" s="1" t="s">
        <v>273</v>
      </c>
      <c r="S51" s="1" t="s">
        <v>7</v>
      </c>
      <c r="T51" s="1" t="s">
        <v>365</v>
      </c>
      <c r="U51" s="1" t="s">
        <v>206</v>
      </c>
      <c r="V51" s="1" t="s">
        <v>499</v>
      </c>
      <c r="W51" s="1" t="s">
        <v>93</v>
      </c>
      <c r="X51" s="1" t="s">
        <v>500</v>
      </c>
      <c r="Y51" s="1">
        <v>3025478510</v>
      </c>
      <c r="Z51" s="1" t="s">
        <v>113</v>
      </c>
      <c r="AA51" s="1" t="s">
        <v>93</v>
      </c>
      <c r="AB51" s="1">
        <v>194.26</v>
      </c>
      <c r="AC51" s="1">
        <v>48.63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 t="s">
        <v>501</v>
      </c>
      <c r="AJ51" s="1" t="s">
        <v>355</v>
      </c>
      <c r="AK51" s="1" t="s">
        <v>16</v>
      </c>
      <c r="AL51" s="1" t="s">
        <v>75</v>
      </c>
      <c r="AM51" s="1" t="s">
        <v>337</v>
      </c>
      <c r="AN51" s="1" t="s">
        <v>21</v>
      </c>
      <c r="AO51" s="1" t="s">
        <v>280</v>
      </c>
      <c r="AP51" s="1" t="s">
        <v>281</v>
      </c>
      <c r="AQ51" s="1" t="s">
        <v>37</v>
      </c>
    </row>
    <row r="52" spans="1:43" x14ac:dyDescent="0.3">
      <c r="A52" s="1">
        <v>24646482</v>
      </c>
      <c r="B52" s="1">
        <v>25526733</v>
      </c>
      <c r="C52" s="1" t="s">
        <v>294</v>
      </c>
      <c r="D52" s="4">
        <v>46166.575879629629</v>
      </c>
      <c r="E52" s="4">
        <v>46174.750902777778</v>
      </c>
      <c r="F52" s="57" t="s">
        <v>31</v>
      </c>
      <c r="G52" s="57" t="s">
        <v>31</v>
      </c>
      <c r="H52" s="1" t="s">
        <v>495</v>
      </c>
      <c r="I52" s="1" t="s">
        <v>16</v>
      </c>
      <c r="J52" s="1" t="s">
        <v>502</v>
      </c>
      <c r="K52" s="1" t="s">
        <v>497</v>
      </c>
      <c r="L52" s="1" t="s">
        <v>498</v>
      </c>
      <c r="M52" s="4">
        <v>46146.64166666667</v>
      </c>
      <c r="N52" s="1">
        <v>4693437</v>
      </c>
      <c r="O52" s="1" t="s">
        <v>93</v>
      </c>
      <c r="P52" s="1" t="s">
        <v>342</v>
      </c>
      <c r="Q52" s="1" t="s">
        <v>286</v>
      </c>
      <c r="R52" s="1" t="s">
        <v>286</v>
      </c>
      <c r="S52" s="1" t="s">
        <v>7</v>
      </c>
      <c r="T52" s="1" t="s">
        <v>274</v>
      </c>
      <c r="U52" s="1" t="s">
        <v>206</v>
      </c>
      <c r="V52" s="1" t="s">
        <v>499</v>
      </c>
      <c r="W52" s="1" t="s">
        <v>93</v>
      </c>
      <c r="X52" s="1" t="s">
        <v>500</v>
      </c>
      <c r="Y52" s="1">
        <v>3025526731</v>
      </c>
      <c r="Z52" s="1" t="s">
        <v>113</v>
      </c>
      <c r="AA52" s="1" t="s">
        <v>93</v>
      </c>
      <c r="AB52" s="1">
        <v>387.82</v>
      </c>
      <c r="AC52" s="1">
        <v>48.63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 t="s">
        <v>501</v>
      </c>
      <c r="AJ52" s="1" t="s">
        <v>355</v>
      </c>
      <c r="AK52" s="1" t="s">
        <v>16</v>
      </c>
      <c r="AL52" s="1" t="s">
        <v>75</v>
      </c>
      <c r="AM52" s="1" t="s">
        <v>337</v>
      </c>
      <c r="AN52" s="1" t="s">
        <v>21</v>
      </c>
      <c r="AO52" s="1" t="s">
        <v>280</v>
      </c>
      <c r="AP52" s="1" t="s">
        <v>281</v>
      </c>
      <c r="AQ52" s="1" t="s">
        <v>37</v>
      </c>
    </row>
    <row r="53" spans="1:43" x14ac:dyDescent="0.3">
      <c r="A53" s="1">
        <v>24732536</v>
      </c>
      <c r="B53" s="1">
        <v>25570071</v>
      </c>
      <c r="C53" s="1" t="s">
        <v>266</v>
      </c>
      <c r="D53" s="4">
        <v>46182.52584490741</v>
      </c>
      <c r="E53" s="4">
        <v>46206.715613425928</v>
      </c>
      <c r="F53" s="1" t="s">
        <v>22</v>
      </c>
      <c r="G53" s="57" t="s">
        <v>29</v>
      </c>
      <c r="H53" s="1" t="s">
        <v>503</v>
      </c>
      <c r="I53" s="1" t="s">
        <v>17</v>
      </c>
      <c r="J53" s="1" t="s">
        <v>504</v>
      </c>
      <c r="K53" s="1" t="s">
        <v>505</v>
      </c>
      <c r="L53" s="1" t="s">
        <v>505</v>
      </c>
      <c r="M53" s="4">
        <v>46182.372916666667</v>
      </c>
      <c r="N53" s="1" t="s">
        <v>506</v>
      </c>
      <c r="O53" s="1" t="s">
        <v>93</v>
      </c>
      <c r="P53" s="1" t="s">
        <v>271</v>
      </c>
      <c r="Q53" s="1" t="s">
        <v>286</v>
      </c>
      <c r="R53" s="1" t="s">
        <v>286</v>
      </c>
      <c r="S53" s="1" t="s">
        <v>7</v>
      </c>
      <c r="T53" s="1" t="s">
        <v>274</v>
      </c>
      <c r="U53" s="1" t="s">
        <v>174</v>
      </c>
      <c r="V53" s="1" t="s">
        <v>366</v>
      </c>
      <c r="W53" s="1" t="s">
        <v>288</v>
      </c>
      <c r="X53" s="1" t="s">
        <v>500</v>
      </c>
      <c r="Y53" s="1">
        <v>7700089417</v>
      </c>
      <c r="Z53" s="1" t="s">
        <v>101</v>
      </c>
      <c r="AA53" s="1" t="s">
        <v>93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36.700000000000003</v>
      </c>
      <c r="AI53" s="1" t="s">
        <v>290</v>
      </c>
      <c r="AJ53" s="1" t="s">
        <v>462</v>
      </c>
      <c r="AK53" s="1" t="s">
        <v>17</v>
      </c>
      <c r="AL53" s="1" t="s">
        <v>78</v>
      </c>
      <c r="AM53" s="1" t="s">
        <v>337</v>
      </c>
      <c r="AN53" s="1" t="s">
        <v>21</v>
      </c>
      <c r="AO53" s="1" t="s">
        <v>280</v>
      </c>
      <c r="AP53" s="1" t="s">
        <v>324</v>
      </c>
      <c r="AQ53" s="1" t="s">
        <v>27</v>
      </c>
    </row>
    <row r="54" spans="1:43" x14ac:dyDescent="0.3">
      <c r="A54" s="1">
        <v>24724740</v>
      </c>
      <c r="B54" s="1">
        <v>25561996</v>
      </c>
      <c r="C54" s="1" t="s">
        <v>266</v>
      </c>
      <c r="D54" s="4">
        <v>46181.499699074076</v>
      </c>
      <c r="E54" s="4">
        <v>46181.54582175926</v>
      </c>
      <c r="F54" s="57" t="s">
        <v>29</v>
      </c>
      <c r="G54" s="57" t="s">
        <v>29</v>
      </c>
      <c r="H54" s="1" t="s">
        <v>507</v>
      </c>
      <c r="I54" s="1" t="s">
        <v>16</v>
      </c>
      <c r="J54" s="1" t="s">
        <v>508</v>
      </c>
      <c r="K54" s="1" t="s">
        <v>509</v>
      </c>
      <c r="L54" s="1" t="s">
        <v>509</v>
      </c>
      <c r="M54" s="4">
        <v>46009.455555555563</v>
      </c>
      <c r="N54" s="1">
        <v>4639544</v>
      </c>
      <c r="O54" s="1" t="s">
        <v>93</v>
      </c>
      <c r="P54" s="1" t="s">
        <v>342</v>
      </c>
      <c r="Q54" s="1" t="s">
        <v>303</v>
      </c>
      <c r="R54" s="1" t="s">
        <v>273</v>
      </c>
      <c r="S54" s="1" t="s">
        <v>7</v>
      </c>
      <c r="T54" s="1" t="s">
        <v>365</v>
      </c>
      <c r="U54" s="1" t="s">
        <v>167</v>
      </c>
      <c r="V54" s="1" t="s">
        <v>510</v>
      </c>
      <c r="W54" s="1" t="s">
        <v>93</v>
      </c>
      <c r="X54" s="1" t="s">
        <v>500</v>
      </c>
      <c r="Y54" s="1">
        <v>3025562072</v>
      </c>
      <c r="Z54" s="1" t="s">
        <v>83</v>
      </c>
      <c r="AA54" s="1" t="s">
        <v>93</v>
      </c>
      <c r="AB54" s="1">
        <v>878.7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 t="s">
        <v>511</v>
      </c>
      <c r="AJ54" s="1" t="s">
        <v>512</v>
      </c>
      <c r="AK54" s="1" t="s">
        <v>16</v>
      </c>
      <c r="AL54" s="1" t="s">
        <v>90</v>
      </c>
      <c r="AM54" s="1" t="s">
        <v>513</v>
      </c>
      <c r="AN54" s="1" t="s">
        <v>30</v>
      </c>
      <c r="AO54" s="1" t="s">
        <v>280</v>
      </c>
      <c r="AP54" s="1" t="s">
        <v>281</v>
      </c>
      <c r="AQ54" s="1" t="s">
        <v>37</v>
      </c>
    </row>
    <row r="55" spans="1:43" x14ac:dyDescent="0.3">
      <c r="A55" s="1">
        <v>24724740</v>
      </c>
      <c r="B55" s="1">
        <v>25561997</v>
      </c>
      <c r="C55" s="1" t="s">
        <v>294</v>
      </c>
      <c r="D55" s="4">
        <v>46181.499699074076</v>
      </c>
      <c r="E55" s="4">
        <v>46181.54582175926</v>
      </c>
      <c r="F55" s="57" t="s">
        <v>29</v>
      </c>
      <c r="G55" s="57" t="s">
        <v>29</v>
      </c>
      <c r="H55" s="1" t="s">
        <v>507</v>
      </c>
      <c r="I55" s="1" t="s">
        <v>16</v>
      </c>
      <c r="J55" s="1" t="s">
        <v>514</v>
      </c>
      <c r="K55" s="1" t="s">
        <v>509</v>
      </c>
      <c r="L55" s="1" t="s">
        <v>509</v>
      </c>
      <c r="M55" s="4">
        <v>46009.455555555563</v>
      </c>
      <c r="N55" s="1">
        <v>4639544</v>
      </c>
      <c r="O55" s="1" t="s">
        <v>93</v>
      </c>
      <c r="P55" s="1" t="s">
        <v>342</v>
      </c>
      <c r="Q55" s="1" t="s">
        <v>303</v>
      </c>
      <c r="R55" s="1" t="s">
        <v>273</v>
      </c>
      <c r="S55" s="1" t="s">
        <v>7</v>
      </c>
      <c r="T55" s="1" t="s">
        <v>365</v>
      </c>
      <c r="U55" s="1" t="s">
        <v>167</v>
      </c>
      <c r="V55" s="1" t="s">
        <v>510</v>
      </c>
      <c r="W55" s="1" t="s">
        <v>93</v>
      </c>
      <c r="X55" s="1" t="s">
        <v>500</v>
      </c>
      <c r="Y55" s="1">
        <v>3024425518</v>
      </c>
      <c r="Z55" s="1" t="s">
        <v>83</v>
      </c>
      <c r="AA55" s="1" t="s">
        <v>93</v>
      </c>
      <c r="AB55" s="1">
        <v>878.7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 t="s">
        <v>511</v>
      </c>
      <c r="AJ55" s="1" t="s">
        <v>512</v>
      </c>
      <c r="AK55" s="1" t="s">
        <v>16</v>
      </c>
      <c r="AL55" s="1" t="s">
        <v>90</v>
      </c>
      <c r="AM55" s="1" t="s">
        <v>513</v>
      </c>
      <c r="AN55" s="1" t="s">
        <v>30</v>
      </c>
      <c r="AO55" s="1" t="s">
        <v>280</v>
      </c>
      <c r="AP55" s="1" t="s">
        <v>281</v>
      </c>
      <c r="AQ55" s="1" t="s">
        <v>37</v>
      </c>
    </row>
    <row r="56" spans="1:43" x14ac:dyDescent="0.3">
      <c r="A56" s="1">
        <v>24724740</v>
      </c>
      <c r="B56" s="1">
        <v>25561998</v>
      </c>
      <c r="C56" s="1" t="s">
        <v>382</v>
      </c>
      <c r="D56" s="4">
        <v>46181.499699074076</v>
      </c>
      <c r="E56" s="4">
        <v>46181.54582175926</v>
      </c>
      <c r="F56" s="57" t="s">
        <v>29</v>
      </c>
      <c r="G56" s="57" t="s">
        <v>29</v>
      </c>
      <c r="H56" s="1" t="s">
        <v>507</v>
      </c>
      <c r="I56" s="1" t="s">
        <v>16</v>
      </c>
      <c r="J56" s="1" t="s">
        <v>515</v>
      </c>
      <c r="K56" s="1" t="s">
        <v>509</v>
      </c>
      <c r="L56" s="1" t="s">
        <v>509</v>
      </c>
      <c r="M56" s="4">
        <v>46009.455555555563</v>
      </c>
      <c r="N56" s="1">
        <v>4639544</v>
      </c>
      <c r="O56" s="1" t="s">
        <v>93</v>
      </c>
      <c r="P56" s="1" t="s">
        <v>342</v>
      </c>
      <c r="Q56" s="1" t="s">
        <v>303</v>
      </c>
      <c r="R56" s="1" t="s">
        <v>273</v>
      </c>
      <c r="S56" s="1" t="s">
        <v>7</v>
      </c>
      <c r="T56" s="1" t="s">
        <v>365</v>
      </c>
      <c r="U56" s="1" t="s">
        <v>167</v>
      </c>
      <c r="V56" s="1" t="s">
        <v>510</v>
      </c>
      <c r="W56" s="1" t="s">
        <v>93</v>
      </c>
      <c r="X56" s="1" t="s">
        <v>500</v>
      </c>
      <c r="Y56" s="1">
        <v>3024425519</v>
      </c>
      <c r="Z56" s="1" t="s">
        <v>83</v>
      </c>
      <c r="AA56" s="1" t="s">
        <v>93</v>
      </c>
      <c r="AB56" s="1">
        <v>878.7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 t="s">
        <v>511</v>
      </c>
      <c r="AJ56" s="1" t="s">
        <v>512</v>
      </c>
      <c r="AK56" s="1" t="s">
        <v>16</v>
      </c>
      <c r="AL56" s="1" t="s">
        <v>90</v>
      </c>
      <c r="AM56" s="1" t="s">
        <v>513</v>
      </c>
      <c r="AN56" s="1" t="s">
        <v>30</v>
      </c>
      <c r="AO56" s="1" t="s">
        <v>280</v>
      </c>
      <c r="AP56" s="1" t="s">
        <v>281</v>
      </c>
      <c r="AQ56" s="1" t="s">
        <v>37</v>
      </c>
    </row>
    <row r="57" spans="1:43" x14ac:dyDescent="0.3">
      <c r="A57" s="1">
        <v>24724740</v>
      </c>
      <c r="B57" s="1">
        <v>25561999</v>
      </c>
      <c r="C57" s="1" t="s">
        <v>516</v>
      </c>
      <c r="D57" s="4">
        <v>46181.499699074076</v>
      </c>
      <c r="E57" s="4">
        <v>46181.54582175926</v>
      </c>
      <c r="F57" s="57" t="s">
        <v>29</v>
      </c>
      <c r="G57" s="57" t="s">
        <v>29</v>
      </c>
      <c r="H57" s="1" t="s">
        <v>507</v>
      </c>
      <c r="I57" s="1" t="s">
        <v>16</v>
      </c>
      <c r="J57" s="1" t="s">
        <v>517</v>
      </c>
      <c r="K57" s="1" t="s">
        <v>509</v>
      </c>
      <c r="L57" s="1" t="s">
        <v>509</v>
      </c>
      <c r="M57" s="4">
        <v>46009.455555555563</v>
      </c>
      <c r="N57" s="1">
        <v>4639544</v>
      </c>
      <c r="O57" s="1" t="s">
        <v>93</v>
      </c>
      <c r="P57" s="1" t="s">
        <v>342</v>
      </c>
      <c r="Q57" s="1" t="s">
        <v>303</v>
      </c>
      <c r="R57" s="1" t="s">
        <v>273</v>
      </c>
      <c r="S57" s="1" t="s">
        <v>7</v>
      </c>
      <c r="T57" s="1" t="s">
        <v>365</v>
      </c>
      <c r="U57" s="1" t="s">
        <v>167</v>
      </c>
      <c r="V57" s="1" t="s">
        <v>510</v>
      </c>
      <c r="W57" s="1" t="s">
        <v>93</v>
      </c>
      <c r="X57" s="1" t="s">
        <v>500</v>
      </c>
      <c r="Y57" s="1">
        <v>3024425520</v>
      </c>
      <c r="Z57" s="1" t="s">
        <v>83</v>
      </c>
      <c r="AA57" s="1" t="s">
        <v>93</v>
      </c>
      <c r="AB57" s="1">
        <v>878.7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 t="s">
        <v>511</v>
      </c>
      <c r="AJ57" s="1" t="s">
        <v>512</v>
      </c>
      <c r="AK57" s="1" t="s">
        <v>16</v>
      </c>
      <c r="AL57" s="1" t="s">
        <v>90</v>
      </c>
      <c r="AM57" s="1" t="s">
        <v>513</v>
      </c>
      <c r="AN57" s="1" t="s">
        <v>30</v>
      </c>
      <c r="AO57" s="1" t="s">
        <v>280</v>
      </c>
      <c r="AP57" s="1" t="s">
        <v>281</v>
      </c>
      <c r="AQ57" s="1" t="s">
        <v>37</v>
      </c>
    </row>
    <row r="58" spans="1:43" x14ac:dyDescent="0.3">
      <c r="A58" s="1">
        <v>24658999</v>
      </c>
      <c r="B58" s="1">
        <v>25492925</v>
      </c>
      <c r="C58" s="1" t="s">
        <v>266</v>
      </c>
      <c r="D58" s="4">
        <v>46168.93178240741</v>
      </c>
      <c r="E58" s="4">
        <v>46197.417592592603</v>
      </c>
      <c r="F58" s="1" t="s">
        <v>26</v>
      </c>
      <c r="G58" s="57" t="s">
        <v>31</v>
      </c>
      <c r="H58" s="1" t="s">
        <v>518</v>
      </c>
      <c r="I58" s="1" t="s">
        <v>16</v>
      </c>
      <c r="J58" s="1" t="s">
        <v>519</v>
      </c>
      <c r="K58" s="1" t="s">
        <v>520</v>
      </c>
      <c r="L58" s="1" t="s">
        <v>520</v>
      </c>
      <c r="M58" s="4">
        <v>46168.931250000001</v>
      </c>
      <c r="N58" s="1" t="s">
        <v>93</v>
      </c>
      <c r="O58" s="1" t="s">
        <v>93</v>
      </c>
      <c r="P58" s="1" t="s">
        <v>342</v>
      </c>
      <c r="Q58" s="1" t="s">
        <v>286</v>
      </c>
      <c r="R58" s="1" t="s">
        <v>286</v>
      </c>
      <c r="S58" s="1" t="s">
        <v>7</v>
      </c>
      <c r="T58" s="1" t="s">
        <v>274</v>
      </c>
      <c r="U58" s="1" t="s">
        <v>229</v>
      </c>
      <c r="V58" s="1" t="s">
        <v>521</v>
      </c>
      <c r="W58" s="1" t="s">
        <v>93</v>
      </c>
      <c r="X58" s="1" t="s">
        <v>522</v>
      </c>
      <c r="Y58" s="1">
        <v>2615164148</v>
      </c>
      <c r="Z58" s="1" t="s">
        <v>74</v>
      </c>
      <c r="AA58" s="1" t="s">
        <v>93</v>
      </c>
      <c r="AB58" s="1">
        <v>16109.77</v>
      </c>
      <c r="AC58" s="1">
        <v>1471.95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 t="s">
        <v>523</v>
      </c>
      <c r="AJ58" s="1" t="s">
        <v>524</v>
      </c>
      <c r="AK58" s="1" t="s">
        <v>16</v>
      </c>
      <c r="AL58" s="1" t="s">
        <v>102</v>
      </c>
      <c r="AM58" s="1" t="s">
        <v>525</v>
      </c>
      <c r="AN58" s="1" t="s">
        <v>32</v>
      </c>
      <c r="AO58" s="1" t="s">
        <v>293</v>
      </c>
      <c r="AP58" s="1" t="s">
        <v>324</v>
      </c>
      <c r="AQ58" s="1" t="s">
        <v>125</v>
      </c>
    </row>
    <row r="59" spans="1:43" x14ac:dyDescent="0.3">
      <c r="A59" s="1">
        <v>24666060</v>
      </c>
      <c r="B59" s="1">
        <v>25501310</v>
      </c>
      <c r="C59" s="1" t="s">
        <v>266</v>
      </c>
      <c r="D59" s="4">
        <v>46170.765046296299</v>
      </c>
      <c r="E59" s="4">
        <v>46206.715590277781</v>
      </c>
      <c r="F59" s="1" t="s">
        <v>22</v>
      </c>
      <c r="G59" s="57" t="s">
        <v>31</v>
      </c>
      <c r="H59" s="1" t="s">
        <v>526</v>
      </c>
      <c r="I59" s="1" t="s">
        <v>17</v>
      </c>
      <c r="J59" s="1" t="s">
        <v>527</v>
      </c>
      <c r="K59" s="1" t="s">
        <v>528</v>
      </c>
      <c r="L59" s="1" t="s">
        <v>505</v>
      </c>
      <c r="M59" s="4">
        <v>46169.55972222222</v>
      </c>
      <c r="N59" s="1" t="s">
        <v>526</v>
      </c>
      <c r="O59" s="1" t="s">
        <v>93</v>
      </c>
      <c r="P59" s="1" t="s">
        <v>271</v>
      </c>
      <c r="Q59" s="1" t="s">
        <v>286</v>
      </c>
      <c r="R59" s="1" t="s">
        <v>286</v>
      </c>
      <c r="S59" s="1" t="s">
        <v>7</v>
      </c>
      <c r="T59" s="1" t="s">
        <v>274</v>
      </c>
      <c r="U59" s="1" t="s">
        <v>183</v>
      </c>
      <c r="V59" s="1" t="s">
        <v>529</v>
      </c>
      <c r="W59" s="1" t="s">
        <v>288</v>
      </c>
      <c r="X59" s="1" t="s">
        <v>530</v>
      </c>
      <c r="Y59" s="1">
        <v>2615424878</v>
      </c>
      <c r="Z59" s="1" t="s">
        <v>97</v>
      </c>
      <c r="AA59" s="1" t="s">
        <v>93</v>
      </c>
      <c r="AB59" s="1">
        <v>8370.17</v>
      </c>
      <c r="AC59" s="1">
        <v>64.56</v>
      </c>
      <c r="AD59" s="1">
        <v>349.3</v>
      </c>
      <c r="AE59" s="1">
        <v>0</v>
      </c>
      <c r="AF59" s="1">
        <v>64.56</v>
      </c>
      <c r="AG59" s="1">
        <v>0</v>
      </c>
      <c r="AH59" s="1">
        <v>21</v>
      </c>
      <c r="AI59" s="1" t="s">
        <v>290</v>
      </c>
      <c r="AJ59" s="1" t="s">
        <v>403</v>
      </c>
      <c r="AK59" s="1" t="s">
        <v>17</v>
      </c>
      <c r="AL59" s="1" t="s">
        <v>73</v>
      </c>
      <c r="AM59" s="1" t="s">
        <v>337</v>
      </c>
      <c r="AN59" s="1" t="s">
        <v>21</v>
      </c>
      <c r="AO59" s="1" t="s">
        <v>280</v>
      </c>
      <c r="AP59" s="1" t="s">
        <v>324</v>
      </c>
      <c r="AQ59" s="1" t="s">
        <v>27</v>
      </c>
    </row>
    <row r="60" spans="1:43" x14ac:dyDescent="0.3">
      <c r="A60" s="1">
        <v>24693392</v>
      </c>
      <c r="B60" s="1">
        <v>25532306</v>
      </c>
      <c r="C60" s="1" t="s">
        <v>266</v>
      </c>
      <c r="D60" s="4">
        <v>46175.465740740743</v>
      </c>
      <c r="E60" s="4">
        <v>46175.497129629628</v>
      </c>
      <c r="F60" s="57" t="s">
        <v>31</v>
      </c>
      <c r="G60" s="57" t="s">
        <v>31</v>
      </c>
      <c r="H60" s="1" t="s">
        <v>531</v>
      </c>
      <c r="I60" s="1" t="s">
        <v>16</v>
      </c>
      <c r="J60" s="1" t="s">
        <v>532</v>
      </c>
      <c r="K60" s="1" t="s">
        <v>528</v>
      </c>
      <c r="L60" s="1" t="s">
        <v>533</v>
      </c>
      <c r="M60" s="4">
        <v>46171.399305555547</v>
      </c>
      <c r="N60" s="1" t="s">
        <v>534</v>
      </c>
      <c r="O60" s="1" t="s">
        <v>93</v>
      </c>
      <c r="P60" s="1" t="s">
        <v>342</v>
      </c>
      <c r="Q60" s="1" t="s">
        <v>388</v>
      </c>
      <c r="R60" s="1" t="s">
        <v>388</v>
      </c>
      <c r="S60" s="1" t="s">
        <v>9</v>
      </c>
      <c r="T60" s="1" t="s">
        <v>274</v>
      </c>
      <c r="U60" s="1" t="s">
        <v>183</v>
      </c>
      <c r="V60" s="1" t="s">
        <v>535</v>
      </c>
      <c r="W60" s="1" t="s">
        <v>288</v>
      </c>
      <c r="X60" s="1" t="s">
        <v>536</v>
      </c>
      <c r="Y60" s="1" t="s">
        <v>93</v>
      </c>
      <c r="Z60" s="1" t="s">
        <v>97</v>
      </c>
      <c r="AA60" s="1" t="s">
        <v>93</v>
      </c>
      <c r="AB60" s="1">
        <v>1131.81</v>
      </c>
      <c r="AC60" s="1">
        <v>1131.81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 t="s">
        <v>290</v>
      </c>
      <c r="AJ60" s="1" t="s">
        <v>322</v>
      </c>
      <c r="AK60" s="1" t="s">
        <v>16</v>
      </c>
      <c r="AL60" s="1" t="s">
        <v>67</v>
      </c>
      <c r="AM60" s="1" t="s">
        <v>323</v>
      </c>
      <c r="AN60" s="1" t="s">
        <v>21</v>
      </c>
      <c r="AO60" s="1" t="s">
        <v>280</v>
      </c>
      <c r="AP60" s="1" t="s">
        <v>281</v>
      </c>
      <c r="AQ60" s="1" t="s">
        <v>37</v>
      </c>
    </row>
    <row r="61" spans="1:43" x14ac:dyDescent="0.3">
      <c r="A61" s="1">
        <v>24625588</v>
      </c>
      <c r="B61" s="1">
        <v>25454872</v>
      </c>
      <c r="C61" s="1" t="s">
        <v>266</v>
      </c>
      <c r="D61" s="4">
        <v>46162.625405092593</v>
      </c>
      <c r="E61" s="4">
        <v>46162.654131944437</v>
      </c>
      <c r="F61" s="57" t="s">
        <v>31</v>
      </c>
      <c r="G61" s="57" t="s">
        <v>31</v>
      </c>
      <c r="H61" s="1" t="s">
        <v>537</v>
      </c>
      <c r="I61" s="1" t="s">
        <v>268</v>
      </c>
      <c r="J61" s="1" t="s">
        <v>538</v>
      </c>
      <c r="K61" s="1" t="s">
        <v>270</v>
      </c>
      <c r="L61" s="1" t="s">
        <v>270</v>
      </c>
      <c r="M61" s="4">
        <v>46162.415972222218</v>
      </c>
      <c r="N61" s="1">
        <v>7607</v>
      </c>
      <c r="O61" s="1" t="s">
        <v>93</v>
      </c>
      <c r="P61" s="1" t="s">
        <v>271</v>
      </c>
      <c r="Q61" s="1" t="s">
        <v>286</v>
      </c>
      <c r="R61" s="1" t="s">
        <v>286</v>
      </c>
      <c r="S61" s="1" t="s">
        <v>9</v>
      </c>
      <c r="T61" s="1" t="s">
        <v>274</v>
      </c>
      <c r="U61" s="1" t="s">
        <v>93</v>
      </c>
      <c r="V61" s="1" t="s">
        <v>93</v>
      </c>
      <c r="W61" s="1" t="s">
        <v>93</v>
      </c>
      <c r="X61" s="1" t="s">
        <v>539</v>
      </c>
      <c r="Y61" s="1" t="s">
        <v>93</v>
      </c>
      <c r="Z61" s="1" t="s">
        <v>93</v>
      </c>
      <c r="AA61" s="1" t="s">
        <v>93</v>
      </c>
      <c r="AB61" s="1">
        <v>338</v>
      </c>
      <c r="AC61" s="1">
        <v>0</v>
      </c>
      <c r="AD61" s="1">
        <v>0</v>
      </c>
      <c r="AE61" s="1">
        <v>0</v>
      </c>
      <c r="AF61" s="1">
        <v>0</v>
      </c>
      <c r="AG61" s="1">
        <v>16.899999999999999</v>
      </c>
      <c r="AH61" s="1">
        <v>0</v>
      </c>
      <c r="AI61" s="1" t="s">
        <v>540</v>
      </c>
      <c r="AJ61" s="1" t="s">
        <v>541</v>
      </c>
      <c r="AK61" s="1" t="s">
        <v>13</v>
      </c>
      <c r="AL61" s="1" t="s">
        <v>100</v>
      </c>
      <c r="AM61" s="1" t="s">
        <v>337</v>
      </c>
      <c r="AN61" s="1" t="s">
        <v>21</v>
      </c>
      <c r="AO61" s="1" t="s">
        <v>280</v>
      </c>
      <c r="AP61" s="1" t="s">
        <v>324</v>
      </c>
      <c r="AQ61" s="1" t="s">
        <v>125</v>
      </c>
    </row>
    <row r="62" spans="1:43" x14ac:dyDescent="0.3">
      <c r="A62" s="1">
        <v>24668983</v>
      </c>
      <c r="B62" s="1">
        <v>25504724</v>
      </c>
      <c r="C62" s="1" t="s">
        <v>266</v>
      </c>
      <c r="D62" s="4">
        <v>46171.572627314818</v>
      </c>
      <c r="E62" s="4">
        <v>46174.717557870368</v>
      </c>
      <c r="F62" s="57" t="s">
        <v>31</v>
      </c>
      <c r="G62" s="57" t="s">
        <v>31</v>
      </c>
      <c r="H62" s="1" t="s">
        <v>433</v>
      </c>
      <c r="I62" s="1" t="s">
        <v>17</v>
      </c>
      <c r="J62" s="1" t="s">
        <v>434</v>
      </c>
      <c r="K62" s="1" t="s">
        <v>435</v>
      </c>
      <c r="L62" s="1" t="s">
        <v>435</v>
      </c>
      <c r="M62" s="4">
        <v>46171.332638888889</v>
      </c>
      <c r="N62" s="1" t="s">
        <v>436</v>
      </c>
      <c r="O62" s="1" t="s">
        <v>93</v>
      </c>
      <c r="P62" s="1" t="s">
        <v>271</v>
      </c>
      <c r="Q62" s="1" t="s">
        <v>286</v>
      </c>
      <c r="R62" s="1" t="s">
        <v>286</v>
      </c>
      <c r="S62" s="1" t="s">
        <v>9</v>
      </c>
      <c r="T62" s="1" t="s">
        <v>274</v>
      </c>
      <c r="U62" s="1" t="s">
        <v>148</v>
      </c>
      <c r="V62" s="1" t="s">
        <v>287</v>
      </c>
      <c r="W62" s="1" t="s">
        <v>288</v>
      </c>
      <c r="X62" s="1" t="s">
        <v>542</v>
      </c>
      <c r="Y62" s="1" t="s">
        <v>93</v>
      </c>
      <c r="Z62" s="1" t="s">
        <v>59</v>
      </c>
      <c r="AA62" s="1" t="s">
        <v>93</v>
      </c>
      <c r="AB62" s="1">
        <v>1589.8526999999999</v>
      </c>
      <c r="AC62" s="1">
        <v>51.51</v>
      </c>
      <c r="AD62" s="1">
        <v>0</v>
      </c>
      <c r="AE62" s="1">
        <v>0</v>
      </c>
      <c r="AF62" s="1">
        <v>0</v>
      </c>
      <c r="AG62" s="1">
        <v>0</v>
      </c>
      <c r="AH62" s="1">
        <v>13</v>
      </c>
      <c r="AI62" s="1" t="s">
        <v>290</v>
      </c>
      <c r="AJ62" s="1" t="s">
        <v>291</v>
      </c>
      <c r="AK62" s="1" t="s">
        <v>17</v>
      </c>
      <c r="AL62" s="1" t="s">
        <v>65</v>
      </c>
      <c r="AM62" s="1" t="s">
        <v>292</v>
      </c>
      <c r="AN62" s="1" t="s">
        <v>21</v>
      </c>
      <c r="AO62" s="1" t="s">
        <v>280</v>
      </c>
      <c r="AP62" s="1" t="s">
        <v>324</v>
      </c>
      <c r="AQ62" s="1" t="s">
        <v>27</v>
      </c>
    </row>
    <row r="63" spans="1:43" x14ac:dyDescent="0.3">
      <c r="A63" s="1">
        <v>24666061</v>
      </c>
      <c r="B63" s="1">
        <v>25501311</v>
      </c>
      <c r="C63" s="1" t="s">
        <v>266</v>
      </c>
      <c r="D63" s="4">
        <v>46170.765162037038</v>
      </c>
      <c r="E63" s="4">
        <v>46206.712673611109</v>
      </c>
      <c r="F63" s="1" t="s">
        <v>22</v>
      </c>
      <c r="G63" s="57" t="s">
        <v>31</v>
      </c>
      <c r="H63" s="1" t="s">
        <v>543</v>
      </c>
      <c r="I63" s="1" t="s">
        <v>17</v>
      </c>
      <c r="J63" s="1" t="s">
        <v>544</v>
      </c>
      <c r="K63" s="1" t="s">
        <v>505</v>
      </c>
      <c r="L63" s="1" t="s">
        <v>505</v>
      </c>
      <c r="M63" s="4">
        <v>46169.55972222222</v>
      </c>
      <c r="N63" s="1" t="s">
        <v>526</v>
      </c>
      <c r="O63" s="1" t="s">
        <v>93</v>
      </c>
      <c r="P63" s="1" t="s">
        <v>342</v>
      </c>
      <c r="Q63" s="1" t="s">
        <v>303</v>
      </c>
      <c r="R63" s="1" t="s">
        <v>272</v>
      </c>
      <c r="S63" s="1" t="s">
        <v>9</v>
      </c>
      <c r="T63" s="1" t="s">
        <v>274</v>
      </c>
      <c r="U63" s="1" t="s">
        <v>183</v>
      </c>
      <c r="V63" s="1" t="s">
        <v>529</v>
      </c>
      <c r="W63" s="1" t="s">
        <v>288</v>
      </c>
      <c r="X63" s="1" t="s">
        <v>545</v>
      </c>
      <c r="Y63" s="1" t="s">
        <v>93</v>
      </c>
      <c r="Z63" s="1" t="s">
        <v>97</v>
      </c>
      <c r="AA63" s="1" t="s">
        <v>93</v>
      </c>
      <c r="AB63" s="1">
        <v>10406.4432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 t="s">
        <v>290</v>
      </c>
      <c r="AJ63" s="1" t="s">
        <v>403</v>
      </c>
      <c r="AK63" s="1" t="s">
        <v>17</v>
      </c>
      <c r="AL63" s="1" t="s">
        <v>73</v>
      </c>
      <c r="AM63" s="1" t="s">
        <v>337</v>
      </c>
      <c r="AN63" s="1" t="s">
        <v>21</v>
      </c>
      <c r="AO63" s="1" t="s">
        <v>280</v>
      </c>
      <c r="AP63" s="1" t="s">
        <v>324</v>
      </c>
      <c r="AQ63" s="1" t="s">
        <v>27</v>
      </c>
    </row>
    <row r="64" spans="1:43" x14ac:dyDescent="0.3">
      <c r="A64" s="1">
        <v>24782703</v>
      </c>
      <c r="B64" s="1">
        <v>25624590</v>
      </c>
      <c r="C64" s="1" t="s">
        <v>266</v>
      </c>
      <c r="D64" s="4">
        <v>46192.432916666658</v>
      </c>
      <c r="E64" s="4">
        <v>46192.434606481482</v>
      </c>
      <c r="F64" s="57" t="s">
        <v>28</v>
      </c>
      <c r="G64" s="57" t="s">
        <v>28</v>
      </c>
      <c r="H64" s="1">
        <v>202606190891</v>
      </c>
      <c r="I64" s="1" t="s">
        <v>14</v>
      </c>
      <c r="J64" s="1" t="s">
        <v>546</v>
      </c>
      <c r="K64" s="1" t="s">
        <v>547</v>
      </c>
      <c r="L64" s="1" t="s">
        <v>547</v>
      </c>
      <c r="M64" s="4">
        <v>46192.423611111109</v>
      </c>
      <c r="N64" s="1">
        <v>4712740</v>
      </c>
      <c r="O64" s="1" t="s">
        <v>93</v>
      </c>
      <c r="P64" s="1" t="s">
        <v>271</v>
      </c>
      <c r="Q64" s="1" t="s">
        <v>303</v>
      </c>
      <c r="R64" s="1" t="s">
        <v>272</v>
      </c>
      <c r="S64" s="1" t="s">
        <v>9</v>
      </c>
      <c r="T64" s="1" t="s">
        <v>274</v>
      </c>
      <c r="U64" s="1" t="s">
        <v>227</v>
      </c>
      <c r="V64" s="1" t="s">
        <v>548</v>
      </c>
      <c r="W64" s="1" t="s">
        <v>93</v>
      </c>
      <c r="X64" s="1" t="s">
        <v>93</v>
      </c>
      <c r="Y64" s="1" t="s">
        <v>93</v>
      </c>
      <c r="Z64" s="1" t="s">
        <v>117</v>
      </c>
      <c r="AA64" s="1" t="s">
        <v>93</v>
      </c>
      <c r="AB64" s="1">
        <v>233.5</v>
      </c>
      <c r="AC64" s="1">
        <v>11.68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 t="s">
        <v>549</v>
      </c>
      <c r="AJ64" s="1" t="s">
        <v>410</v>
      </c>
      <c r="AK64" s="1" t="s">
        <v>14</v>
      </c>
      <c r="AL64" s="1" t="s">
        <v>65</v>
      </c>
      <c r="AM64" s="1" t="s">
        <v>292</v>
      </c>
      <c r="AN64" s="1" t="s">
        <v>21</v>
      </c>
      <c r="AO64" s="1" t="s">
        <v>293</v>
      </c>
      <c r="AP64" s="1" t="s">
        <v>281</v>
      </c>
      <c r="AQ64" s="1" t="s">
        <v>34</v>
      </c>
    </row>
    <row r="65" spans="1:43" x14ac:dyDescent="0.3">
      <c r="A65" s="1">
        <v>24797288</v>
      </c>
      <c r="B65" s="1">
        <v>25638339</v>
      </c>
      <c r="C65" s="1" t="s">
        <v>266</v>
      </c>
      <c r="D65" s="4">
        <v>46195.568206018521</v>
      </c>
      <c r="E65" s="4">
        <v>46195.574444444443</v>
      </c>
      <c r="F65" s="1" t="s">
        <v>26</v>
      </c>
      <c r="G65" s="1" t="s">
        <v>26</v>
      </c>
      <c r="H65" s="1" t="s">
        <v>550</v>
      </c>
      <c r="I65" s="1" t="s">
        <v>268</v>
      </c>
      <c r="J65" s="1" t="s">
        <v>551</v>
      </c>
      <c r="K65" s="1" t="s">
        <v>270</v>
      </c>
      <c r="L65" s="1" t="s">
        <v>270</v>
      </c>
      <c r="M65" s="4">
        <v>46195.431250000001</v>
      </c>
      <c r="N65" s="1">
        <v>329371</v>
      </c>
      <c r="O65" s="1" t="s">
        <v>552</v>
      </c>
      <c r="P65" s="1" t="s">
        <v>271</v>
      </c>
      <c r="Q65" s="1" t="s">
        <v>303</v>
      </c>
      <c r="R65" s="1" t="s">
        <v>272</v>
      </c>
      <c r="S65" s="1" t="s">
        <v>8</v>
      </c>
      <c r="T65" s="1" t="s">
        <v>274</v>
      </c>
      <c r="U65" s="1" t="s">
        <v>151</v>
      </c>
      <c r="V65" s="1" t="s">
        <v>408</v>
      </c>
      <c r="W65" s="1" t="s">
        <v>93</v>
      </c>
      <c r="X65" s="1" t="s">
        <v>93</v>
      </c>
      <c r="Y65" s="1" t="s">
        <v>93</v>
      </c>
      <c r="Z65" s="1" t="s">
        <v>63</v>
      </c>
      <c r="AA65" s="1" t="s">
        <v>93</v>
      </c>
      <c r="AB65" s="1">
        <v>1266.0498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 t="s">
        <v>553</v>
      </c>
      <c r="AJ65" s="1" t="s">
        <v>410</v>
      </c>
      <c r="AK65" s="1" t="s">
        <v>13</v>
      </c>
      <c r="AL65" s="1" t="s">
        <v>65</v>
      </c>
      <c r="AM65" s="1" t="s">
        <v>292</v>
      </c>
      <c r="AN65" s="1" t="s">
        <v>21</v>
      </c>
      <c r="AO65" s="1" t="s">
        <v>280</v>
      </c>
      <c r="AP65" s="1" t="s">
        <v>324</v>
      </c>
      <c r="AQ65" s="1" t="s">
        <v>20</v>
      </c>
    </row>
    <row r="66" spans="1:43" x14ac:dyDescent="0.3">
      <c r="A66" s="1">
        <v>24772733</v>
      </c>
      <c r="B66" s="1">
        <v>25614728</v>
      </c>
      <c r="C66" s="1" t="s">
        <v>266</v>
      </c>
      <c r="D66" s="4">
        <v>46190.754895833343</v>
      </c>
      <c r="E66" s="4">
        <v>46190.775046296287</v>
      </c>
      <c r="F66" s="57" t="s">
        <v>28</v>
      </c>
      <c r="G66" s="57" t="s">
        <v>28</v>
      </c>
      <c r="H66" s="1" t="s">
        <v>554</v>
      </c>
      <c r="I66" s="1" t="s">
        <v>268</v>
      </c>
      <c r="J66" s="1" t="s">
        <v>555</v>
      </c>
      <c r="K66" s="1" t="s">
        <v>419</v>
      </c>
      <c r="L66" s="1" t="s">
        <v>419</v>
      </c>
      <c r="M66" s="4">
        <v>46190.709027777782</v>
      </c>
      <c r="N66" s="1">
        <v>328272</v>
      </c>
      <c r="O66" s="1" t="s">
        <v>556</v>
      </c>
      <c r="P66" s="1" t="s">
        <v>342</v>
      </c>
      <c r="Q66" s="1" t="s">
        <v>303</v>
      </c>
      <c r="R66" s="1" t="s">
        <v>272</v>
      </c>
      <c r="S66" s="1" t="s">
        <v>8</v>
      </c>
      <c r="T66" s="1" t="s">
        <v>274</v>
      </c>
      <c r="U66" s="1" t="s">
        <v>151</v>
      </c>
      <c r="V66" s="1" t="s">
        <v>415</v>
      </c>
      <c r="W66" s="1" t="s">
        <v>93</v>
      </c>
      <c r="X66" s="1" t="s">
        <v>93</v>
      </c>
      <c r="Y66" s="1" t="s">
        <v>93</v>
      </c>
      <c r="Z66" s="1" t="s">
        <v>63</v>
      </c>
      <c r="AA66" s="1" t="s">
        <v>93</v>
      </c>
      <c r="AB66" s="1">
        <v>3472.76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 t="s">
        <v>557</v>
      </c>
      <c r="AJ66" s="1" t="s">
        <v>410</v>
      </c>
      <c r="AK66" s="1" t="s">
        <v>13</v>
      </c>
      <c r="AL66" s="1" t="s">
        <v>65</v>
      </c>
      <c r="AM66" s="1" t="s">
        <v>292</v>
      </c>
      <c r="AN66" s="1" t="s">
        <v>21</v>
      </c>
      <c r="AO66" s="1" t="s">
        <v>280</v>
      </c>
      <c r="AP66" s="1" t="s">
        <v>324</v>
      </c>
      <c r="AQ66" s="1" t="s">
        <v>125</v>
      </c>
    </row>
    <row r="67" spans="1:43" x14ac:dyDescent="0.3">
      <c r="A67" s="1">
        <v>24747713</v>
      </c>
      <c r="B67" s="1">
        <v>25586716</v>
      </c>
      <c r="C67" s="1" t="s">
        <v>294</v>
      </c>
      <c r="D67" s="4">
        <v>46185.403344907398</v>
      </c>
      <c r="E67" s="4">
        <v>46206.712685185194</v>
      </c>
      <c r="F67" s="1" t="s">
        <v>22</v>
      </c>
      <c r="G67" s="57" t="s">
        <v>29</v>
      </c>
      <c r="H67" s="1" t="s">
        <v>558</v>
      </c>
      <c r="I67" s="1" t="s">
        <v>17</v>
      </c>
      <c r="J67" s="1" t="s">
        <v>559</v>
      </c>
      <c r="K67" s="1" t="s">
        <v>314</v>
      </c>
      <c r="L67" s="1" t="s">
        <v>314</v>
      </c>
      <c r="M67" s="4">
        <v>46185.22152777778</v>
      </c>
      <c r="N67" s="1" t="s">
        <v>560</v>
      </c>
      <c r="O67" s="1" t="s">
        <v>93</v>
      </c>
      <c r="P67" s="1" t="s">
        <v>271</v>
      </c>
      <c r="Q67" s="1" t="s">
        <v>388</v>
      </c>
      <c r="R67" s="1" t="s">
        <v>388</v>
      </c>
      <c r="S67" s="1" t="s">
        <v>9</v>
      </c>
      <c r="T67" s="1" t="s">
        <v>274</v>
      </c>
      <c r="U67" s="1" t="s">
        <v>145</v>
      </c>
      <c r="V67" s="1" t="s">
        <v>561</v>
      </c>
      <c r="W67" s="1" t="s">
        <v>93</v>
      </c>
      <c r="X67" s="1" t="s">
        <v>93</v>
      </c>
      <c r="Y67" s="1" t="s">
        <v>93</v>
      </c>
      <c r="Z67" s="1" t="s">
        <v>55</v>
      </c>
      <c r="AA67" s="1" t="s">
        <v>93</v>
      </c>
      <c r="AB67" s="1">
        <v>1327.1220000000001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 t="s">
        <v>290</v>
      </c>
      <c r="AJ67" s="1" t="s">
        <v>291</v>
      </c>
      <c r="AK67" s="1" t="s">
        <v>17</v>
      </c>
      <c r="AL67" s="1" t="s">
        <v>65</v>
      </c>
      <c r="AM67" s="1" t="s">
        <v>292</v>
      </c>
      <c r="AN67" s="1" t="s">
        <v>21</v>
      </c>
      <c r="AO67" s="1" t="s">
        <v>293</v>
      </c>
      <c r="AP67" s="1" t="s">
        <v>281</v>
      </c>
      <c r="AQ67" s="1" t="s">
        <v>34</v>
      </c>
    </row>
    <row r="68" spans="1:43" x14ac:dyDescent="0.3">
      <c r="A68" s="1">
        <v>24784332</v>
      </c>
      <c r="B68" s="1">
        <v>25626279</v>
      </c>
      <c r="C68" s="1" t="s">
        <v>266</v>
      </c>
      <c r="D68" s="4">
        <v>46192.606168981481</v>
      </c>
      <c r="E68" s="4">
        <v>46192.607928240737</v>
      </c>
      <c r="F68" s="57" t="s">
        <v>28</v>
      </c>
      <c r="G68" s="57" t="s">
        <v>28</v>
      </c>
      <c r="H68" s="1" t="s">
        <v>562</v>
      </c>
      <c r="I68" s="1" t="s">
        <v>14</v>
      </c>
      <c r="J68" s="1" t="s">
        <v>563</v>
      </c>
      <c r="K68" s="1" t="s">
        <v>564</v>
      </c>
      <c r="L68" s="1" t="s">
        <v>564</v>
      </c>
      <c r="M68" s="4">
        <v>46192.583333333343</v>
      </c>
      <c r="N68" s="1">
        <v>4712429</v>
      </c>
      <c r="O68" s="1" t="s">
        <v>93</v>
      </c>
      <c r="P68" s="1" t="s">
        <v>342</v>
      </c>
      <c r="Q68" s="1" t="s">
        <v>388</v>
      </c>
      <c r="R68" s="1" t="s">
        <v>388</v>
      </c>
      <c r="S68" s="1" t="s">
        <v>9</v>
      </c>
      <c r="T68" s="1" t="s">
        <v>274</v>
      </c>
      <c r="U68" s="1" t="s">
        <v>190</v>
      </c>
      <c r="V68" s="1" t="s">
        <v>565</v>
      </c>
      <c r="W68" s="1" t="s">
        <v>93</v>
      </c>
      <c r="X68" s="1" t="s">
        <v>93</v>
      </c>
      <c r="Y68" s="1" t="s">
        <v>93</v>
      </c>
      <c r="Z68" s="1" t="s">
        <v>110</v>
      </c>
      <c r="AA68" s="1" t="s">
        <v>93</v>
      </c>
      <c r="AB68" s="1">
        <v>1800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 t="s">
        <v>566</v>
      </c>
      <c r="AJ68" s="1" t="s">
        <v>410</v>
      </c>
      <c r="AK68" s="1" t="s">
        <v>14</v>
      </c>
      <c r="AL68" s="1" t="s">
        <v>65</v>
      </c>
      <c r="AM68" s="1" t="s">
        <v>292</v>
      </c>
      <c r="AN68" s="1" t="s">
        <v>21</v>
      </c>
      <c r="AO68" s="1" t="s">
        <v>293</v>
      </c>
      <c r="AP68" s="1" t="s">
        <v>281</v>
      </c>
      <c r="AQ68" s="1" t="s">
        <v>34</v>
      </c>
    </row>
    <row r="69" spans="1:43" x14ac:dyDescent="0.3">
      <c r="A69" s="1">
        <v>24769631</v>
      </c>
      <c r="B69" s="1">
        <v>25611166</v>
      </c>
      <c r="C69" s="1" t="s">
        <v>266</v>
      </c>
      <c r="D69" s="4">
        <v>46190.377337962957</v>
      </c>
      <c r="E69" s="4">
        <v>46190.378576388888</v>
      </c>
      <c r="F69" s="57" t="s">
        <v>28</v>
      </c>
      <c r="G69" s="57" t="s">
        <v>28</v>
      </c>
      <c r="H69" s="1" t="s">
        <v>567</v>
      </c>
      <c r="I69" s="1" t="s">
        <v>14</v>
      </c>
      <c r="J69" s="1" t="s">
        <v>568</v>
      </c>
      <c r="K69" s="1" t="s">
        <v>564</v>
      </c>
      <c r="L69" s="1" t="s">
        <v>564</v>
      </c>
      <c r="M69" s="4">
        <v>46183.666666666657</v>
      </c>
      <c r="N69" s="1">
        <v>4707120</v>
      </c>
      <c r="O69" s="1" t="s">
        <v>93</v>
      </c>
      <c r="P69" s="1" t="s">
        <v>342</v>
      </c>
      <c r="Q69" s="1" t="s">
        <v>388</v>
      </c>
      <c r="R69" s="1" t="s">
        <v>388</v>
      </c>
      <c r="S69" s="1" t="s">
        <v>9</v>
      </c>
      <c r="T69" s="1" t="s">
        <v>274</v>
      </c>
      <c r="U69" s="1" t="s">
        <v>190</v>
      </c>
      <c r="V69" s="1" t="s">
        <v>565</v>
      </c>
      <c r="W69" s="1" t="s">
        <v>93</v>
      </c>
      <c r="X69" s="1" t="s">
        <v>93</v>
      </c>
      <c r="Y69" s="1" t="s">
        <v>93</v>
      </c>
      <c r="Z69" s="1" t="s">
        <v>110</v>
      </c>
      <c r="AA69" s="1" t="s">
        <v>93</v>
      </c>
      <c r="AB69" s="1">
        <v>680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 t="s">
        <v>569</v>
      </c>
      <c r="AJ69" s="1" t="s">
        <v>410</v>
      </c>
      <c r="AK69" s="1" t="s">
        <v>14</v>
      </c>
      <c r="AL69" s="1" t="s">
        <v>65</v>
      </c>
      <c r="AM69" s="1" t="s">
        <v>292</v>
      </c>
      <c r="AN69" s="1" t="s">
        <v>21</v>
      </c>
      <c r="AO69" s="1" t="s">
        <v>293</v>
      </c>
      <c r="AP69" s="1" t="s">
        <v>281</v>
      </c>
      <c r="AQ69" s="1" t="s">
        <v>34</v>
      </c>
    </row>
    <row r="70" spans="1:43" x14ac:dyDescent="0.3">
      <c r="A70" s="1">
        <v>24775834</v>
      </c>
      <c r="B70" s="1">
        <v>25617916</v>
      </c>
      <c r="C70" s="1" t="s">
        <v>266</v>
      </c>
      <c r="D70" s="4">
        <v>46191.262372685182</v>
      </c>
      <c r="E70" s="4">
        <v>46191.264421296299</v>
      </c>
      <c r="F70" s="57" t="s">
        <v>28</v>
      </c>
      <c r="G70" s="57" t="s">
        <v>28</v>
      </c>
      <c r="H70" s="1" t="s">
        <v>570</v>
      </c>
      <c r="I70" s="1" t="s">
        <v>268</v>
      </c>
      <c r="J70" s="1" t="s">
        <v>571</v>
      </c>
      <c r="K70" s="1" t="s">
        <v>270</v>
      </c>
      <c r="L70" s="1" t="s">
        <v>270</v>
      </c>
      <c r="M70" s="4">
        <v>46190.790277777778</v>
      </c>
      <c r="N70" s="1">
        <v>127567</v>
      </c>
      <c r="O70" s="1" t="s">
        <v>93</v>
      </c>
      <c r="P70" s="1" t="s">
        <v>271</v>
      </c>
      <c r="Q70" s="1" t="s">
        <v>388</v>
      </c>
      <c r="R70" s="1" t="s">
        <v>388</v>
      </c>
      <c r="S70" s="1" t="s">
        <v>9</v>
      </c>
      <c r="T70" s="1" t="s">
        <v>274</v>
      </c>
      <c r="U70" s="1" t="s">
        <v>158</v>
      </c>
      <c r="V70" s="1" t="s">
        <v>389</v>
      </c>
      <c r="W70" s="1" t="s">
        <v>93</v>
      </c>
      <c r="X70" s="1" t="s">
        <v>93</v>
      </c>
      <c r="Y70" s="1" t="s">
        <v>93</v>
      </c>
      <c r="Z70" s="1" t="s">
        <v>70</v>
      </c>
      <c r="AA70" s="1" t="s">
        <v>93</v>
      </c>
      <c r="AB70" s="1">
        <v>986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 t="s">
        <v>572</v>
      </c>
      <c r="AJ70" s="1" t="s">
        <v>410</v>
      </c>
      <c r="AK70" s="1" t="s">
        <v>13</v>
      </c>
      <c r="AL70" s="1" t="s">
        <v>65</v>
      </c>
      <c r="AM70" s="1" t="s">
        <v>292</v>
      </c>
      <c r="AN70" s="1" t="s">
        <v>21</v>
      </c>
      <c r="AO70" s="1" t="s">
        <v>293</v>
      </c>
      <c r="AP70" s="1" t="s">
        <v>281</v>
      </c>
      <c r="AQ70" s="1" t="s">
        <v>34</v>
      </c>
    </row>
    <row r="71" spans="1:43" x14ac:dyDescent="0.3">
      <c r="A71" s="1">
        <v>24802917</v>
      </c>
      <c r="B71" s="1">
        <v>25644278</v>
      </c>
      <c r="C71" s="1" t="s">
        <v>266</v>
      </c>
      <c r="D71" s="4">
        <v>46196.446875000001</v>
      </c>
      <c r="E71" s="4">
        <v>46197.150358796287</v>
      </c>
      <c r="F71" s="1" t="s">
        <v>26</v>
      </c>
      <c r="G71" s="1" t="s">
        <v>26</v>
      </c>
      <c r="H71" s="1" t="s">
        <v>573</v>
      </c>
      <c r="I71" s="1" t="s">
        <v>14</v>
      </c>
      <c r="J71" s="1" t="s">
        <v>574</v>
      </c>
      <c r="K71" s="1" t="s">
        <v>547</v>
      </c>
      <c r="L71" s="1" t="s">
        <v>547</v>
      </c>
      <c r="M71" s="4">
        <v>46195.590277777781</v>
      </c>
      <c r="N71" s="1">
        <v>4713573</v>
      </c>
      <c r="O71" s="1" t="s">
        <v>93</v>
      </c>
      <c r="P71" s="1" t="s">
        <v>342</v>
      </c>
      <c r="Q71" s="1" t="s">
        <v>286</v>
      </c>
      <c r="R71" s="1" t="s">
        <v>286</v>
      </c>
      <c r="S71" s="1" t="s">
        <v>9</v>
      </c>
      <c r="T71" s="1" t="s">
        <v>274</v>
      </c>
      <c r="U71" s="1" t="s">
        <v>142</v>
      </c>
      <c r="V71" s="1" t="s">
        <v>575</v>
      </c>
      <c r="W71" s="1" t="s">
        <v>93</v>
      </c>
      <c r="X71" s="1" t="s">
        <v>93</v>
      </c>
      <c r="Y71" s="1" t="s">
        <v>93</v>
      </c>
      <c r="Z71" s="1" t="s">
        <v>50</v>
      </c>
      <c r="AA71" s="1" t="s">
        <v>93</v>
      </c>
      <c r="AB71" s="1">
        <v>813</v>
      </c>
      <c r="AC71" s="1">
        <v>96.36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 t="s">
        <v>576</v>
      </c>
      <c r="AJ71" s="1" t="s">
        <v>410</v>
      </c>
      <c r="AK71" s="1" t="s">
        <v>14</v>
      </c>
      <c r="AL71" s="1" t="s">
        <v>65</v>
      </c>
      <c r="AM71" s="1" t="s">
        <v>292</v>
      </c>
      <c r="AN71" s="1" t="s">
        <v>21</v>
      </c>
      <c r="AO71" s="1" t="s">
        <v>293</v>
      </c>
      <c r="AP71" s="1" t="s">
        <v>281</v>
      </c>
      <c r="AQ71" s="1" t="s">
        <v>34</v>
      </c>
    </row>
    <row r="72" spans="1:43" x14ac:dyDescent="0.3">
      <c r="A72" s="1">
        <v>24770140</v>
      </c>
      <c r="B72" s="1">
        <v>25611730</v>
      </c>
      <c r="C72" s="1" t="s">
        <v>266</v>
      </c>
      <c r="D72" s="4">
        <v>46190.457627314812</v>
      </c>
      <c r="E72" s="4">
        <v>46190.462858796287</v>
      </c>
      <c r="F72" s="57" t="s">
        <v>28</v>
      </c>
      <c r="G72" s="57" t="s">
        <v>28</v>
      </c>
      <c r="H72" s="1" t="s">
        <v>577</v>
      </c>
      <c r="I72" s="1" t="s">
        <v>17</v>
      </c>
      <c r="J72" s="1" t="s">
        <v>578</v>
      </c>
      <c r="K72" s="1" t="s">
        <v>579</v>
      </c>
      <c r="L72" s="1" t="s">
        <v>579</v>
      </c>
      <c r="M72" s="4">
        <v>46190.359027777777</v>
      </c>
      <c r="N72" s="1" t="s">
        <v>580</v>
      </c>
      <c r="O72" s="1" t="s">
        <v>93</v>
      </c>
      <c r="P72" s="1" t="s">
        <v>342</v>
      </c>
      <c r="Q72" s="1" t="s">
        <v>286</v>
      </c>
      <c r="R72" s="1" t="s">
        <v>286</v>
      </c>
      <c r="S72" s="1" t="s">
        <v>9</v>
      </c>
      <c r="T72" s="1" t="s">
        <v>274</v>
      </c>
      <c r="U72" s="1" t="s">
        <v>141</v>
      </c>
      <c r="V72" s="1" t="s">
        <v>581</v>
      </c>
      <c r="W72" s="1" t="s">
        <v>93</v>
      </c>
      <c r="X72" s="1" t="s">
        <v>93</v>
      </c>
      <c r="Y72" s="1" t="s">
        <v>93</v>
      </c>
      <c r="Z72" s="1" t="s">
        <v>47</v>
      </c>
      <c r="AA72" s="1" t="s">
        <v>93</v>
      </c>
      <c r="AB72" s="1">
        <v>480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 t="s">
        <v>290</v>
      </c>
      <c r="AJ72" s="1" t="s">
        <v>410</v>
      </c>
      <c r="AK72" s="1" t="s">
        <v>17</v>
      </c>
      <c r="AL72" s="1" t="s">
        <v>65</v>
      </c>
      <c r="AM72" s="1" t="s">
        <v>292</v>
      </c>
      <c r="AN72" s="1" t="s">
        <v>21</v>
      </c>
      <c r="AO72" s="1" t="s">
        <v>280</v>
      </c>
      <c r="AP72" s="1" t="s">
        <v>324</v>
      </c>
      <c r="AQ72" s="1" t="s">
        <v>20</v>
      </c>
    </row>
    <row r="73" spans="1:43" x14ac:dyDescent="0.3">
      <c r="A73" s="1">
        <v>24770141</v>
      </c>
      <c r="B73" s="1">
        <v>25611731</v>
      </c>
      <c r="C73" s="1" t="s">
        <v>266</v>
      </c>
      <c r="D73" s="4">
        <v>46190.457685185182</v>
      </c>
      <c r="E73" s="4">
        <v>46190.462870370371</v>
      </c>
      <c r="F73" s="57" t="s">
        <v>28</v>
      </c>
      <c r="G73" s="57" t="s">
        <v>28</v>
      </c>
      <c r="H73" s="1" t="s">
        <v>582</v>
      </c>
      <c r="I73" s="1" t="s">
        <v>17</v>
      </c>
      <c r="J73" s="1" t="s">
        <v>583</v>
      </c>
      <c r="K73" s="1" t="s">
        <v>579</v>
      </c>
      <c r="L73" s="1" t="s">
        <v>579</v>
      </c>
      <c r="M73" s="4">
        <v>46190.367361111108</v>
      </c>
      <c r="N73" s="1" t="s">
        <v>584</v>
      </c>
      <c r="O73" s="1" t="s">
        <v>93</v>
      </c>
      <c r="P73" s="1" t="s">
        <v>342</v>
      </c>
      <c r="Q73" s="1" t="s">
        <v>286</v>
      </c>
      <c r="R73" s="1" t="s">
        <v>286</v>
      </c>
      <c r="S73" s="1" t="s">
        <v>9</v>
      </c>
      <c r="T73" s="1" t="s">
        <v>274</v>
      </c>
      <c r="U73" s="1" t="s">
        <v>141</v>
      </c>
      <c r="V73" s="1" t="s">
        <v>581</v>
      </c>
      <c r="W73" s="1" t="s">
        <v>93</v>
      </c>
      <c r="X73" s="1" t="s">
        <v>93</v>
      </c>
      <c r="Y73" s="1" t="s">
        <v>93</v>
      </c>
      <c r="Z73" s="1" t="s">
        <v>47</v>
      </c>
      <c r="AA73" s="1" t="s">
        <v>93</v>
      </c>
      <c r="AB73" s="1">
        <v>480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 t="s">
        <v>290</v>
      </c>
      <c r="AJ73" s="1" t="s">
        <v>410</v>
      </c>
      <c r="AK73" s="1" t="s">
        <v>17</v>
      </c>
      <c r="AL73" s="1" t="s">
        <v>65</v>
      </c>
      <c r="AM73" s="1" t="s">
        <v>292</v>
      </c>
      <c r="AN73" s="1" t="s">
        <v>21</v>
      </c>
      <c r="AO73" s="1" t="s">
        <v>280</v>
      </c>
      <c r="AP73" s="1" t="s">
        <v>324</v>
      </c>
      <c r="AQ73" s="1" t="s">
        <v>20</v>
      </c>
    </row>
    <row r="74" spans="1:43" x14ac:dyDescent="0.3">
      <c r="A74" s="1">
        <v>24773814</v>
      </c>
      <c r="B74" s="1">
        <v>25615861</v>
      </c>
      <c r="C74" s="1" t="s">
        <v>266</v>
      </c>
      <c r="D74" s="4">
        <v>46190.806446759263</v>
      </c>
      <c r="E74" s="4">
        <v>46190.812905092593</v>
      </c>
      <c r="F74" s="57" t="s">
        <v>28</v>
      </c>
      <c r="G74" s="57" t="s">
        <v>28</v>
      </c>
      <c r="H74" s="1" t="s">
        <v>585</v>
      </c>
      <c r="I74" s="1" t="s">
        <v>17</v>
      </c>
      <c r="J74" s="1" t="s">
        <v>586</v>
      </c>
      <c r="K74" s="1" t="s">
        <v>579</v>
      </c>
      <c r="L74" s="1" t="s">
        <v>579</v>
      </c>
      <c r="M74" s="4">
        <v>46190.68472222222</v>
      </c>
      <c r="N74" s="1" t="s">
        <v>587</v>
      </c>
      <c r="O74" s="1" t="s">
        <v>93</v>
      </c>
      <c r="P74" s="1" t="s">
        <v>342</v>
      </c>
      <c r="Q74" s="1" t="s">
        <v>286</v>
      </c>
      <c r="R74" s="1" t="s">
        <v>286</v>
      </c>
      <c r="S74" s="1" t="s">
        <v>9</v>
      </c>
      <c r="T74" s="1" t="s">
        <v>274</v>
      </c>
      <c r="U74" s="1" t="s">
        <v>141</v>
      </c>
      <c r="V74" s="1" t="s">
        <v>581</v>
      </c>
      <c r="W74" s="1" t="s">
        <v>93</v>
      </c>
      <c r="X74" s="1" t="s">
        <v>93</v>
      </c>
      <c r="Y74" s="1" t="s">
        <v>93</v>
      </c>
      <c r="Z74" s="1" t="s">
        <v>47</v>
      </c>
      <c r="AA74" s="1" t="s">
        <v>93</v>
      </c>
      <c r="AB74" s="1">
        <v>480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 t="s">
        <v>290</v>
      </c>
      <c r="AJ74" s="1" t="s">
        <v>410</v>
      </c>
      <c r="AK74" s="1" t="s">
        <v>17</v>
      </c>
      <c r="AL74" s="1" t="s">
        <v>65</v>
      </c>
      <c r="AM74" s="1" t="s">
        <v>292</v>
      </c>
      <c r="AN74" s="1" t="s">
        <v>21</v>
      </c>
      <c r="AO74" s="1" t="s">
        <v>280</v>
      </c>
      <c r="AP74" s="1" t="s">
        <v>324</v>
      </c>
      <c r="AQ74" s="1" t="s">
        <v>20</v>
      </c>
    </row>
    <row r="75" spans="1:43" x14ac:dyDescent="0.3">
      <c r="A75" s="1">
        <v>24773815</v>
      </c>
      <c r="B75" s="1">
        <v>25615862</v>
      </c>
      <c r="C75" s="1" t="s">
        <v>266</v>
      </c>
      <c r="D75" s="4">
        <v>46190.806493055563</v>
      </c>
      <c r="E75" s="4">
        <v>46190.812905092593</v>
      </c>
      <c r="F75" s="57" t="s">
        <v>28</v>
      </c>
      <c r="G75" s="57" t="s">
        <v>28</v>
      </c>
      <c r="H75" s="1" t="s">
        <v>588</v>
      </c>
      <c r="I75" s="1" t="s">
        <v>17</v>
      </c>
      <c r="J75" s="1" t="s">
        <v>589</v>
      </c>
      <c r="K75" s="1" t="s">
        <v>579</v>
      </c>
      <c r="L75" s="1" t="s">
        <v>579</v>
      </c>
      <c r="M75" s="4">
        <v>46190.688888888893</v>
      </c>
      <c r="N75" s="1" t="s">
        <v>590</v>
      </c>
      <c r="O75" s="1" t="s">
        <v>93</v>
      </c>
      <c r="P75" s="1" t="s">
        <v>342</v>
      </c>
      <c r="Q75" s="1" t="s">
        <v>286</v>
      </c>
      <c r="R75" s="1" t="s">
        <v>286</v>
      </c>
      <c r="S75" s="1" t="s">
        <v>9</v>
      </c>
      <c r="T75" s="1" t="s">
        <v>274</v>
      </c>
      <c r="U75" s="1" t="s">
        <v>141</v>
      </c>
      <c r="V75" s="1" t="s">
        <v>581</v>
      </c>
      <c r="W75" s="1" t="s">
        <v>93</v>
      </c>
      <c r="X75" s="1" t="s">
        <v>93</v>
      </c>
      <c r="Y75" s="1" t="s">
        <v>93</v>
      </c>
      <c r="Z75" s="1" t="s">
        <v>47</v>
      </c>
      <c r="AA75" s="1" t="s">
        <v>93</v>
      </c>
      <c r="AB75" s="1">
        <v>480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 t="s">
        <v>290</v>
      </c>
      <c r="AJ75" s="1" t="s">
        <v>410</v>
      </c>
      <c r="AK75" s="1" t="s">
        <v>17</v>
      </c>
      <c r="AL75" s="1" t="s">
        <v>65</v>
      </c>
      <c r="AM75" s="1" t="s">
        <v>292</v>
      </c>
      <c r="AN75" s="1" t="s">
        <v>21</v>
      </c>
      <c r="AO75" s="1" t="s">
        <v>280</v>
      </c>
      <c r="AP75" s="1" t="s">
        <v>324</v>
      </c>
      <c r="AQ75" s="1" t="s">
        <v>20</v>
      </c>
    </row>
    <row r="76" spans="1:43" x14ac:dyDescent="0.3">
      <c r="A76" s="1">
        <v>24773816</v>
      </c>
      <c r="B76" s="1">
        <v>25615867</v>
      </c>
      <c r="C76" s="1" t="s">
        <v>266</v>
      </c>
      <c r="D76" s="4">
        <v>46190.806527777779</v>
      </c>
      <c r="E76" s="4">
        <v>46190.812916666669</v>
      </c>
      <c r="F76" s="57" t="s">
        <v>28</v>
      </c>
      <c r="G76" s="57" t="s">
        <v>28</v>
      </c>
      <c r="H76" s="1" t="s">
        <v>591</v>
      </c>
      <c r="I76" s="1" t="s">
        <v>17</v>
      </c>
      <c r="J76" s="1" t="s">
        <v>592</v>
      </c>
      <c r="K76" s="1" t="s">
        <v>579</v>
      </c>
      <c r="L76" s="1" t="s">
        <v>579</v>
      </c>
      <c r="M76" s="4">
        <v>46190.691666666673</v>
      </c>
      <c r="N76" s="1" t="s">
        <v>593</v>
      </c>
      <c r="O76" s="1" t="s">
        <v>93</v>
      </c>
      <c r="P76" s="1" t="s">
        <v>342</v>
      </c>
      <c r="Q76" s="1" t="s">
        <v>286</v>
      </c>
      <c r="R76" s="1" t="s">
        <v>286</v>
      </c>
      <c r="S76" s="1" t="s">
        <v>9</v>
      </c>
      <c r="T76" s="1" t="s">
        <v>274</v>
      </c>
      <c r="U76" s="1" t="s">
        <v>141</v>
      </c>
      <c r="V76" s="1" t="s">
        <v>581</v>
      </c>
      <c r="W76" s="1" t="s">
        <v>93</v>
      </c>
      <c r="X76" s="1" t="s">
        <v>93</v>
      </c>
      <c r="Y76" s="1" t="s">
        <v>93</v>
      </c>
      <c r="Z76" s="1" t="s">
        <v>47</v>
      </c>
      <c r="AA76" s="1" t="s">
        <v>93</v>
      </c>
      <c r="AB76" s="1">
        <v>240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 t="s">
        <v>290</v>
      </c>
      <c r="AJ76" s="1" t="s">
        <v>410</v>
      </c>
      <c r="AK76" s="1" t="s">
        <v>17</v>
      </c>
      <c r="AL76" s="1" t="s">
        <v>65</v>
      </c>
      <c r="AM76" s="1" t="s">
        <v>292</v>
      </c>
      <c r="AN76" s="1" t="s">
        <v>21</v>
      </c>
      <c r="AO76" s="1" t="s">
        <v>280</v>
      </c>
      <c r="AP76" s="1" t="s">
        <v>324</v>
      </c>
      <c r="AQ76" s="1" t="s">
        <v>20</v>
      </c>
    </row>
    <row r="77" spans="1:43" x14ac:dyDescent="0.3">
      <c r="A77" s="1">
        <v>24798196</v>
      </c>
      <c r="B77" s="1">
        <v>25639258</v>
      </c>
      <c r="C77" s="1" t="s">
        <v>294</v>
      </c>
      <c r="D77" s="4">
        <v>46195.615520833337</v>
      </c>
      <c r="E77" s="4">
        <v>46195.617106481477</v>
      </c>
      <c r="F77" s="1" t="s">
        <v>26</v>
      </c>
      <c r="G77" s="1" t="s">
        <v>26</v>
      </c>
      <c r="H77" s="1" t="s">
        <v>594</v>
      </c>
      <c r="I77" s="1" t="s">
        <v>17</v>
      </c>
      <c r="J77" s="1" t="s">
        <v>595</v>
      </c>
      <c r="K77" s="1" t="s">
        <v>596</v>
      </c>
      <c r="L77" s="1" t="s">
        <v>596</v>
      </c>
      <c r="M77" s="4">
        <v>46178.434027777781</v>
      </c>
      <c r="N77" s="1" t="s">
        <v>597</v>
      </c>
      <c r="O77" s="1" t="s">
        <v>93</v>
      </c>
      <c r="P77" s="1" t="s">
        <v>271</v>
      </c>
      <c r="Q77" s="1" t="s">
        <v>388</v>
      </c>
      <c r="R77" s="1" t="s">
        <v>388</v>
      </c>
      <c r="S77" s="1" t="s">
        <v>9</v>
      </c>
      <c r="T77" s="1" t="s">
        <v>274</v>
      </c>
      <c r="U77" s="1" t="s">
        <v>141</v>
      </c>
      <c r="V77" s="1" t="s">
        <v>581</v>
      </c>
      <c r="W77" s="1" t="s">
        <v>93</v>
      </c>
      <c r="X77" s="1" t="s">
        <v>93</v>
      </c>
      <c r="Y77" s="1" t="s">
        <v>93</v>
      </c>
      <c r="Z77" s="1" t="s">
        <v>47</v>
      </c>
      <c r="AA77" s="1" t="s">
        <v>93</v>
      </c>
      <c r="AB77" s="1">
        <v>548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 t="s">
        <v>290</v>
      </c>
      <c r="AJ77" s="1" t="s">
        <v>291</v>
      </c>
      <c r="AK77" s="1" t="s">
        <v>17</v>
      </c>
      <c r="AL77" s="1" t="s">
        <v>65</v>
      </c>
      <c r="AM77" s="1" t="s">
        <v>292</v>
      </c>
      <c r="AN77" s="1" t="s">
        <v>21</v>
      </c>
      <c r="AO77" s="1" t="s">
        <v>280</v>
      </c>
      <c r="AP77" s="1" t="s">
        <v>324</v>
      </c>
      <c r="AQ77" s="1" t="s">
        <v>125</v>
      </c>
    </row>
    <row r="78" spans="1:43" x14ac:dyDescent="0.3">
      <c r="A78" s="1">
        <v>24798196</v>
      </c>
      <c r="B78" s="1">
        <v>25639259</v>
      </c>
      <c r="C78" s="1" t="s">
        <v>382</v>
      </c>
      <c r="D78" s="4">
        <v>46195.615520833337</v>
      </c>
      <c r="E78" s="4">
        <v>46195.617106481477</v>
      </c>
      <c r="F78" s="1" t="s">
        <v>26</v>
      </c>
      <c r="G78" s="1" t="s">
        <v>26</v>
      </c>
      <c r="H78" s="1" t="s">
        <v>594</v>
      </c>
      <c r="I78" s="1" t="s">
        <v>17</v>
      </c>
      <c r="J78" s="1" t="s">
        <v>595</v>
      </c>
      <c r="K78" s="1" t="s">
        <v>596</v>
      </c>
      <c r="L78" s="1" t="s">
        <v>596</v>
      </c>
      <c r="M78" s="4">
        <v>46178.434027777781</v>
      </c>
      <c r="N78" s="1" t="s">
        <v>597</v>
      </c>
      <c r="O78" s="1" t="s">
        <v>93</v>
      </c>
      <c r="P78" s="1" t="s">
        <v>271</v>
      </c>
      <c r="Q78" s="1" t="s">
        <v>388</v>
      </c>
      <c r="R78" s="1" t="s">
        <v>388</v>
      </c>
      <c r="S78" s="1" t="s">
        <v>9</v>
      </c>
      <c r="T78" s="1" t="s">
        <v>274</v>
      </c>
      <c r="U78" s="1" t="s">
        <v>141</v>
      </c>
      <c r="V78" s="1" t="s">
        <v>581</v>
      </c>
      <c r="W78" s="1" t="s">
        <v>93</v>
      </c>
      <c r="X78" s="1" t="s">
        <v>93</v>
      </c>
      <c r="Y78" s="1" t="s">
        <v>93</v>
      </c>
      <c r="Z78" s="1" t="s">
        <v>47</v>
      </c>
      <c r="AA78" s="1" t="s">
        <v>93</v>
      </c>
      <c r="AB78" s="1">
        <v>230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 t="s">
        <v>290</v>
      </c>
      <c r="AJ78" s="1" t="s">
        <v>291</v>
      </c>
      <c r="AK78" s="1" t="s">
        <v>17</v>
      </c>
      <c r="AL78" s="1" t="s">
        <v>65</v>
      </c>
      <c r="AM78" s="1" t="s">
        <v>292</v>
      </c>
      <c r="AN78" s="1" t="s">
        <v>21</v>
      </c>
      <c r="AO78" s="1" t="s">
        <v>280</v>
      </c>
      <c r="AP78" s="1" t="s">
        <v>324</v>
      </c>
      <c r="AQ78" s="1" t="s">
        <v>125</v>
      </c>
    </row>
    <row r="79" spans="1:43" x14ac:dyDescent="0.3">
      <c r="A79" s="1">
        <v>24782129</v>
      </c>
      <c r="B79" s="1">
        <v>25624098</v>
      </c>
      <c r="C79" s="1" t="s">
        <v>266</v>
      </c>
      <c r="D79" s="4">
        <v>46192.272430555553</v>
      </c>
      <c r="E79" s="4">
        <v>46192.274733796286</v>
      </c>
      <c r="F79" s="57" t="s">
        <v>28</v>
      </c>
      <c r="G79" s="57" t="s">
        <v>28</v>
      </c>
      <c r="H79" s="1" t="s">
        <v>598</v>
      </c>
      <c r="I79" s="1" t="s">
        <v>268</v>
      </c>
      <c r="J79" s="1" t="s">
        <v>599</v>
      </c>
      <c r="K79" s="1" t="s">
        <v>600</v>
      </c>
      <c r="L79" s="1" t="s">
        <v>600</v>
      </c>
      <c r="M79" s="4">
        <v>46191.968055555553</v>
      </c>
      <c r="N79" s="1">
        <v>127851</v>
      </c>
      <c r="O79" s="1" t="s">
        <v>93</v>
      </c>
      <c r="P79" s="1" t="s">
        <v>342</v>
      </c>
      <c r="Q79" s="1" t="s">
        <v>286</v>
      </c>
      <c r="R79" s="1" t="s">
        <v>286</v>
      </c>
      <c r="S79" s="1" t="s">
        <v>7</v>
      </c>
      <c r="T79" s="1" t="s">
        <v>274</v>
      </c>
      <c r="U79" s="1" t="s">
        <v>158</v>
      </c>
      <c r="V79" s="1" t="s">
        <v>389</v>
      </c>
      <c r="W79" s="1" t="s">
        <v>93</v>
      </c>
      <c r="X79" s="1" t="s">
        <v>298</v>
      </c>
      <c r="Y79" s="1">
        <v>3025624093</v>
      </c>
      <c r="Z79" s="1" t="s">
        <v>70</v>
      </c>
      <c r="AA79" s="1" t="s">
        <v>93</v>
      </c>
      <c r="AB79" s="1">
        <v>0</v>
      </c>
      <c r="AC79" s="1">
        <v>121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 t="s">
        <v>601</v>
      </c>
      <c r="AJ79" s="1" t="s">
        <v>403</v>
      </c>
      <c r="AK79" s="1" t="s">
        <v>13</v>
      </c>
      <c r="AL79" s="1" t="s">
        <v>73</v>
      </c>
      <c r="AM79" s="1" t="s">
        <v>337</v>
      </c>
      <c r="AN79" s="1" t="s">
        <v>21</v>
      </c>
      <c r="AO79" s="1" t="s">
        <v>280</v>
      </c>
      <c r="AP79" s="1" t="s">
        <v>324</v>
      </c>
      <c r="AQ79" s="1" t="s">
        <v>125</v>
      </c>
    </row>
    <row r="80" spans="1:43" x14ac:dyDescent="0.3">
      <c r="A80" s="1">
        <v>24733866</v>
      </c>
      <c r="B80" s="1">
        <v>25571473</v>
      </c>
      <c r="C80" s="1" t="s">
        <v>266</v>
      </c>
      <c r="D80" s="4">
        <v>46182.716215277767</v>
      </c>
      <c r="E80" s="4">
        <v>46206.715613425928</v>
      </c>
      <c r="F80" s="1" t="s">
        <v>22</v>
      </c>
      <c r="G80" s="57" t="s">
        <v>29</v>
      </c>
      <c r="H80" s="1" t="s">
        <v>602</v>
      </c>
      <c r="I80" s="1" t="s">
        <v>17</v>
      </c>
      <c r="J80" s="1" t="s">
        <v>603</v>
      </c>
      <c r="K80" s="1" t="s">
        <v>399</v>
      </c>
      <c r="L80" s="1" t="s">
        <v>399</v>
      </c>
      <c r="M80" s="4">
        <v>46182.513888888891</v>
      </c>
      <c r="N80" s="1" t="s">
        <v>602</v>
      </c>
      <c r="O80" s="1" t="s">
        <v>93</v>
      </c>
      <c r="P80" s="1" t="s">
        <v>342</v>
      </c>
      <c r="Q80" s="1" t="s">
        <v>286</v>
      </c>
      <c r="R80" s="1" t="s">
        <v>439</v>
      </c>
      <c r="S80" s="1" t="s">
        <v>7</v>
      </c>
      <c r="T80" s="1" t="s">
        <v>274</v>
      </c>
      <c r="U80" s="1" t="s">
        <v>145</v>
      </c>
      <c r="V80" s="1" t="s">
        <v>561</v>
      </c>
      <c r="W80" s="1" t="s">
        <v>93</v>
      </c>
      <c r="X80" s="1" t="s">
        <v>298</v>
      </c>
      <c r="Y80" s="1">
        <v>7700089421</v>
      </c>
      <c r="Z80" s="1" t="s">
        <v>55</v>
      </c>
      <c r="AA80" s="1" t="s">
        <v>93</v>
      </c>
      <c r="AB80" s="1">
        <v>506.84</v>
      </c>
      <c r="AC80" s="1">
        <v>97.29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 t="s">
        <v>290</v>
      </c>
      <c r="AJ80" s="1" t="s">
        <v>604</v>
      </c>
      <c r="AK80" s="1" t="s">
        <v>17</v>
      </c>
      <c r="AL80" s="1" t="s">
        <v>71</v>
      </c>
      <c r="AM80" s="1" t="s">
        <v>337</v>
      </c>
      <c r="AN80" s="1" t="s">
        <v>21</v>
      </c>
      <c r="AO80" s="1" t="s">
        <v>280</v>
      </c>
      <c r="AP80" s="1" t="s">
        <v>324</v>
      </c>
      <c r="AQ80" s="1" t="s">
        <v>27</v>
      </c>
    </row>
    <row r="81" spans="1:43" x14ac:dyDescent="0.3">
      <c r="A81" s="1">
        <v>24800365</v>
      </c>
      <c r="B81" s="1">
        <v>25641666</v>
      </c>
      <c r="C81" s="1" t="s">
        <v>266</v>
      </c>
      <c r="D81" s="4">
        <v>46195.844780092593</v>
      </c>
      <c r="E81" s="4">
        <v>46197.420567129629</v>
      </c>
      <c r="F81" s="1" t="s">
        <v>26</v>
      </c>
      <c r="G81" s="1" t="s">
        <v>26</v>
      </c>
      <c r="H81" s="1" t="s">
        <v>605</v>
      </c>
      <c r="I81" s="1" t="s">
        <v>268</v>
      </c>
      <c r="J81" s="1" t="s">
        <v>606</v>
      </c>
      <c r="K81" s="1" t="s">
        <v>509</v>
      </c>
      <c r="L81" s="1" t="s">
        <v>509</v>
      </c>
      <c r="M81" s="4">
        <v>46195.713194444441</v>
      </c>
      <c r="N81" s="1">
        <v>7006</v>
      </c>
      <c r="O81" s="1" t="s">
        <v>93</v>
      </c>
      <c r="P81" s="1" t="s">
        <v>342</v>
      </c>
      <c r="Q81" s="1" t="s">
        <v>286</v>
      </c>
      <c r="R81" s="1" t="s">
        <v>272</v>
      </c>
      <c r="S81" s="1" t="s">
        <v>7</v>
      </c>
      <c r="T81" s="1" t="s">
        <v>274</v>
      </c>
      <c r="U81" s="1" t="s">
        <v>154</v>
      </c>
      <c r="V81" s="1" t="s">
        <v>297</v>
      </c>
      <c r="W81" s="1" t="s">
        <v>93</v>
      </c>
      <c r="X81" s="1" t="s">
        <v>298</v>
      </c>
      <c r="Y81" s="1">
        <v>2306392847</v>
      </c>
      <c r="Z81" s="1" t="s">
        <v>48</v>
      </c>
      <c r="AA81" s="1" t="s">
        <v>93</v>
      </c>
      <c r="AB81" s="1">
        <v>1351.71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 t="s">
        <v>607</v>
      </c>
      <c r="AJ81" s="1" t="s">
        <v>524</v>
      </c>
      <c r="AK81" s="1" t="s">
        <v>13</v>
      </c>
      <c r="AL81" s="1" t="s">
        <v>102</v>
      </c>
      <c r="AM81" s="1" t="s">
        <v>525</v>
      </c>
      <c r="AN81" s="1" t="s">
        <v>32</v>
      </c>
      <c r="AO81" s="1" t="s">
        <v>280</v>
      </c>
      <c r="AP81" s="1" t="s">
        <v>281</v>
      </c>
      <c r="AQ81" s="1" t="s">
        <v>37</v>
      </c>
    </row>
    <row r="82" spans="1:43" x14ac:dyDescent="0.3">
      <c r="A82" s="1">
        <v>24789523</v>
      </c>
      <c r="B82" s="1">
        <v>25631156</v>
      </c>
      <c r="C82" s="1" t="s">
        <v>266</v>
      </c>
      <c r="D82" s="4">
        <v>46193.597812499997</v>
      </c>
      <c r="E82" s="4">
        <v>46206.71565972222</v>
      </c>
      <c r="F82" s="1" t="s">
        <v>22</v>
      </c>
      <c r="G82" s="57" t="s">
        <v>28</v>
      </c>
      <c r="H82" s="1" t="s">
        <v>608</v>
      </c>
      <c r="I82" s="1" t="s">
        <v>17</v>
      </c>
      <c r="J82" s="1" t="s">
        <v>609</v>
      </c>
      <c r="K82" s="1" t="s">
        <v>600</v>
      </c>
      <c r="L82" s="1" t="s">
        <v>600</v>
      </c>
      <c r="M82" s="4">
        <v>46193.42083333333</v>
      </c>
      <c r="N82" s="1" t="s">
        <v>608</v>
      </c>
      <c r="O82" s="1" t="s">
        <v>93</v>
      </c>
      <c r="P82" s="1" t="s">
        <v>271</v>
      </c>
      <c r="Q82" s="1" t="s">
        <v>286</v>
      </c>
      <c r="R82" s="1" t="s">
        <v>439</v>
      </c>
      <c r="S82" s="1" t="s">
        <v>7</v>
      </c>
      <c r="T82" s="1" t="s">
        <v>274</v>
      </c>
      <c r="U82" s="1" t="s">
        <v>145</v>
      </c>
      <c r="V82" s="1" t="s">
        <v>561</v>
      </c>
      <c r="W82" s="1" t="s">
        <v>93</v>
      </c>
      <c r="X82" s="1" t="s">
        <v>276</v>
      </c>
      <c r="Y82" s="1">
        <v>5232120003</v>
      </c>
      <c r="Z82" s="1" t="s">
        <v>55</v>
      </c>
      <c r="AA82" s="1" t="s">
        <v>93</v>
      </c>
      <c r="AB82" s="1">
        <v>1263.72</v>
      </c>
      <c r="AC82" s="1">
        <v>33.64</v>
      </c>
      <c r="AD82" s="1">
        <v>0</v>
      </c>
      <c r="AE82" s="1">
        <v>0</v>
      </c>
      <c r="AF82" s="1">
        <v>33.64</v>
      </c>
      <c r="AG82" s="1">
        <v>0</v>
      </c>
      <c r="AH82" s="1">
        <v>0</v>
      </c>
      <c r="AI82" s="1" t="s">
        <v>290</v>
      </c>
      <c r="AJ82" s="1" t="s">
        <v>610</v>
      </c>
      <c r="AK82" s="1" t="s">
        <v>17</v>
      </c>
      <c r="AL82" s="1" t="s">
        <v>96</v>
      </c>
      <c r="AM82" s="1" t="s">
        <v>337</v>
      </c>
      <c r="AN82" s="1" t="s">
        <v>21</v>
      </c>
      <c r="AO82" s="1" t="s">
        <v>280</v>
      </c>
      <c r="AP82" s="1" t="s">
        <v>324</v>
      </c>
      <c r="AQ82" s="1" t="s">
        <v>27</v>
      </c>
    </row>
    <row r="83" spans="1:43" x14ac:dyDescent="0.3">
      <c r="A83" s="1">
        <v>24779709</v>
      </c>
      <c r="B83" s="1">
        <v>25621970</v>
      </c>
      <c r="C83" s="1" t="s">
        <v>266</v>
      </c>
      <c r="D83" s="4">
        <v>46191.783043981479</v>
      </c>
      <c r="E83" s="4">
        <v>46191.834432870368</v>
      </c>
      <c r="F83" s="57" t="s">
        <v>28</v>
      </c>
      <c r="G83" s="57" t="s">
        <v>28</v>
      </c>
      <c r="H83" s="1" t="s">
        <v>611</v>
      </c>
      <c r="I83" s="1" t="s">
        <v>16</v>
      </c>
      <c r="J83" s="1" t="s">
        <v>612</v>
      </c>
      <c r="K83" s="1" t="s">
        <v>372</v>
      </c>
      <c r="L83" s="1" t="s">
        <v>613</v>
      </c>
      <c r="M83" s="4">
        <v>46182.530555555553</v>
      </c>
      <c r="N83" s="1" t="s">
        <v>614</v>
      </c>
      <c r="O83" s="1" t="s">
        <v>93</v>
      </c>
      <c r="P83" s="1" t="s">
        <v>342</v>
      </c>
      <c r="Q83" s="1" t="s">
        <v>303</v>
      </c>
      <c r="R83" s="1" t="s">
        <v>273</v>
      </c>
      <c r="S83" s="1" t="s">
        <v>7</v>
      </c>
      <c r="T83" s="1" t="s">
        <v>274</v>
      </c>
      <c r="U83" s="1" t="s">
        <v>174</v>
      </c>
      <c r="V83" s="1" t="s">
        <v>366</v>
      </c>
      <c r="W83" s="1" t="s">
        <v>288</v>
      </c>
      <c r="X83" s="1" t="s">
        <v>276</v>
      </c>
      <c r="Y83" s="1">
        <v>9552474476</v>
      </c>
      <c r="Z83" s="1" t="s">
        <v>101</v>
      </c>
      <c r="AA83" s="1" t="s">
        <v>93</v>
      </c>
      <c r="AB83" s="1">
        <v>1163.19</v>
      </c>
      <c r="AC83" s="1">
        <v>50.57</v>
      </c>
      <c r="AD83" s="1">
        <v>0</v>
      </c>
      <c r="AE83" s="1">
        <v>0</v>
      </c>
      <c r="AF83" s="1">
        <v>0</v>
      </c>
      <c r="AG83" s="1">
        <v>0</v>
      </c>
      <c r="AH83" s="1">
        <v>62.03</v>
      </c>
      <c r="AI83" s="1" t="s">
        <v>290</v>
      </c>
      <c r="AJ83" s="1" t="s">
        <v>322</v>
      </c>
      <c r="AK83" s="1" t="s">
        <v>16</v>
      </c>
      <c r="AL83" s="1" t="s">
        <v>67</v>
      </c>
      <c r="AM83" s="1" t="s">
        <v>323</v>
      </c>
      <c r="AN83" s="1" t="s">
        <v>21</v>
      </c>
      <c r="AO83" s="1" t="s">
        <v>280</v>
      </c>
      <c r="AP83" s="1" t="s">
        <v>281</v>
      </c>
      <c r="AQ83" s="1" t="s">
        <v>37</v>
      </c>
    </row>
    <row r="84" spans="1:43" x14ac:dyDescent="0.3">
      <c r="A84" s="1">
        <v>24779709</v>
      </c>
      <c r="B84" s="1">
        <v>25622308</v>
      </c>
      <c r="C84" s="1" t="s">
        <v>615</v>
      </c>
      <c r="D84" s="4">
        <v>46191.783043981479</v>
      </c>
      <c r="E84" s="4">
        <v>46191.834432870368</v>
      </c>
      <c r="F84" s="57" t="s">
        <v>28</v>
      </c>
      <c r="G84" s="57" t="s">
        <v>28</v>
      </c>
      <c r="H84" s="1" t="s">
        <v>611</v>
      </c>
      <c r="I84" s="1" t="s">
        <v>16</v>
      </c>
      <c r="J84" s="1" t="s">
        <v>616</v>
      </c>
      <c r="K84" s="1" t="s">
        <v>372</v>
      </c>
      <c r="L84" s="1" t="s">
        <v>613</v>
      </c>
      <c r="M84" s="4">
        <v>46182.530555555553</v>
      </c>
      <c r="N84" s="1" t="s">
        <v>611</v>
      </c>
      <c r="O84" s="1" t="s">
        <v>93</v>
      </c>
      <c r="P84" s="1" t="s">
        <v>342</v>
      </c>
      <c r="Q84" s="1" t="s">
        <v>286</v>
      </c>
      <c r="R84" s="1" t="s">
        <v>388</v>
      </c>
      <c r="S84" s="1" t="s">
        <v>7</v>
      </c>
      <c r="T84" s="1" t="s">
        <v>274</v>
      </c>
      <c r="U84" s="1" t="s">
        <v>174</v>
      </c>
      <c r="V84" s="1" t="s">
        <v>366</v>
      </c>
      <c r="W84" s="1" t="s">
        <v>288</v>
      </c>
      <c r="X84" s="1" t="s">
        <v>276</v>
      </c>
      <c r="Y84" s="1">
        <v>9552474487</v>
      </c>
      <c r="Z84" s="1" t="s">
        <v>74</v>
      </c>
      <c r="AA84" s="1" t="s">
        <v>93</v>
      </c>
      <c r="AB84" s="1">
        <v>996.15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 t="s">
        <v>290</v>
      </c>
      <c r="AJ84" s="1" t="s">
        <v>322</v>
      </c>
      <c r="AK84" s="1" t="s">
        <v>16</v>
      </c>
      <c r="AL84" s="1" t="s">
        <v>67</v>
      </c>
      <c r="AM84" s="1" t="s">
        <v>323</v>
      </c>
      <c r="AN84" s="1" t="s">
        <v>21</v>
      </c>
      <c r="AO84" s="1" t="s">
        <v>280</v>
      </c>
      <c r="AP84" s="1" t="s">
        <v>281</v>
      </c>
      <c r="AQ84" s="1" t="s">
        <v>37</v>
      </c>
    </row>
    <row r="85" spans="1:43" x14ac:dyDescent="0.3">
      <c r="A85" s="1">
        <v>24781654</v>
      </c>
      <c r="B85" s="1">
        <v>25623914</v>
      </c>
      <c r="C85" s="1" t="s">
        <v>266</v>
      </c>
      <c r="D85" s="4">
        <v>46192.040763888886</v>
      </c>
      <c r="E85" s="4">
        <v>46192.126157407409</v>
      </c>
      <c r="F85" s="57" t="s">
        <v>28</v>
      </c>
      <c r="G85" s="57" t="s">
        <v>28</v>
      </c>
      <c r="H85" s="1" t="s">
        <v>617</v>
      </c>
      <c r="I85" s="1" t="s">
        <v>16</v>
      </c>
      <c r="J85" s="1" t="s">
        <v>618</v>
      </c>
      <c r="K85" s="1" t="s">
        <v>619</v>
      </c>
      <c r="L85" s="1" t="s">
        <v>619</v>
      </c>
      <c r="M85" s="4">
        <v>46190.527083333327</v>
      </c>
      <c r="N85" s="1" t="s">
        <v>620</v>
      </c>
      <c r="O85" s="1" t="s">
        <v>93</v>
      </c>
      <c r="P85" s="1" t="s">
        <v>342</v>
      </c>
      <c r="Q85" s="1" t="s">
        <v>303</v>
      </c>
      <c r="R85" s="1" t="s">
        <v>273</v>
      </c>
      <c r="S85" s="1" t="s">
        <v>7</v>
      </c>
      <c r="T85" s="1" t="s">
        <v>274</v>
      </c>
      <c r="U85" s="1" t="s">
        <v>174</v>
      </c>
      <c r="V85" s="1" t="s">
        <v>366</v>
      </c>
      <c r="W85" s="1" t="s">
        <v>288</v>
      </c>
      <c r="X85" s="1" t="s">
        <v>276</v>
      </c>
      <c r="Y85" s="1">
        <v>9552474477</v>
      </c>
      <c r="Z85" s="1" t="s">
        <v>101</v>
      </c>
      <c r="AA85" s="1" t="s">
        <v>93</v>
      </c>
      <c r="AB85" s="1">
        <v>656.88</v>
      </c>
      <c r="AC85" s="1">
        <v>50.57</v>
      </c>
      <c r="AD85" s="1">
        <v>0</v>
      </c>
      <c r="AE85" s="1">
        <v>0</v>
      </c>
      <c r="AF85" s="1">
        <v>0</v>
      </c>
      <c r="AG85" s="1">
        <v>0</v>
      </c>
      <c r="AH85" s="1">
        <v>62.03</v>
      </c>
      <c r="AI85" s="1" t="s">
        <v>621</v>
      </c>
      <c r="AJ85" s="1" t="s">
        <v>322</v>
      </c>
      <c r="AK85" s="1" t="s">
        <v>16</v>
      </c>
      <c r="AL85" s="1" t="s">
        <v>67</v>
      </c>
      <c r="AM85" s="1" t="s">
        <v>323</v>
      </c>
      <c r="AN85" s="1" t="s">
        <v>21</v>
      </c>
      <c r="AO85" s="1" t="s">
        <v>280</v>
      </c>
      <c r="AP85" s="1" t="s">
        <v>324</v>
      </c>
      <c r="AQ85" s="1" t="s">
        <v>27</v>
      </c>
    </row>
    <row r="86" spans="1:43" x14ac:dyDescent="0.3">
      <c r="A86" s="1">
        <v>24781654</v>
      </c>
      <c r="B86" s="1">
        <v>25623932</v>
      </c>
      <c r="C86" s="1" t="s">
        <v>615</v>
      </c>
      <c r="D86" s="4">
        <v>46192.040763888886</v>
      </c>
      <c r="E86" s="4">
        <v>46192.126157407409</v>
      </c>
      <c r="F86" s="57" t="s">
        <v>28</v>
      </c>
      <c r="G86" s="57" t="s">
        <v>28</v>
      </c>
      <c r="H86" s="1" t="s">
        <v>617</v>
      </c>
      <c r="I86" s="1" t="s">
        <v>16</v>
      </c>
      <c r="J86" s="1" t="s">
        <v>622</v>
      </c>
      <c r="K86" s="1" t="s">
        <v>619</v>
      </c>
      <c r="L86" s="1" t="s">
        <v>619</v>
      </c>
      <c r="M86" s="4">
        <v>46190.527083333327</v>
      </c>
      <c r="N86" s="1" t="s">
        <v>617</v>
      </c>
      <c r="O86" s="1" t="s">
        <v>93</v>
      </c>
      <c r="P86" s="1" t="s">
        <v>342</v>
      </c>
      <c r="Q86" s="1" t="s">
        <v>286</v>
      </c>
      <c r="R86" s="1" t="s">
        <v>388</v>
      </c>
      <c r="S86" s="1" t="s">
        <v>7</v>
      </c>
      <c r="T86" s="1" t="s">
        <v>274</v>
      </c>
      <c r="U86" s="1" t="s">
        <v>174</v>
      </c>
      <c r="V86" s="1" t="s">
        <v>366</v>
      </c>
      <c r="W86" s="1" t="s">
        <v>288</v>
      </c>
      <c r="X86" s="1" t="s">
        <v>276</v>
      </c>
      <c r="Y86" s="1">
        <v>7955247448</v>
      </c>
      <c r="Z86" s="1" t="s">
        <v>74</v>
      </c>
      <c r="AA86" s="1" t="s">
        <v>93</v>
      </c>
      <c r="AB86" s="1">
        <v>996.15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 t="s">
        <v>621</v>
      </c>
      <c r="AJ86" s="1" t="s">
        <v>322</v>
      </c>
      <c r="AK86" s="1" t="s">
        <v>16</v>
      </c>
      <c r="AL86" s="1" t="s">
        <v>67</v>
      </c>
      <c r="AM86" s="1" t="s">
        <v>323</v>
      </c>
      <c r="AN86" s="1" t="s">
        <v>21</v>
      </c>
      <c r="AO86" s="1" t="s">
        <v>280</v>
      </c>
      <c r="AP86" s="1" t="s">
        <v>324</v>
      </c>
      <c r="AQ86" s="1" t="s">
        <v>125</v>
      </c>
    </row>
    <row r="87" spans="1:43" x14ac:dyDescent="0.3">
      <c r="A87" s="1">
        <v>24778304</v>
      </c>
      <c r="B87" s="1">
        <v>25620460</v>
      </c>
      <c r="C87" s="1" t="s">
        <v>266</v>
      </c>
      <c r="D87" s="4">
        <v>46191.637743055559</v>
      </c>
      <c r="E87" s="4">
        <v>46197.500914351847</v>
      </c>
      <c r="F87" s="1" t="s">
        <v>26</v>
      </c>
      <c r="G87" s="57" t="s">
        <v>28</v>
      </c>
      <c r="H87" s="1" t="s">
        <v>623</v>
      </c>
      <c r="I87" s="1" t="s">
        <v>16</v>
      </c>
      <c r="J87" s="1" t="s">
        <v>624</v>
      </c>
      <c r="K87" s="1" t="s">
        <v>547</v>
      </c>
      <c r="L87" s="1" t="s">
        <v>547</v>
      </c>
      <c r="M87" s="4">
        <v>46189.56527777778</v>
      </c>
      <c r="N87" s="1">
        <v>4711199</v>
      </c>
      <c r="O87" s="1" t="s">
        <v>93</v>
      </c>
      <c r="P87" s="1" t="s">
        <v>342</v>
      </c>
      <c r="Q87" s="1" t="s">
        <v>286</v>
      </c>
      <c r="R87" s="1" t="s">
        <v>286</v>
      </c>
      <c r="S87" s="1" t="s">
        <v>7</v>
      </c>
      <c r="T87" s="1" t="s">
        <v>274</v>
      </c>
      <c r="U87" s="1" t="s">
        <v>167</v>
      </c>
      <c r="V87" s="1" t="s">
        <v>625</v>
      </c>
      <c r="W87" s="1" t="s">
        <v>93</v>
      </c>
      <c r="X87" s="1" t="s">
        <v>276</v>
      </c>
      <c r="Y87" s="1">
        <v>4473358374</v>
      </c>
      <c r="Z87" s="1" t="s">
        <v>129</v>
      </c>
      <c r="AA87" s="1" t="s">
        <v>93</v>
      </c>
      <c r="AB87" s="1">
        <v>85.83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 t="s">
        <v>626</v>
      </c>
      <c r="AJ87" s="1" t="s">
        <v>627</v>
      </c>
      <c r="AK87" s="1" t="s">
        <v>16</v>
      </c>
      <c r="AL87" s="1" t="s">
        <v>94</v>
      </c>
      <c r="AM87" s="1" t="s">
        <v>443</v>
      </c>
      <c r="AN87" s="1" t="s">
        <v>32</v>
      </c>
      <c r="AO87" s="1" t="s">
        <v>280</v>
      </c>
      <c r="AP87" s="1" t="s">
        <v>324</v>
      </c>
      <c r="AQ87" s="1" t="s">
        <v>125</v>
      </c>
    </row>
    <row r="88" spans="1:43" x14ac:dyDescent="0.3">
      <c r="A88" s="1">
        <v>24796956</v>
      </c>
      <c r="B88" s="1">
        <v>25637968</v>
      </c>
      <c r="C88" s="1" t="s">
        <v>266</v>
      </c>
      <c r="D88" s="4">
        <v>46195.522662037038</v>
      </c>
      <c r="E88" s="4">
        <v>46206.71565972222</v>
      </c>
      <c r="F88" s="1" t="s">
        <v>22</v>
      </c>
      <c r="G88" s="1" t="s">
        <v>26</v>
      </c>
      <c r="H88" s="1" t="s">
        <v>628</v>
      </c>
      <c r="I88" s="1" t="s">
        <v>17</v>
      </c>
      <c r="J88" s="1" t="s">
        <v>629</v>
      </c>
      <c r="K88" s="1" t="s">
        <v>509</v>
      </c>
      <c r="L88" s="1" t="s">
        <v>284</v>
      </c>
      <c r="M88" s="4">
        <v>46043.53125</v>
      </c>
      <c r="N88" s="1" t="s">
        <v>628</v>
      </c>
      <c r="O88" s="1" t="s">
        <v>93</v>
      </c>
      <c r="P88" s="1" t="s">
        <v>271</v>
      </c>
      <c r="Q88" s="1" t="s">
        <v>320</v>
      </c>
      <c r="R88" s="1" t="s">
        <v>373</v>
      </c>
      <c r="S88" s="1" t="s">
        <v>7</v>
      </c>
      <c r="T88" s="1" t="s">
        <v>274</v>
      </c>
      <c r="U88" s="1" t="s">
        <v>183</v>
      </c>
      <c r="V88" s="1" t="s">
        <v>529</v>
      </c>
      <c r="W88" s="1" t="s">
        <v>288</v>
      </c>
      <c r="X88" s="1" t="s">
        <v>276</v>
      </c>
      <c r="Y88" s="1">
        <v>2615238248</v>
      </c>
      <c r="Z88" s="1" t="s">
        <v>97</v>
      </c>
      <c r="AA88" s="1" t="s">
        <v>93</v>
      </c>
      <c r="AB88" s="1">
        <v>0</v>
      </c>
      <c r="AC88" s="1">
        <v>0</v>
      </c>
      <c r="AD88" s="1">
        <v>500</v>
      </c>
      <c r="AE88" s="1">
        <v>0</v>
      </c>
      <c r="AF88" s="1">
        <v>2.12</v>
      </c>
      <c r="AG88" s="1">
        <v>0</v>
      </c>
      <c r="AH88" s="1">
        <v>0</v>
      </c>
      <c r="AI88" s="1" t="s">
        <v>290</v>
      </c>
      <c r="AJ88" s="1" t="s">
        <v>322</v>
      </c>
      <c r="AK88" s="1" t="s">
        <v>17</v>
      </c>
      <c r="AL88" s="1" t="s">
        <v>67</v>
      </c>
      <c r="AM88" s="1" t="s">
        <v>323</v>
      </c>
      <c r="AN88" s="1" t="s">
        <v>21</v>
      </c>
      <c r="AO88" s="1" t="s">
        <v>280</v>
      </c>
      <c r="AP88" s="1" t="s">
        <v>281</v>
      </c>
      <c r="AQ88" s="1" t="s">
        <v>37</v>
      </c>
    </row>
    <row r="89" spans="1:43" x14ac:dyDescent="0.3">
      <c r="A89" s="1">
        <v>24796956</v>
      </c>
      <c r="B89" s="1">
        <v>25637969</v>
      </c>
      <c r="C89" s="1" t="s">
        <v>294</v>
      </c>
      <c r="D89" s="4">
        <v>46195.522662037038</v>
      </c>
      <c r="E89" s="4">
        <v>46206.71565972222</v>
      </c>
      <c r="F89" s="1" t="s">
        <v>22</v>
      </c>
      <c r="G89" s="1" t="s">
        <v>26</v>
      </c>
      <c r="H89" s="1" t="s">
        <v>628</v>
      </c>
      <c r="I89" s="1" t="s">
        <v>17</v>
      </c>
      <c r="J89" s="1" t="s">
        <v>629</v>
      </c>
      <c r="K89" s="1" t="s">
        <v>509</v>
      </c>
      <c r="L89" s="1" t="s">
        <v>284</v>
      </c>
      <c r="M89" s="4">
        <v>46043.53125</v>
      </c>
      <c r="N89" s="1" t="s">
        <v>628</v>
      </c>
      <c r="O89" s="1" t="s">
        <v>93</v>
      </c>
      <c r="P89" s="1" t="s">
        <v>271</v>
      </c>
      <c r="Q89" s="1" t="s">
        <v>320</v>
      </c>
      <c r="R89" s="1" t="s">
        <v>373</v>
      </c>
      <c r="S89" s="1" t="s">
        <v>7</v>
      </c>
      <c r="T89" s="1" t="s">
        <v>274</v>
      </c>
      <c r="U89" s="1" t="s">
        <v>183</v>
      </c>
      <c r="V89" s="1" t="s">
        <v>529</v>
      </c>
      <c r="W89" s="1" t="s">
        <v>288</v>
      </c>
      <c r="X89" s="1" t="s">
        <v>276</v>
      </c>
      <c r="Y89" s="1">
        <v>2615238248</v>
      </c>
      <c r="Z89" s="1" t="s">
        <v>97</v>
      </c>
      <c r="AA89" s="1" t="s">
        <v>93</v>
      </c>
      <c r="AB89" s="1">
        <v>0</v>
      </c>
      <c r="AC89" s="1">
        <v>0</v>
      </c>
      <c r="AD89" s="1">
        <v>447.38</v>
      </c>
      <c r="AE89" s="1">
        <v>0</v>
      </c>
      <c r="AF89" s="1">
        <v>0</v>
      </c>
      <c r="AG89" s="1">
        <v>0</v>
      </c>
      <c r="AH89" s="1">
        <v>0</v>
      </c>
      <c r="AI89" s="1" t="s">
        <v>290</v>
      </c>
      <c r="AJ89" s="1" t="s">
        <v>322</v>
      </c>
      <c r="AK89" s="1" t="s">
        <v>17</v>
      </c>
      <c r="AL89" s="1" t="s">
        <v>67</v>
      </c>
      <c r="AM89" s="1" t="s">
        <v>323</v>
      </c>
      <c r="AN89" s="1" t="s">
        <v>21</v>
      </c>
      <c r="AO89" s="1" t="s">
        <v>280</v>
      </c>
      <c r="AP89" s="1" t="s">
        <v>281</v>
      </c>
      <c r="AQ89" s="1" t="s">
        <v>37</v>
      </c>
    </row>
    <row r="90" spans="1:43" x14ac:dyDescent="0.3">
      <c r="A90" s="1">
        <v>24783537</v>
      </c>
      <c r="B90" s="1">
        <v>25625459</v>
      </c>
      <c r="C90" s="1" t="s">
        <v>266</v>
      </c>
      <c r="D90" s="4">
        <v>46192.532719907409</v>
      </c>
      <c r="E90" s="4">
        <v>46192.535509259258</v>
      </c>
      <c r="F90" s="57" t="s">
        <v>28</v>
      </c>
      <c r="G90" s="57" t="s">
        <v>28</v>
      </c>
      <c r="H90" s="1" t="s">
        <v>630</v>
      </c>
      <c r="I90" s="1" t="s">
        <v>268</v>
      </c>
      <c r="J90" s="1" t="s">
        <v>631</v>
      </c>
      <c r="K90" s="1" t="s">
        <v>632</v>
      </c>
      <c r="L90" s="1" t="s">
        <v>632</v>
      </c>
      <c r="M90" s="4">
        <v>46192.515972222223</v>
      </c>
      <c r="N90" s="1">
        <v>50263</v>
      </c>
      <c r="O90" s="1" t="s">
        <v>93</v>
      </c>
      <c r="P90" s="1" t="s">
        <v>342</v>
      </c>
      <c r="Q90" s="1" t="s">
        <v>286</v>
      </c>
      <c r="R90" s="1" t="s">
        <v>439</v>
      </c>
      <c r="S90" s="1" t="s">
        <v>7</v>
      </c>
      <c r="T90" s="1" t="s">
        <v>274</v>
      </c>
      <c r="U90" s="1" t="s">
        <v>213</v>
      </c>
      <c r="V90" s="1" t="s">
        <v>633</v>
      </c>
      <c r="W90" s="1" t="s">
        <v>93</v>
      </c>
      <c r="X90" s="1" t="s">
        <v>276</v>
      </c>
      <c r="Y90" s="1">
        <v>4473400126</v>
      </c>
      <c r="Z90" s="1" t="s">
        <v>127</v>
      </c>
      <c r="AA90" s="1" t="s">
        <v>93</v>
      </c>
      <c r="AB90" s="1">
        <v>0</v>
      </c>
      <c r="AC90" s="1">
        <v>178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 t="s">
        <v>634</v>
      </c>
      <c r="AJ90" s="1" t="s">
        <v>462</v>
      </c>
      <c r="AK90" s="1" t="s">
        <v>13</v>
      </c>
      <c r="AL90" s="1" t="s">
        <v>78</v>
      </c>
      <c r="AM90" s="1" t="s">
        <v>337</v>
      </c>
      <c r="AN90" s="1" t="s">
        <v>21</v>
      </c>
      <c r="AO90" s="1" t="s">
        <v>280</v>
      </c>
      <c r="AP90" s="1" t="s">
        <v>324</v>
      </c>
      <c r="AQ90" s="1" t="s">
        <v>125</v>
      </c>
    </row>
    <row r="91" spans="1:43" x14ac:dyDescent="0.3">
      <c r="A91" s="1">
        <v>24797955</v>
      </c>
      <c r="B91" s="1">
        <v>25639063</v>
      </c>
      <c r="C91" s="1" t="s">
        <v>615</v>
      </c>
      <c r="D91" s="4">
        <v>46195.591087962966</v>
      </c>
      <c r="E91" s="4">
        <v>46204.580416666657</v>
      </c>
      <c r="F91" s="1" t="s">
        <v>22</v>
      </c>
      <c r="G91" s="1" t="s">
        <v>26</v>
      </c>
      <c r="H91" s="1" t="s">
        <v>635</v>
      </c>
      <c r="I91" s="1" t="s">
        <v>16</v>
      </c>
      <c r="J91" s="1" t="s">
        <v>636</v>
      </c>
      <c r="K91" s="1" t="s">
        <v>637</v>
      </c>
      <c r="L91" s="1" t="s">
        <v>637</v>
      </c>
      <c r="M91" s="4">
        <v>46112.59097222222</v>
      </c>
      <c r="N91" s="1" t="s">
        <v>638</v>
      </c>
      <c r="O91" s="1" t="s">
        <v>93</v>
      </c>
      <c r="P91" s="1" t="s">
        <v>342</v>
      </c>
      <c r="Q91" s="1" t="s">
        <v>303</v>
      </c>
      <c r="R91" s="1" t="s">
        <v>286</v>
      </c>
      <c r="S91" s="1" t="s">
        <v>7</v>
      </c>
      <c r="T91" s="1" t="s">
        <v>274</v>
      </c>
      <c r="U91" s="1" t="s">
        <v>203</v>
      </c>
      <c r="V91" s="1" t="s">
        <v>639</v>
      </c>
      <c r="W91" s="1" t="s">
        <v>93</v>
      </c>
      <c r="X91" s="1" t="s">
        <v>276</v>
      </c>
      <c r="Y91" s="1">
        <v>2280492609</v>
      </c>
      <c r="Z91" s="1" t="s">
        <v>129</v>
      </c>
      <c r="AA91" s="1" t="s">
        <v>93</v>
      </c>
      <c r="AB91" s="1">
        <v>1257.9000000000001</v>
      </c>
      <c r="AC91" s="1">
        <v>52.72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 t="s">
        <v>640</v>
      </c>
      <c r="AJ91" s="1" t="s">
        <v>641</v>
      </c>
      <c r="AK91" s="1" t="s">
        <v>16</v>
      </c>
      <c r="AL91" s="1" t="s">
        <v>67</v>
      </c>
      <c r="AM91" s="1" t="s">
        <v>323</v>
      </c>
      <c r="AN91" s="1" t="s">
        <v>21</v>
      </c>
      <c r="AO91" s="1" t="s">
        <v>280</v>
      </c>
      <c r="AP91" s="1" t="s">
        <v>324</v>
      </c>
      <c r="AQ91" s="1" t="s">
        <v>125</v>
      </c>
    </row>
    <row r="92" spans="1:43" x14ac:dyDescent="0.3">
      <c r="A92" s="1">
        <v>24748380</v>
      </c>
      <c r="B92" s="1">
        <v>25587511</v>
      </c>
      <c r="C92" s="1" t="s">
        <v>266</v>
      </c>
      <c r="D92" s="4">
        <v>46185.474131944437</v>
      </c>
      <c r="E92" s="4">
        <v>46206.715624999997</v>
      </c>
      <c r="F92" s="1" t="s">
        <v>22</v>
      </c>
      <c r="G92" s="57" t="s">
        <v>29</v>
      </c>
      <c r="H92" s="1" t="s">
        <v>642</v>
      </c>
      <c r="I92" s="1" t="s">
        <v>17</v>
      </c>
      <c r="J92" s="1" t="s">
        <v>643</v>
      </c>
      <c r="K92" s="1" t="s">
        <v>284</v>
      </c>
      <c r="L92" s="1" t="s">
        <v>284</v>
      </c>
      <c r="M92" s="4">
        <v>46185.338888888888</v>
      </c>
      <c r="N92" s="1" t="s">
        <v>642</v>
      </c>
      <c r="O92" s="1" t="s">
        <v>93</v>
      </c>
      <c r="P92" s="1" t="s">
        <v>271</v>
      </c>
      <c r="Q92" s="1" t="s">
        <v>286</v>
      </c>
      <c r="R92" s="1" t="s">
        <v>286</v>
      </c>
      <c r="S92" s="1" t="s">
        <v>7</v>
      </c>
      <c r="T92" s="1" t="s">
        <v>274</v>
      </c>
      <c r="U92" s="1" t="s">
        <v>200</v>
      </c>
      <c r="V92" s="1" t="s">
        <v>644</v>
      </c>
      <c r="W92" s="1" t="s">
        <v>93</v>
      </c>
      <c r="X92" s="1" t="s">
        <v>276</v>
      </c>
      <c r="Y92" s="1" t="s">
        <v>93</v>
      </c>
      <c r="Z92" s="1" t="s">
        <v>53</v>
      </c>
      <c r="AA92" s="1" t="s">
        <v>93</v>
      </c>
      <c r="AB92" s="1">
        <v>1360.95</v>
      </c>
      <c r="AC92" s="1">
        <v>50.42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 t="s">
        <v>290</v>
      </c>
      <c r="AJ92" s="1" t="s">
        <v>645</v>
      </c>
      <c r="AK92" s="1" t="s">
        <v>17</v>
      </c>
      <c r="AL92" s="1" t="s">
        <v>86</v>
      </c>
      <c r="AM92" s="1" t="s">
        <v>279</v>
      </c>
      <c r="AN92" s="1" t="s">
        <v>21</v>
      </c>
      <c r="AO92" s="1" t="s">
        <v>280</v>
      </c>
      <c r="AP92" s="1" t="s">
        <v>324</v>
      </c>
      <c r="AQ92" s="1" t="s">
        <v>20</v>
      </c>
    </row>
    <row r="93" spans="1:43" x14ac:dyDescent="0.3">
      <c r="A93" s="1">
        <v>24765182</v>
      </c>
      <c r="B93" s="1">
        <v>25606757</v>
      </c>
      <c r="C93" s="1" t="s">
        <v>266</v>
      </c>
      <c r="D93" s="4">
        <v>46189.63658564815</v>
      </c>
      <c r="E93" s="4">
        <v>46206.715636574067</v>
      </c>
      <c r="F93" s="1" t="s">
        <v>22</v>
      </c>
      <c r="G93" s="57" t="s">
        <v>28</v>
      </c>
      <c r="H93" s="1" t="s">
        <v>646</v>
      </c>
      <c r="I93" s="1" t="s">
        <v>17</v>
      </c>
      <c r="J93" s="1" t="s">
        <v>647</v>
      </c>
      <c r="K93" s="1" t="s">
        <v>459</v>
      </c>
      <c r="L93" s="1" t="s">
        <v>459</v>
      </c>
      <c r="M93" s="4">
        <v>46188.48541666667</v>
      </c>
      <c r="N93" s="1" t="s">
        <v>646</v>
      </c>
      <c r="O93" s="1" t="s">
        <v>93</v>
      </c>
      <c r="P93" s="1" t="s">
        <v>271</v>
      </c>
      <c r="Q93" s="1" t="s">
        <v>286</v>
      </c>
      <c r="R93" s="1" t="s">
        <v>286</v>
      </c>
      <c r="S93" s="1" t="s">
        <v>7</v>
      </c>
      <c r="T93" s="1" t="s">
        <v>274</v>
      </c>
      <c r="U93" s="1" t="s">
        <v>203</v>
      </c>
      <c r="V93" s="1" t="s">
        <v>648</v>
      </c>
      <c r="W93" s="1" t="s">
        <v>93</v>
      </c>
      <c r="X93" s="1" t="s">
        <v>276</v>
      </c>
      <c r="Y93" s="1" t="s">
        <v>93</v>
      </c>
      <c r="Z93" s="1" t="s">
        <v>122</v>
      </c>
      <c r="AA93" s="1" t="s">
        <v>93</v>
      </c>
      <c r="AB93" s="1">
        <v>21548.73</v>
      </c>
      <c r="AC93" s="1">
        <v>64.56</v>
      </c>
      <c r="AD93" s="1">
        <v>1110.57</v>
      </c>
      <c r="AE93" s="1">
        <v>0</v>
      </c>
      <c r="AF93" s="1">
        <v>0</v>
      </c>
      <c r="AG93" s="1">
        <v>0</v>
      </c>
      <c r="AH93" s="1">
        <v>0</v>
      </c>
      <c r="AI93" s="1" t="s">
        <v>290</v>
      </c>
      <c r="AJ93" s="1" t="s">
        <v>645</v>
      </c>
      <c r="AK93" s="1" t="s">
        <v>17</v>
      </c>
      <c r="AL93" s="1" t="s">
        <v>86</v>
      </c>
      <c r="AM93" s="1" t="s">
        <v>279</v>
      </c>
      <c r="AN93" s="1" t="s">
        <v>21</v>
      </c>
      <c r="AO93" s="1" t="s">
        <v>280</v>
      </c>
      <c r="AP93" s="1" t="s">
        <v>281</v>
      </c>
      <c r="AQ93" s="1" t="s">
        <v>37</v>
      </c>
    </row>
    <row r="94" spans="1:43" x14ac:dyDescent="0.3">
      <c r="A94" s="1">
        <v>24757645</v>
      </c>
      <c r="B94" s="1">
        <v>25598207</v>
      </c>
      <c r="C94" s="1" t="s">
        <v>266</v>
      </c>
      <c r="D94" s="4">
        <v>46188.402141203696</v>
      </c>
      <c r="E94" s="4">
        <v>46192.458773148152</v>
      </c>
      <c r="F94" s="57" t="s">
        <v>28</v>
      </c>
      <c r="G94" s="57" t="s">
        <v>28</v>
      </c>
      <c r="H94" s="1" t="s">
        <v>649</v>
      </c>
      <c r="I94" s="1" t="s">
        <v>16</v>
      </c>
      <c r="J94" s="1" t="s">
        <v>650</v>
      </c>
      <c r="K94" s="1" t="s">
        <v>651</v>
      </c>
      <c r="L94" s="1" t="s">
        <v>651</v>
      </c>
      <c r="M94" s="4">
        <v>46185.720138888893</v>
      </c>
      <c r="N94" s="1">
        <v>4710457</v>
      </c>
      <c r="O94" s="1" t="s">
        <v>93</v>
      </c>
      <c r="P94" s="1" t="s">
        <v>342</v>
      </c>
      <c r="Q94" s="1" t="s">
        <v>286</v>
      </c>
      <c r="R94" s="1" t="s">
        <v>439</v>
      </c>
      <c r="S94" s="1" t="s">
        <v>7</v>
      </c>
      <c r="T94" s="1" t="s">
        <v>274</v>
      </c>
      <c r="U94" s="1" t="s">
        <v>142</v>
      </c>
      <c r="V94" s="1" t="s">
        <v>575</v>
      </c>
      <c r="W94" s="1" t="s">
        <v>93</v>
      </c>
      <c r="X94" s="1" t="s">
        <v>276</v>
      </c>
      <c r="Y94" s="1">
        <v>1952736315</v>
      </c>
      <c r="Z94" s="1" t="s">
        <v>50</v>
      </c>
      <c r="AA94" s="1" t="s">
        <v>93</v>
      </c>
      <c r="AB94" s="1">
        <v>175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 t="s">
        <v>652</v>
      </c>
      <c r="AJ94" s="1" t="s">
        <v>524</v>
      </c>
      <c r="AK94" s="1" t="s">
        <v>16</v>
      </c>
      <c r="AL94" s="1" t="s">
        <v>102</v>
      </c>
      <c r="AM94" s="1" t="s">
        <v>525</v>
      </c>
      <c r="AN94" s="1" t="s">
        <v>32</v>
      </c>
      <c r="AO94" s="1" t="s">
        <v>293</v>
      </c>
      <c r="AP94" s="1" t="s">
        <v>324</v>
      </c>
      <c r="AQ94" s="1" t="s">
        <v>27</v>
      </c>
    </row>
    <row r="95" spans="1:43" x14ac:dyDescent="0.3">
      <c r="A95" s="1">
        <v>24748257</v>
      </c>
      <c r="B95" s="1">
        <v>25587341</v>
      </c>
      <c r="C95" s="1" t="s">
        <v>266</v>
      </c>
      <c r="D95" s="4">
        <v>46185.453379629631</v>
      </c>
      <c r="E95" s="4">
        <v>46185.456331018519</v>
      </c>
      <c r="F95" s="57" t="s">
        <v>29</v>
      </c>
      <c r="G95" s="57" t="s">
        <v>29</v>
      </c>
      <c r="H95" s="1" t="s">
        <v>653</v>
      </c>
      <c r="I95" s="1" t="s">
        <v>14</v>
      </c>
      <c r="J95" s="1" t="s">
        <v>654</v>
      </c>
      <c r="K95" s="1" t="s">
        <v>547</v>
      </c>
      <c r="L95" s="1" t="s">
        <v>547</v>
      </c>
      <c r="M95" s="4">
        <v>46156.708333333343</v>
      </c>
      <c r="N95" s="1">
        <v>4707849</v>
      </c>
      <c r="O95" s="1" t="s">
        <v>93</v>
      </c>
      <c r="P95" s="1" t="s">
        <v>271</v>
      </c>
      <c r="Q95" s="1" t="s">
        <v>303</v>
      </c>
      <c r="R95" s="1" t="s">
        <v>272</v>
      </c>
      <c r="S95" s="1" t="s">
        <v>7</v>
      </c>
      <c r="T95" s="1" t="s">
        <v>274</v>
      </c>
      <c r="U95" s="1" t="s">
        <v>142</v>
      </c>
      <c r="V95" s="1" t="s">
        <v>575</v>
      </c>
      <c r="W95" s="1" t="s">
        <v>93</v>
      </c>
      <c r="X95" s="1" t="s">
        <v>276</v>
      </c>
      <c r="Y95" s="1" t="s">
        <v>93</v>
      </c>
      <c r="Z95" s="1" t="s">
        <v>50</v>
      </c>
      <c r="AA95" s="1" t="s">
        <v>93</v>
      </c>
      <c r="AB95" s="1">
        <v>0</v>
      </c>
      <c r="AC95" s="1">
        <v>62.14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 t="s">
        <v>655</v>
      </c>
      <c r="AJ95" s="1" t="s">
        <v>645</v>
      </c>
      <c r="AK95" s="1" t="s">
        <v>14</v>
      </c>
      <c r="AL95" s="1" t="s">
        <v>86</v>
      </c>
      <c r="AM95" s="1" t="s">
        <v>279</v>
      </c>
      <c r="AN95" s="1" t="s">
        <v>21</v>
      </c>
      <c r="AO95" s="1" t="s">
        <v>280</v>
      </c>
      <c r="AP95" s="1" t="s">
        <v>324</v>
      </c>
      <c r="AQ95" s="1" t="s">
        <v>20</v>
      </c>
    </row>
    <row r="96" spans="1:43" x14ac:dyDescent="0.3">
      <c r="A96" s="1">
        <v>24735476</v>
      </c>
      <c r="B96" s="1">
        <v>25573095</v>
      </c>
      <c r="C96" s="1" t="s">
        <v>266</v>
      </c>
      <c r="D96" s="4">
        <v>46182.918877314813</v>
      </c>
      <c r="E96" s="4">
        <v>46206.715613425928</v>
      </c>
      <c r="F96" s="1" t="s">
        <v>22</v>
      </c>
      <c r="G96" s="57" t="s">
        <v>29</v>
      </c>
      <c r="H96" s="1" t="s">
        <v>656</v>
      </c>
      <c r="I96" s="1" t="s">
        <v>17</v>
      </c>
      <c r="J96" s="1" t="s">
        <v>657</v>
      </c>
      <c r="K96" s="1" t="s">
        <v>372</v>
      </c>
      <c r="L96" s="1" t="s">
        <v>505</v>
      </c>
      <c r="M96" s="4">
        <v>46181.500694444447</v>
      </c>
      <c r="N96" s="1" t="s">
        <v>656</v>
      </c>
      <c r="O96" s="1" t="s">
        <v>93</v>
      </c>
      <c r="P96" s="1" t="s">
        <v>271</v>
      </c>
      <c r="Q96" s="1" t="s">
        <v>320</v>
      </c>
      <c r="R96" s="1" t="s">
        <v>373</v>
      </c>
      <c r="S96" s="1" t="s">
        <v>7</v>
      </c>
      <c r="T96" s="1" t="s">
        <v>274</v>
      </c>
      <c r="U96" s="1" t="s">
        <v>223</v>
      </c>
      <c r="V96" s="1" t="s">
        <v>658</v>
      </c>
      <c r="W96" s="1" t="s">
        <v>93</v>
      </c>
      <c r="X96" s="1" t="s">
        <v>276</v>
      </c>
      <c r="Y96" s="1">
        <v>2615495497</v>
      </c>
      <c r="Z96" s="1" t="s">
        <v>132</v>
      </c>
      <c r="AA96" s="1" t="s">
        <v>93</v>
      </c>
      <c r="AB96" s="1">
        <v>0</v>
      </c>
      <c r="AC96" s="1">
        <v>0</v>
      </c>
      <c r="AD96" s="1">
        <v>500</v>
      </c>
      <c r="AE96" s="1">
        <v>0</v>
      </c>
      <c r="AF96" s="1">
        <v>0</v>
      </c>
      <c r="AG96" s="1">
        <v>0</v>
      </c>
      <c r="AH96" s="1">
        <v>0</v>
      </c>
      <c r="AI96" s="1" t="s">
        <v>290</v>
      </c>
      <c r="AJ96" s="1" t="s">
        <v>380</v>
      </c>
      <c r="AK96" s="1" t="s">
        <v>17</v>
      </c>
      <c r="AL96" s="1" t="s">
        <v>75</v>
      </c>
      <c r="AM96" s="1" t="s">
        <v>337</v>
      </c>
      <c r="AN96" s="1" t="s">
        <v>21</v>
      </c>
      <c r="AO96" s="1" t="s">
        <v>280</v>
      </c>
      <c r="AP96" s="1" t="s">
        <v>324</v>
      </c>
      <c r="AQ96" s="1" t="s">
        <v>27</v>
      </c>
    </row>
    <row r="97" spans="1:43" x14ac:dyDescent="0.3">
      <c r="A97" s="1">
        <v>24768035</v>
      </c>
      <c r="B97" s="1">
        <v>25609799</v>
      </c>
      <c r="C97" s="1" t="s">
        <v>266</v>
      </c>
      <c r="D97" s="4">
        <v>46189.920335648138</v>
      </c>
      <c r="E97" s="4">
        <v>46206.71565972222</v>
      </c>
      <c r="F97" s="1" t="s">
        <v>22</v>
      </c>
      <c r="G97" s="57" t="s">
        <v>28</v>
      </c>
      <c r="H97" s="1" t="s">
        <v>659</v>
      </c>
      <c r="I97" s="1" t="s">
        <v>17</v>
      </c>
      <c r="J97" s="1" t="s">
        <v>660</v>
      </c>
      <c r="K97" s="1" t="s">
        <v>459</v>
      </c>
      <c r="L97" s="1" t="s">
        <v>459</v>
      </c>
      <c r="M97" s="4">
        <v>46183.404166666667</v>
      </c>
      <c r="N97" s="1" t="s">
        <v>659</v>
      </c>
      <c r="O97" s="1" t="s">
        <v>93</v>
      </c>
      <c r="P97" s="1" t="s">
        <v>271</v>
      </c>
      <c r="Q97" s="1" t="s">
        <v>320</v>
      </c>
      <c r="R97" s="1" t="s">
        <v>320</v>
      </c>
      <c r="S97" s="1" t="s">
        <v>7</v>
      </c>
      <c r="T97" s="1" t="s">
        <v>274</v>
      </c>
      <c r="U97" s="1" t="s">
        <v>203</v>
      </c>
      <c r="V97" s="1" t="s">
        <v>648</v>
      </c>
      <c r="W97" s="1" t="s">
        <v>93</v>
      </c>
      <c r="X97" s="1" t="s">
        <v>661</v>
      </c>
      <c r="Y97" s="1" t="s">
        <v>93</v>
      </c>
      <c r="Z97" s="1" t="s">
        <v>122</v>
      </c>
      <c r="AA97" s="1" t="s">
        <v>93</v>
      </c>
      <c r="AB97" s="1">
        <v>11547.02</v>
      </c>
      <c r="AC97" s="1">
        <v>0</v>
      </c>
      <c r="AD97" s="1">
        <v>371.32</v>
      </c>
      <c r="AE97" s="1">
        <v>0</v>
      </c>
      <c r="AF97" s="1">
        <v>0</v>
      </c>
      <c r="AG97" s="1">
        <v>0</v>
      </c>
      <c r="AH97" s="1">
        <v>0</v>
      </c>
      <c r="AI97" s="1" t="s">
        <v>290</v>
      </c>
      <c r="AJ97" s="1" t="s">
        <v>645</v>
      </c>
      <c r="AK97" s="1" t="s">
        <v>17</v>
      </c>
      <c r="AL97" s="1" t="s">
        <v>86</v>
      </c>
      <c r="AM97" s="1" t="s">
        <v>279</v>
      </c>
      <c r="AN97" s="1" t="s">
        <v>21</v>
      </c>
      <c r="AO97" s="1" t="s">
        <v>280</v>
      </c>
      <c r="AP97" s="1" t="s">
        <v>281</v>
      </c>
      <c r="AQ97" s="1" t="s">
        <v>37</v>
      </c>
    </row>
    <row r="98" spans="1:43" x14ac:dyDescent="0.3">
      <c r="A98" s="1">
        <v>24736518</v>
      </c>
      <c r="B98" s="1">
        <v>25574118</v>
      </c>
      <c r="C98" s="1" t="s">
        <v>266</v>
      </c>
      <c r="D98" s="4">
        <v>46182.969930555562</v>
      </c>
      <c r="E98" s="4">
        <v>46183.101215277777</v>
      </c>
      <c r="F98" s="57" t="s">
        <v>29</v>
      </c>
      <c r="G98" s="57" t="s">
        <v>29</v>
      </c>
      <c r="H98" s="1" t="s">
        <v>662</v>
      </c>
      <c r="I98" s="1" t="s">
        <v>268</v>
      </c>
      <c r="J98" s="1" t="s">
        <v>663</v>
      </c>
      <c r="K98" s="1" t="s">
        <v>270</v>
      </c>
      <c r="L98" s="1" t="s">
        <v>270</v>
      </c>
      <c r="M98" s="4">
        <v>46182.643750000003</v>
      </c>
      <c r="N98" s="1">
        <v>1544</v>
      </c>
      <c r="O98" s="1" t="s">
        <v>93</v>
      </c>
      <c r="P98" s="1" t="s">
        <v>271</v>
      </c>
      <c r="Q98" s="1" t="s">
        <v>286</v>
      </c>
      <c r="R98" s="1" t="s">
        <v>286</v>
      </c>
      <c r="S98" s="1" t="s">
        <v>9</v>
      </c>
      <c r="T98" s="1" t="s">
        <v>274</v>
      </c>
      <c r="U98" s="1" t="s">
        <v>93</v>
      </c>
      <c r="V98" s="1" t="s">
        <v>93</v>
      </c>
      <c r="W98" s="1" t="s">
        <v>93</v>
      </c>
      <c r="X98" s="1" t="s">
        <v>664</v>
      </c>
      <c r="Y98" s="1" t="s">
        <v>93</v>
      </c>
      <c r="Z98" s="1" t="s">
        <v>93</v>
      </c>
      <c r="AA98" s="1" t="s">
        <v>93</v>
      </c>
      <c r="AB98" s="1">
        <v>650</v>
      </c>
      <c r="AC98" s="1">
        <v>0</v>
      </c>
      <c r="AD98" s="1">
        <v>0</v>
      </c>
      <c r="AE98" s="1">
        <v>0</v>
      </c>
      <c r="AF98" s="1">
        <v>0</v>
      </c>
      <c r="AG98" s="1">
        <v>32.5</v>
      </c>
      <c r="AH98" s="1">
        <v>0</v>
      </c>
      <c r="AI98" s="1" t="s">
        <v>665</v>
      </c>
      <c r="AJ98" s="1" t="s">
        <v>541</v>
      </c>
      <c r="AK98" s="1" t="s">
        <v>13</v>
      </c>
      <c r="AL98" s="1" t="s">
        <v>100</v>
      </c>
      <c r="AM98" s="1" t="s">
        <v>337</v>
      </c>
      <c r="AN98" s="1" t="s">
        <v>21</v>
      </c>
      <c r="AO98" s="1" t="s">
        <v>280</v>
      </c>
      <c r="AP98" s="1" t="s">
        <v>324</v>
      </c>
      <c r="AQ98" s="1" t="s">
        <v>125</v>
      </c>
    </row>
    <row r="99" spans="1:43" x14ac:dyDescent="0.3">
      <c r="A99" s="1">
        <v>24798196</v>
      </c>
      <c r="B99" s="1">
        <v>25639260</v>
      </c>
      <c r="C99" s="1" t="s">
        <v>516</v>
      </c>
      <c r="D99" s="4">
        <v>46195.615520833337</v>
      </c>
      <c r="E99" s="4">
        <v>46195.617106481477</v>
      </c>
      <c r="F99" s="1" t="s">
        <v>26</v>
      </c>
      <c r="G99" s="1" t="s">
        <v>26</v>
      </c>
      <c r="H99" s="1" t="s">
        <v>594</v>
      </c>
      <c r="I99" s="1" t="s">
        <v>17</v>
      </c>
      <c r="J99" s="1" t="s">
        <v>595</v>
      </c>
      <c r="K99" s="1" t="s">
        <v>596</v>
      </c>
      <c r="L99" s="1" t="s">
        <v>596</v>
      </c>
      <c r="M99" s="4">
        <v>46178.434027777781</v>
      </c>
      <c r="N99" s="1" t="s">
        <v>597</v>
      </c>
      <c r="O99" s="1" t="s">
        <v>93</v>
      </c>
      <c r="P99" s="1" t="s">
        <v>271</v>
      </c>
      <c r="Q99" s="1" t="s">
        <v>388</v>
      </c>
      <c r="R99" s="1" t="s">
        <v>388</v>
      </c>
      <c r="S99" s="1" t="s">
        <v>9</v>
      </c>
      <c r="T99" s="1" t="s">
        <v>274</v>
      </c>
      <c r="U99" s="1" t="s">
        <v>141</v>
      </c>
      <c r="V99" s="1" t="s">
        <v>581</v>
      </c>
      <c r="W99" s="1" t="s">
        <v>93</v>
      </c>
      <c r="X99" s="1" t="s">
        <v>666</v>
      </c>
      <c r="Y99" s="1" t="s">
        <v>93</v>
      </c>
      <c r="Z99" s="1" t="s">
        <v>47</v>
      </c>
      <c r="AA99" s="1" t="s">
        <v>93</v>
      </c>
      <c r="AB99" s="1">
        <v>1055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 t="s">
        <v>290</v>
      </c>
      <c r="AJ99" s="1" t="s">
        <v>291</v>
      </c>
      <c r="AK99" s="1" t="s">
        <v>17</v>
      </c>
      <c r="AL99" s="1" t="s">
        <v>65</v>
      </c>
      <c r="AM99" s="1" t="s">
        <v>292</v>
      </c>
      <c r="AN99" s="1" t="s">
        <v>21</v>
      </c>
      <c r="AO99" s="1" t="s">
        <v>280</v>
      </c>
      <c r="AP99" s="1" t="s">
        <v>324</v>
      </c>
      <c r="AQ99" s="1" t="s">
        <v>125</v>
      </c>
    </row>
    <row r="100" spans="1:43" x14ac:dyDescent="0.3">
      <c r="A100" s="1">
        <v>24788725</v>
      </c>
      <c r="B100" s="1">
        <v>25630389</v>
      </c>
      <c r="C100" s="1" t="s">
        <v>266</v>
      </c>
      <c r="D100" s="4">
        <v>46193.4294212963</v>
      </c>
      <c r="E100" s="4">
        <v>46193.434166666673</v>
      </c>
      <c r="F100" s="57" t="s">
        <v>28</v>
      </c>
      <c r="G100" s="57" t="s">
        <v>28</v>
      </c>
      <c r="H100" s="1" t="s">
        <v>667</v>
      </c>
      <c r="I100" s="1" t="s">
        <v>16</v>
      </c>
      <c r="J100" s="1" t="s">
        <v>668</v>
      </c>
      <c r="K100" s="1" t="s">
        <v>669</v>
      </c>
      <c r="L100" s="1" t="s">
        <v>669</v>
      </c>
      <c r="M100" s="4">
        <v>46193.429166666669</v>
      </c>
      <c r="N100" s="1" t="s">
        <v>670</v>
      </c>
      <c r="O100" s="1" t="s">
        <v>93</v>
      </c>
      <c r="P100" s="1" t="s">
        <v>342</v>
      </c>
      <c r="Q100" s="1" t="s">
        <v>388</v>
      </c>
      <c r="R100" s="1" t="s">
        <v>286</v>
      </c>
      <c r="S100" s="1" t="s">
        <v>8</v>
      </c>
      <c r="T100" s="1" t="s">
        <v>274</v>
      </c>
      <c r="U100" s="1" t="s">
        <v>181</v>
      </c>
      <c r="V100" s="1" t="s">
        <v>671</v>
      </c>
      <c r="W100" s="1" t="s">
        <v>93</v>
      </c>
      <c r="X100" s="1" t="s">
        <v>672</v>
      </c>
      <c r="Y100" s="1" t="s">
        <v>93</v>
      </c>
      <c r="Z100" s="1" t="s">
        <v>74</v>
      </c>
      <c r="AA100" s="1" t="s">
        <v>93</v>
      </c>
      <c r="AB100" s="1">
        <v>554</v>
      </c>
      <c r="AC100" s="1">
        <v>199.6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 t="s">
        <v>673</v>
      </c>
      <c r="AJ100" s="1" t="s">
        <v>641</v>
      </c>
      <c r="AK100" s="1" t="s">
        <v>16</v>
      </c>
      <c r="AL100" s="1" t="s">
        <v>67</v>
      </c>
      <c r="AM100" s="1" t="s">
        <v>323</v>
      </c>
      <c r="AN100" s="1" t="s">
        <v>21</v>
      </c>
      <c r="AO100" s="1" t="s">
        <v>280</v>
      </c>
      <c r="AP100" s="1" t="s">
        <v>324</v>
      </c>
      <c r="AQ100" s="1" t="s">
        <v>125</v>
      </c>
    </row>
    <row r="101" spans="1:43" x14ac:dyDescent="0.3">
      <c r="A101" s="1">
        <v>24779473</v>
      </c>
      <c r="B101" s="1">
        <v>25621742</v>
      </c>
      <c r="C101" s="1" t="s">
        <v>266</v>
      </c>
      <c r="D101" s="4">
        <v>46191.774687500001</v>
      </c>
      <c r="E101" s="4">
        <v>46191.785717592589</v>
      </c>
      <c r="F101" s="57" t="s">
        <v>28</v>
      </c>
      <c r="G101" s="57" t="s">
        <v>28</v>
      </c>
      <c r="H101" s="1" t="s">
        <v>674</v>
      </c>
      <c r="I101" s="1" t="s">
        <v>268</v>
      </c>
      <c r="J101" s="1" t="s">
        <v>675</v>
      </c>
      <c r="K101" s="1" t="s">
        <v>676</v>
      </c>
      <c r="L101" s="1" t="s">
        <v>676</v>
      </c>
      <c r="M101" s="4">
        <v>46191.760416666657</v>
      </c>
      <c r="N101" s="1">
        <v>133177</v>
      </c>
      <c r="O101" s="1" t="s">
        <v>93</v>
      </c>
      <c r="P101" s="1" t="s">
        <v>342</v>
      </c>
      <c r="Q101" s="1" t="s">
        <v>286</v>
      </c>
      <c r="R101" s="1" t="s">
        <v>439</v>
      </c>
      <c r="S101" s="1" t="s">
        <v>7</v>
      </c>
      <c r="T101" s="1" t="s">
        <v>274</v>
      </c>
      <c r="U101" s="1" t="s">
        <v>181</v>
      </c>
      <c r="V101" s="1" t="s">
        <v>677</v>
      </c>
      <c r="W101" s="1" t="s">
        <v>93</v>
      </c>
      <c r="X101" s="1" t="s">
        <v>500</v>
      </c>
      <c r="Y101" s="1">
        <v>3025621741</v>
      </c>
      <c r="Z101" s="1" t="s">
        <v>99</v>
      </c>
      <c r="AA101" s="1" t="s">
        <v>93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 t="s">
        <v>678</v>
      </c>
      <c r="AJ101" s="1" t="s">
        <v>462</v>
      </c>
      <c r="AK101" s="1" t="s">
        <v>13</v>
      </c>
      <c r="AL101" s="1" t="s">
        <v>78</v>
      </c>
      <c r="AM101" s="1" t="s">
        <v>337</v>
      </c>
      <c r="AN101" s="1" t="s">
        <v>21</v>
      </c>
      <c r="AO101" s="1" t="s">
        <v>280</v>
      </c>
      <c r="AP101" s="1" t="s">
        <v>324</v>
      </c>
      <c r="AQ101" s="1" t="s">
        <v>125</v>
      </c>
    </row>
    <row r="102" spans="1:43" x14ac:dyDescent="0.3">
      <c r="A102" s="1">
        <v>24774523</v>
      </c>
      <c r="B102" s="1">
        <v>25616768</v>
      </c>
      <c r="C102" s="1" t="s">
        <v>615</v>
      </c>
      <c r="D102" s="4">
        <v>46190.904861111107</v>
      </c>
      <c r="E102" s="4">
        <v>46190.91741898148</v>
      </c>
      <c r="F102" s="57" t="s">
        <v>28</v>
      </c>
      <c r="G102" s="57" t="s">
        <v>28</v>
      </c>
      <c r="H102" s="1" t="s">
        <v>679</v>
      </c>
      <c r="I102" s="1" t="s">
        <v>16</v>
      </c>
      <c r="J102" s="1" t="s">
        <v>680</v>
      </c>
      <c r="K102" s="1" t="s">
        <v>600</v>
      </c>
      <c r="L102" s="1" t="s">
        <v>600</v>
      </c>
      <c r="M102" s="4">
        <v>46190.904861111107</v>
      </c>
      <c r="N102" s="1" t="s">
        <v>93</v>
      </c>
      <c r="O102" s="1" t="s">
        <v>93</v>
      </c>
      <c r="P102" s="1" t="s">
        <v>342</v>
      </c>
      <c r="Q102" s="1" t="s">
        <v>286</v>
      </c>
      <c r="R102" s="1" t="s">
        <v>439</v>
      </c>
      <c r="S102" s="1" t="s">
        <v>7</v>
      </c>
      <c r="T102" s="1" t="s">
        <v>274</v>
      </c>
      <c r="U102" s="1" t="s">
        <v>145</v>
      </c>
      <c r="V102" s="1" t="s">
        <v>561</v>
      </c>
      <c r="W102" s="1" t="s">
        <v>93</v>
      </c>
      <c r="X102" s="1" t="s">
        <v>500</v>
      </c>
      <c r="Y102" s="1">
        <v>0</v>
      </c>
      <c r="Z102" s="1" t="s">
        <v>74</v>
      </c>
      <c r="AA102" s="1" t="s">
        <v>93</v>
      </c>
      <c r="AB102" s="1">
        <v>1619.32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 t="s">
        <v>93</v>
      </c>
      <c r="AJ102" s="1" t="s">
        <v>681</v>
      </c>
      <c r="AK102" s="1" t="s">
        <v>16</v>
      </c>
      <c r="AL102" s="1" t="s">
        <v>92</v>
      </c>
      <c r="AM102" s="1" t="s">
        <v>682</v>
      </c>
      <c r="AN102" s="1" t="s">
        <v>21</v>
      </c>
      <c r="AO102" s="1" t="s">
        <v>280</v>
      </c>
      <c r="AP102" s="1" t="s">
        <v>324</v>
      </c>
      <c r="AQ102" s="1" t="s">
        <v>125</v>
      </c>
    </row>
    <row r="103" spans="1:43" x14ac:dyDescent="0.3">
      <c r="A103" s="1">
        <v>24736517</v>
      </c>
      <c r="B103" s="1">
        <v>25574117</v>
      </c>
      <c r="C103" s="1" t="s">
        <v>266</v>
      </c>
      <c r="D103" s="4">
        <v>46182.969918981478</v>
      </c>
      <c r="E103" s="4">
        <v>46182.976365740738</v>
      </c>
      <c r="F103" s="57" t="s">
        <v>29</v>
      </c>
      <c r="G103" s="57" t="s">
        <v>29</v>
      </c>
      <c r="H103" s="1" t="s">
        <v>683</v>
      </c>
      <c r="I103" s="1" t="s">
        <v>268</v>
      </c>
      <c r="J103" s="1" t="s">
        <v>663</v>
      </c>
      <c r="K103" s="1" t="s">
        <v>270</v>
      </c>
      <c r="L103" s="1" t="s">
        <v>270</v>
      </c>
      <c r="M103" s="4">
        <v>46182.643750000003</v>
      </c>
      <c r="N103" s="1">
        <v>1544</v>
      </c>
      <c r="O103" s="1" t="s">
        <v>93</v>
      </c>
      <c r="P103" s="1" t="s">
        <v>271</v>
      </c>
      <c r="Q103" s="1" t="s">
        <v>286</v>
      </c>
      <c r="R103" s="1" t="s">
        <v>286</v>
      </c>
      <c r="S103" s="1" t="s">
        <v>7</v>
      </c>
      <c r="T103" s="1" t="s">
        <v>274</v>
      </c>
      <c r="U103" s="1" t="s">
        <v>93</v>
      </c>
      <c r="V103" s="1" t="s">
        <v>93</v>
      </c>
      <c r="W103" s="1" t="s">
        <v>93</v>
      </c>
      <c r="X103" s="1" t="s">
        <v>500</v>
      </c>
      <c r="Y103" s="1">
        <v>3025574117</v>
      </c>
      <c r="Z103" s="1" t="s">
        <v>93</v>
      </c>
      <c r="AA103" s="1" t="s">
        <v>93</v>
      </c>
      <c r="AB103" s="1">
        <v>2274.8000000000002</v>
      </c>
      <c r="AC103" s="1">
        <v>97.29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 t="s">
        <v>665</v>
      </c>
      <c r="AJ103" s="1" t="s">
        <v>541</v>
      </c>
      <c r="AK103" s="1" t="s">
        <v>13</v>
      </c>
      <c r="AL103" s="1" t="s">
        <v>100</v>
      </c>
      <c r="AM103" s="1" t="s">
        <v>337</v>
      </c>
      <c r="AN103" s="1" t="s">
        <v>21</v>
      </c>
      <c r="AO103" s="1" t="s">
        <v>280</v>
      </c>
      <c r="AP103" s="1" t="s">
        <v>324</v>
      </c>
      <c r="AQ103" s="1" t="s">
        <v>125</v>
      </c>
    </row>
    <row r="104" spans="1:43" x14ac:dyDescent="0.3">
      <c r="A104" s="1">
        <v>24734275</v>
      </c>
      <c r="B104" s="1">
        <v>25571911</v>
      </c>
      <c r="C104" s="1" t="s">
        <v>266</v>
      </c>
      <c r="D104" s="4">
        <v>46182.755902777782</v>
      </c>
      <c r="E104" s="4">
        <v>46206.715613425928</v>
      </c>
      <c r="F104" s="1" t="s">
        <v>22</v>
      </c>
      <c r="G104" s="57" t="s">
        <v>29</v>
      </c>
      <c r="H104" s="1" t="s">
        <v>684</v>
      </c>
      <c r="I104" s="1" t="s">
        <v>17</v>
      </c>
      <c r="J104" s="1" t="s">
        <v>685</v>
      </c>
      <c r="K104" s="1" t="s">
        <v>399</v>
      </c>
      <c r="L104" s="1" t="s">
        <v>399</v>
      </c>
      <c r="M104" s="4">
        <v>46182.64166666667</v>
      </c>
      <c r="N104" s="1" t="s">
        <v>684</v>
      </c>
      <c r="O104" s="1" t="s">
        <v>93</v>
      </c>
      <c r="P104" s="1" t="s">
        <v>271</v>
      </c>
      <c r="Q104" s="1" t="s">
        <v>320</v>
      </c>
      <c r="R104" s="1" t="s">
        <v>320</v>
      </c>
      <c r="S104" s="1" t="s">
        <v>7</v>
      </c>
      <c r="T104" s="1" t="s">
        <v>274</v>
      </c>
      <c r="U104" s="1" t="s">
        <v>153</v>
      </c>
      <c r="V104" s="1" t="s">
        <v>465</v>
      </c>
      <c r="W104" s="1" t="s">
        <v>93</v>
      </c>
      <c r="X104" s="1" t="s">
        <v>500</v>
      </c>
      <c r="Y104" s="1" t="s">
        <v>93</v>
      </c>
      <c r="Z104" s="1" t="s">
        <v>64</v>
      </c>
      <c r="AA104" s="1" t="s">
        <v>93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 t="s">
        <v>290</v>
      </c>
      <c r="AJ104" s="1" t="s">
        <v>462</v>
      </c>
      <c r="AK104" s="1" t="s">
        <v>17</v>
      </c>
      <c r="AL104" s="1" t="s">
        <v>78</v>
      </c>
      <c r="AM104" s="1" t="s">
        <v>337</v>
      </c>
      <c r="AN104" s="1" t="s">
        <v>21</v>
      </c>
      <c r="AO104" s="1" t="s">
        <v>280</v>
      </c>
      <c r="AP104" s="1" t="s">
        <v>324</v>
      </c>
      <c r="AQ104" s="1" t="s">
        <v>27</v>
      </c>
    </row>
    <row r="105" spans="1:43" x14ac:dyDescent="0.3">
      <c r="A105" s="1">
        <v>24783536</v>
      </c>
      <c r="B105" s="1">
        <v>25625458</v>
      </c>
      <c r="C105" s="1" t="s">
        <v>266</v>
      </c>
      <c r="D105" s="4">
        <v>46192.532685185193</v>
      </c>
      <c r="E105" s="4">
        <v>46192.535509259258</v>
      </c>
      <c r="F105" s="57" t="s">
        <v>28</v>
      </c>
      <c r="G105" s="57" t="s">
        <v>28</v>
      </c>
      <c r="H105" s="1" t="s">
        <v>686</v>
      </c>
      <c r="I105" s="1" t="s">
        <v>268</v>
      </c>
      <c r="J105" s="1" t="s">
        <v>687</v>
      </c>
      <c r="K105" s="1" t="s">
        <v>632</v>
      </c>
      <c r="L105" s="1" t="s">
        <v>632</v>
      </c>
      <c r="M105" s="4">
        <v>46192.520833333343</v>
      </c>
      <c r="N105" s="1">
        <v>50264</v>
      </c>
      <c r="O105" s="1" t="s">
        <v>93</v>
      </c>
      <c r="P105" s="1" t="s">
        <v>342</v>
      </c>
      <c r="Q105" s="1" t="s">
        <v>286</v>
      </c>
      <c r="R105" s="1" t="s">
        <v>439</v>
      </c>
      <c r="S105" s="1" t="s">
        <v>7</v>
      </c>
      <c r="T105" s="1" t="s">
        <v>274</v>
      </c>
      <c r="U105" s="1" t="s">
        <v>213</v>
      </c>
      <c r="V105" s="1" t="s">
        <v>633</v>
      </c>
      <c r="W105" s="1" t="s">
        <v>93</v>
      </c>
      <c r="X105" s="1" t="s">
        <v>500</v>
      </c>
      <c r="Y105" s="1">
        <v>3025625458</v>
      </c>
      <c r="Z105" s="1" t="s">
        <v>127</v>
      </c>
      <c r="AA105" s="1" t="s">
        <v>93</v>
      </c>
      <c r="AB105" s="1">
        <v>0</v>
      </c>
      <c r="AC105" s="1">
        <v>220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 t="s">
        <v>688</v>
      </c>
      <c r="AJ105" s="1" t="s">
        <v>462</v>
      </c>
      <c r="AK105" s="1" t="s">
        <v>13</v>
      </c>
      <c r="AL105" s="1" t="s">
        <v>78</v>
      </c>
      <c r="AM105" s="1" t="s">
        <v>337</v>
      </c>
      <c r="AN105" s="1" t="s">
        <v>21</v>
      </c>
      <c r="AO105" s="1" t="s">
        <v>280</v>
      </c>
      <c r="AP105" s="1" t="s">
        <v>324</v>
      </c>
      <c r="AQ105" s="1" t="s">
        <v>125</v>
      </c>
    </row>
    <row r="106" spans="1:43" x14ac:dyDescent="0.3">
      <c r="A106" s="1">
        <v>24799956</v>
      </c>
      <c r="B106" s="1">
        <v>25641236</v>
      </c>
      <c r="C106" s="1" t="s">
        <v>266</v>
      </c>
      <c r="D106" s="4">
        <v>46195.831284722219</v>
      </c>
      <c r="E106" s="4">
        <v>46195.841504629629</v>
      </c>
      <c r="F106" s="1" t="s">
        <v>26</v>
      </c>
      <c r="G106" s="1" t="s">
        <v>26</v>
      </c>
      <c r="H106" s="1" t="s">
        <v>689</v>
      </c>
      <c r="I106" s="1" t="s">
        <v>268</v>
      </c>
      <c r="J106" s="1" t="s">
        <v>690</v>
      </c>
      <c r="K106" s="1" t="s">
        <v>676</v>
      </c>
      <c r="L106" s="1" t="s">
        <v>676</v>
      </c>
      <c r="M106" s="4">
        <v>46195.800694444442</v>
      </c>
      <c r="N106" s="1">
        <v>3772</v>
      </c>
      <c r="O106" s="1" t="s">
        <v>93</v>
      </c>
      <c r="P106" s="1" t="s">
        <v>342</v>
      </c>
      <c r="Q106" s="1" t="s">
        <v>303</v>
      </c>
      <c r="R106" s="1" t="s">
        <v>272</v>
      </c>
      <c r="S106" s="1" t="s">
        <v>7</v>
      </c>
      <c r="T106" s="1" t="s">
        <v>274</v>
      </c>
      <c r="U106" s="1" t="s">
        <v>215</v>
      </c>
      <c r="V106" s="1" t="s">
        <v>691</v>
      </c>
      <c r="W106" s="1" t="s">
        <v>93</v>
      </c>
      <c r="X106" s="1" t="s">
        <v>500</v>
      </c>
      <c r="Y106" s="1">
        <v>3025641236</v>
      </c>
      <c r="Z106" s="1" t="s">
        <v>48</v>
      </c>
      <c r="AA106" s="1" t="s">
        <v>93</v>
      </c>
      <c r="AB106" s="1">
        <v>998.95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 t="s">
        <v>692</v>
      </c>
      <c r="AJ106" s="1" t="s">
        <v>693</v>
      </c>
      <c r="AK106" s="1" t="s">
        <v>13</v>
      </c>
      <c r="AL106" s="1" t="s">
        <v>98</v>
      </c>
      <c r="AM106" s="1" t="s">
        <v>393</v>
      </c>
      <c r="AN106" s="1" t="s">
        <v>30</v>
      </c>
      <c r="AO106" s="1" t="s">
        <v>280</v>
      </c>
      <c r="AP106" s="1" t="s">
        <v>324</v>
      </c>
      <c r="AQ106" s="1" t="s">
        <v>125</v>
      </c>
    </row>
    <row r="107" spans="1:43" x14ac:dyDescent="0.3">
      <c r="A107" s="1">
        <v>24766558</v>
      </c>
      <c r="B107" s="1">
        <v>25608236</v>
      </c>
      <c r="C107" s="1" t="s">
        <v>266</v>
      </c>
      <c r="D107" s="4">
        <v>46189.759583333333</v>
      </c>
      <c r="E107" s="4">
        <v>46206.715648148151</v>
      </c>
      <c r="F107" s="1" t="s">
        <v>22</v>
      </c>
      <c r="G107" s="57" t="s">
        <v>28</v>
      </c>
      <c r="H107" s="1" t="s">
        <v>694</v>
      </c>
      <c r="I107" s="1" t="s">
        <v>17</v>
      </c>
      <c r="J107" s="1" t="s">
        <v>695</v>
      </c>
      <c r="K107" s="1" t="s">
        <v>319</v>
      </c>
      <c r="L107" s="1" t="s">
        <v>319</v>
      </c>
      <c r="M107" s="4">
        <v>46189.379861111112</v>
      </c>
      <c r="N107" s="1" t="s">
        <v>694</v>
      </c>
      <c r="O107" s="1" t="s">
        <v>93</v>
      </c>
      <c r="P107" s="1" t="s">
        <v>271</v>
      </c>
      <c r="Q107" s="1" t="s">
        <v>286</v>
      </c>
      <c r="R107" s="1" t="s">
        <v>286</v>
      </c>
      <c r="S107" s="1" t="s">
        <v>7</v>
      </c>
      <c r="T107" s="1" t="s">
        <v>274</v>
      </c>
      <c r="U107" s="1" t="s">
        <v>185</v>
      </c>
      <c r="V107" s="1" t="s">
        <v>316</v>
      </c>
      <c r="W107" s="1" t="s">
        <v>93</v>
      </c>
      <c r="X107" s="1" t="s">
        <v>500</v>
      </c>
      <c r="Y107" s="1">
        <v>7700089713</v>
      </c>
      <c r="Z107" s="1" t="s">
        <v>56</v>
      </c>
      <c r="AA107" s="1" t="s">
        <v>93</v>
      </c>
      <c r="AB107" s="1">
        <v>6235.8</v>
      </c>
      <c r="AC107" s="1">
        <v>70.33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 t="s">
        <v>290</v>
      </c>
      <c r="AJ107" s="1" t="s">
        <v>696</v>
      </c>
      <c r="AK107" s="1" t="s">
        <v>17</v>
      </c>
      <c r="AL107" s="1" t="s">
        <v>71</v>
      </c>
      <c r="AM107" s="1" t="s">
        <v>337</v>
      </c>
      <c r="AN107" s="1" t="s">
        <v>21</v>
      </c>
      <c r="AO107" s="1" t="s">
        <v>280</v>
      </c>
      <c r="AP107" s="1" t="s">
        <v>324</v>
      </c>
      <c r="AQ107" s="1" t="s">
        <v>27</v>
      </c>
    </row>
    <row r="108" spans="1:43" x14ac:dyDescent="0.3">
      <c r="A108" s="1">
        <v>24778529</v>
      </c>
      <c r="B108" s="1">
        <v>25620688</v>
      </c>
      <c r="C108" s="1" t="s">
        <v>266</v>
      </c>
      <c r="D108" s="4">
        <v>46191.668796296297</v>
      </c>
      <c r="E108" s="4">
        <v>46191.670601851853</v>
      </c>
      <c r="F108" s="57" t="s">
        <v>28</v>
      </c>
      <c r="G108" s="57" t="s">
        <v>28</v>
      </c>
      <c r="H108" s="1">
        <v>23391676</v>
      </c>
      <c r="I108" s="1" t="s">
        <v>14</v>
      </c>
      <c r="J108" s="1" t="s">
        <v>697</v>
      </c>
      <c r="K108" s="1" t="s">
        <v>698</v>
      </c>
      <c r="L108" s="1" t="s">
        <v>698</v>
      </c>
      <c r="M108" s="4">
        <v>46192</v>
      </c>
      <c r="N108" s="1">
        <v>4712301</v>
      </c>
      <c r="O108" s="1" t="s">
        <v>93</v>
      </c>
      <c r="P108" s="1" t="s">
        <v>342</v>
      </c>
      <c r="Q108" s="1" t="s">
        <v>286</v>
      </c>
      <c r="R108" s="1" t="s">
        <v>272</v>
      </c>
      <c r="S108" s="1" t="s">
        <v>9</v>
      </c>
      <c r="T108" s="1" t="s">
        <v>274</v>
      </c>
      <c r="U108" s="1" t="s">
        <v>217</v>
      </c>
      <c r="V108" s="1" t="s">
        <v>699</v>
      </c>
      <c r="W108" s="1" t="s">
        <v>93</v>
      </c>
      <c r="X108" s="1" t="s">
        <v>700</v>
      </c>
      <c r="Y108" s="1" t="s">
        <v>93</v>
      </c>
      <c r="Z108" s="1" t="s">
        <v>130</v>
      </c>
      <c r="AA108" s="1" t="s">
        <v>93</v>
      </c>
      <c r="AB108" s="1">
        <v>918</v>
      </c>
      <c r="AC108" s="1">
        <v>150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 t="s">
        <v>701</v>
      </c>
      <c r="AJ108" s="1" t="s">
        <v>702</v>
      </c>
      <c r="AK108" s="1" t="s">
        <v>14</v>
      </c>
      <c r="AL108" s="1" t="s">
        <v>67</v>
      </c>
      <c r="AM108" s="1" t="s">
        <v>323</v>
      </c>
      <c r="AN108" s="1" t="s">
        <v>21</v>
      </c>
      <c r="AO108" s="1" t="s">
        <v>280</v>
      </c>
      <c r="AP108" s="1" t="s">
        <v>324</v>
      </c>
      <c r="AQ108" s="1" t="s">
        <v>125</v>
      </c>
    </row>
    <row r="109" spans="1:43" x14ac:dyDescent="0.3">
      <c r="A109" s="1">
        <v>24803447</v>
      </c>
      <c r="B109" s="1">
        <v>25644787</v>
      </c>
      <c r="C109" s="1" t="s">
        <v>266</v>
      </c>
      <c r="D109" s="4">
        <v>46196.51152777778</v>
      </c>
      <c r="E109" s="4">
        <v>46206.713090277779</v>
      </c>
      <c r="F109" s="1" t="s">
        <v>22</v>
      </c>
      <c r="G109" s="1" t="s">
        <v>26</v>
      </c>
      <c r="H109" s="1" t="s">
        <v>703</v>
      </c>
      <c r="I109" s="1" t="s">
        <v>17</v>
      </c>
      <c r="J109" s="1" t="s">
        <v>704</v>
      </c>
      <c r="K109" s="1" t="s">
        <v>435</v>
      </c>
      <c r="L109" s="1" t="s">
        <v>435</v>
      </c>
      <c r="M109" s="4">
        <v>46191.6</v>
      </c>
      <c r="N109" s="1" t="s">
        <v>705</v>
      </c>
      <c r="O109" s="1" t="s">
        <v>93</v>
      </c>
      <c r="P109" s="1" t="s">
        <v>271</v>
      </c>
      <c r="Q109" s="1" t="s">
        <v>286</v>
      </c>
      <c r="R109" s="1" t="s">
        <v>286</v>
      </c>
      <c r="S109" s="1" t="s">
        <v>9</v>
      </c>
      <c r="T109" s="1" t="s">
        <v>274</v>
      </c>
      <c r="U109" s="1" t="s">
        <v>148</v>
      </c>
      <c r="V109" s="1" t="s">
        <v>287</v>
      </c>
      <c r="W109" s="1" t="s">
        <v>288</v>
      </c>
      <c r="X109" s="1" t="s">
        <v>706</v>
      </c>
      <c r="Y109" s="1" t="s">
        <v>93</v>
      </c>
      <c r="Z109" s="1" t="s">
        <v>59</v>
      </c>
      <c r="AA109" s="1" t="s">
        <v>93</v>
      </c>
      <c r="AB109" s="1">
        <v>1959.768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55</v>
      </c>
      <c r="AI109" s="1" t="s">
        <v>290</v>
      </c>
      <c r="AJ109" s="1" t="s">
        <v>707</v>
      </c>
      <c r="AK109" s="1" t="s">
        <v>17</v>
      </c>
      <c r="AL109" s="1" t="s">
        <v>69</v>
      </c>
      <c r="AM109" s="1" t="s">
        <v>337</v>
      </c>
      <c r="AN109" s="1" t="s">
        <v>21</v>
      </c>
      <c r="AO109" s="1" t="s">
        <v>280</v>
      </c>
      <c r="AP109" s="1" t="s">
        <v>324</v>
      </c>
      <c r="AQ109" s="1" t="s">
        <v>27</v>
      </c>
    </row>
    <row r="110" spans="1:43" x14ac:dyDescent="0.3">
      <c r="A110" s="1">
        <v>24770899</v>
      </c>
      <c r="B110" s="1">
        <v>25612570</v>
      </c>
      <c r="C110" s="1" t="s">
        <v>266</v>
      </c>
      <c r="D110" s="4">
        <v>46190.519641203697</v>
      </c>
      <c r="E110" s="4">
        <v>46190.611956018518</v>
      </c>
      <c r="F110" s="57" t="s">
        <v>28</v>
      </c>
      <c r="G110" s="57" t="s">
        <v>28</v>
      </c>
      <c r="H110" s="1" t="s">
        <v>708</v>
      </c>
      <c r="I110" s="1" t="s">
        <v>268</v>
      </c>
      <c r="J110" s="1" t="s">
        <v>709</v>
      </c>
      <c r="K110" s="1" t="s">
        <v>270</v>
      </c>
      <c r="L110" s="1" t="s">
        <v>270</v>
      </c>
      <c r="M110" s="4">
        <v>46190.320138888892</v>
      </c>
      <c r="N110" s="1">
        <v>114592</v>
      </c>
      <c r="O110" s="1" t="s">
        <v>93</v>
      </c>
      <c r="P110" s="1" t="s">
        <v>271</v>
      </c>
      <c r="Q110" s="1" t="s">
        <v>286</v>
      </c>
      <c r="R110" s="1" t="s">
        <v>286</v>
      </c>
      <c r="S110" s="1" t="s">
        <v>9</v>
      </c>
      <c r="T110" s="1" t="s">
        <v>274</v>
      </c>
      <c r="U110" s="1" t="s">
        <v>149</v>
      </c>
      <c r="V110" s="1" t="s">
        <v>710</v>
      </c>
      <c r="W110" s="1" t="s">
        <v>93</v>
      </c>
      <c r="X110" s="1" t="s">
        <v>711</v>
      </c>
      <c r="Y110" s="1" t="s">
        <v>93</v>
      </c>
      <c r="Z110" s="1" t="s">
        <v>48</v>
      </c>
      <c r="AA110" s="1" t="s">
        <v>93</v>
      </c>
      <c r="AB110" s="1">
        <v>1320</v>
      </c>
      <c r="AC110" s="1">
        <v>0</v>
      </c>
      <c r="AD110" s="1">
        <v>0</v>
      </c>
      <c r="AE110" s="1">
        <v>0</v>
      </c>
      <c r="AF110" s="1">
        <v>0</v>
      </c>
      <c r="AG110" s="1">
        <v>46.2</v>
      </c>
      <c r="AH110" s="1">
        <v>0</v>
      </c>
      <c r="AI110" s="1" t="s">
        <v>712</v>
      </c>
      <c r="AJ110" s="1" t="s">
        <v>403</v>
      </c>
      <c r="AK110" s="1" t="s">
        <v>13</v>
      </c>
      <c r="AL110" s="1" t="s">
        <v>73</v>
      </c>
      <c r="AM110" s="1" t="s">
        <v>337</v>
      </c>
      <c r="AN110" s="1" t="s">
        <v>21</v>
      </c>
      <c r="AO110" s="1" t="s">
        <v>280</v>
      </c>
      <c r="AP110" s="1" t="s">
        <v>324</v>
      </c>
      <c r="AQ110" s="1" t="s">
        <v>125</v>
      </c>
    </row>
    <row r="111" spans="1:43" x14ac:dyDescent="0.3">
      <c r="A111" s="1">
        <v>24744579</v>
      </c>
      <c r="B111" s="1">
        <v>25583206</v>
      </c>
      <c r="C111" s="1" t="s">
        <v>266</v>
      </c>
      <c r="D111" s="4">
        <v>46184.682511574072</v>
      </c>
      <c r="E111" s="4">
        <v>46206.712685185194</v>
      </c>
      <c r="F111" s="1" t="s">
        <v>22</v>
      </c>
      <c r="G111" s="57" t="s">
        <v>29</v>
      </c>
      <c r="H111" s="1" t="s">
        <v>713</v>
      </c>
      <c r="I111" s="1" t="s">
        <v>17</v>
      </c>
      <c r="J111" s="1" t="s">
        <v>714</v>
      </c>
      <c r="K111" s="1" t="s">
        <v>319</v>
      </c>
      <c r="L111" s="1" t="s">
        <v>319</v>
      </c>
      <c r="M111" s="4">
        <v>46184.331250000003</v>
      </c>
      <c r="N111" s="1" t="s">
        <v>715</v>
      </c>
      <c r="O111" s="1" t="s">
        <v>93</v>
      </c>
      <c r="P111" s="1" t="s">
        <v>271</v>
      </c>
      <c r="Q111" s="1" t="s">
        <v>286</v>
      </c>
      <c r="R111" s="1" t="s">
        <v>286</v>
      </c>
      <c r="S111" s="1" t="s">
        <v>9</v>
      </c>
      <c r="T111" s="1" t="s">
        <v>274</v>
      </c>
      <c r="U111" s="1" t="s">
        <v>173</v>
      </c>
      <c r="V111" s="1" t="s">
        <v>483</v>
      </c>
      <c r="W111" s="1" t="s">
        <v>93</v>
      </c>
      <c r="X111" s="1" t="s">
        <v>716</v>
      </c>
      <c r="Y111" s="1" t="s">
        <v>93</v>
      </c>
      <c r="Z111" s="1" t="s">
        <v>85</v>
      </c>
      <c r="AA111" s="1" t="s">
        <v>93</v>
      </c>
      <c r="AB111" s="1">
        <v>2595.8717999999999</v>
      </c>
      <c r="AC111" s="1">
        <v>84.56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 t="s">
        <v>290</v>
      </c>
      <c r="AJ111" s="1" t="s">
        <v>355</v>
      </c>
      <c r="AK111" s="1" t="s">
        <v>17</v>
      </c>
      <c r="AL111" s="1" t="s">
        <v>75</v>
      </c>
      <c r="AM111" s="1" t="s">
        <v>337</v>
      </c>
      <c r="AN111" s="1" t="s">
        <v>21</v>
      </c>
      <c r="AO111" s="1" t="s">
        <v>280</v>
      </c>
      <c r="AP111" s="1" t="s">
        <v>324</v>
      </c>
      <c r="AQ111" s="1" t="s">
        <v>27</v>
      </c>
    </row>
    <row r="112" spans="1:43" x14ac:dyDescent="0.3">
      <c r="A112" s="1">
        <v>24744579</v>
      </c>
      <c r="B112" s="1">
        <v>25583207</v>
      </c>
      <c r="C112" s="1" t="s">
        <v>294</v>
      </c>
      <c r="D112" s="4">
        <v>46184.682511574072</v>
      </c>
      <c r="E112" s="4">
        <v>46206.712685185194</v>
      </c>
      <c r="F112" s="1" t="s">
        <v>22</v>
      </c>
      <c r="G112" s="57" t="s">
        <v>29</v>
      </c>
      <c r="H112" s="1" t="s">
        <v>713</v>
      </c>
      <c r="I112" s="1" t="s">
        <v>17</v>
      </c>
      <c r="J112" s="1" t="s">
        <v>714</v>
      </c>
      <c r="K112" s="1" t="s">
        <v>319</v>
      </c>
      <c r="L112" s="1" t="s">
        <v>319</v>
      </c>
      <c r="M112" s="4">
        <v>46184.331250000003</v>
      </c>
      <c r="N112" s="1" t="s">
        <v>715</v>
      </c>
      <c r="O112" s="1" t="s">
        <v>93</v>
      </c>
      <c r="P112" s="1" t="s">
        <v>271</v>
      </c>
      <c r="Q112" s="1" t="s">
        <v>286</v>
      </c>
      <c r="R112" s="1" t="s">
        <v>286</v>
      </c>
      <c r="S112" s="1" t="s">
        <v>9</v>
      </c>
      <c r="T112" s="1" t="s">
        <v>274</v>
      </c>
      <c r="U112" s="1" t="s">
        <v>173</v>
      </c>
      <c r="V112" s="1" t="s">
        <v>483</v>
      </c>
      <c r="W112" s="1" t="s">
        <v>93</v>
      </c>
      <c r="X112" s="1" t="s">
        <v>716</v>
      </c>
      <c r="Y112" s="1" t="s">
        <v>93</v>
      </c>
      <c r="Z112" s="1" t="s">
        <v>85</v>
      </c>
      <c r="AA112" s="1" t="s">
        <v>93</v>
      </c>
      <c r="AB112" s="1">
        <v>2595.8717999999999</v>
      </c>
      <c r="AC112" s="1">
        <v>84.56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 t="s">
        <v>290</v>
      </c>
      <c r="AJ112" s="1" t="s">
        <v>355</v>
      </c>
      <c r="AK112" s="1" t="s">
        <v>17</v>
      </c>
      <c r="AL112" s="1" t="s">
        <v>75</v>
      </c>
      <c r="AM112" s="1" t="s">
        <v>337</v>
      </c>
      <c r="AN112" s="1" t="s">
        <v>21</v>
      </c>
      <c r="AO112" s="1" t="s">
        <v>280</v>
      </c>
      <c r="AP112" s="1" t="s">
        <v>324</v>
      </c>
      <c r="AQ112" s="1" t="s">
        <v>27</v>
      </c>
    </row>
    <row r="113" spans="1:43" x14ac:dyDescent="0.3">
      <c r="A113" s="1">
        <v>24782879</v>
      </c>
      <c r="B113" s="1">
        <v>25624759</v>
      </c>
      <c r="C113" s="1" t="s">
        <v>266</v>
      </c>
      <c r="D113" s="4">
        <v>46192.460358796299</v>
      </c>
      <c r="E113" s="4">
        <v>46193.13554398148</v>
      </c>
      <c r="F113" s="57" t="s">
        <v>28</v>
      </c>
      <c r="G113" s="57" t="s">
        <v>28</v>
      </c>
      <c r="H113" s="1">
        <v>23399707</v>
      </c>
      <c r="I113" s="1" t="s">
        <v>14</v>
      </c>
      <c r="J113" s="1" t="s">
        <v>717</v>
      </c>
      <c r="K113" s="1" t="s">
        <v>718</v>
      </c>
      <c r="L113" s="1" t="s">
        <v>718</v>
      </c>
      <c r="M113" s="4">
        <v>46192</v>
      </c>
      <c r="N113" s="1">
        <v>4712739</v>
      </c>
      <c r="O113" s="1" t="s">
        <v>93</v>
      </c>
      <c r="P113" s="1" t="s">
        <v>342</v>
      </c>
      <c r="Q113" s="1" t="s">
        <v>286</v>
      </c>
      <c r="R113" s="1" t="s">
        <v>286</v>
      </c>
      <c r="S113" s="1" t="s">
        <v>9</v>
      </c>
      <c r="T113" s="1" t="s">
        <v>274</v>
      </c>
      <c r="U113" s="1" t="s">
        <v>142</v>
      </c>
      <c r="V113" s="1" t="s">
        <v>575</v>
      </c>
      <c r="W113" s="1" t="s">
        <v>93</v>
      </c>
      <c r="X113" s="1" t="s">
        <v>719</v>
      </c>
      <c r="Y113" s="1" t="s">
        <v>93</v>
      </c>
      <c r="Z113" s="1" t="s">
        <v>50</v>
      </c>
      <c r="AA113" s="1" t="s">
        <v>93</v>
      </c>
      <c r="AB113" s="1">
        <v>1500</v>
      </c>
      <c r="AC113" s="1">
        <v>675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 t="s">
        <v>720</v>
      </c>
      <c r="AJ113" s="1" t="s">
        <v>707</v>
      </c>
      <c r="AK113" s="1" t="s">
        <v>14</v>
      </c>
      <c r="AL113" s="1" t="s">
        <v>69</v>
      </c>
      <c r="AM113" s="1" t="s">
        <v>337</v>
      </c>
      <c r="AN113" s="1" t="s">
        <v>21</v>
      </c>
      <c r="AO113" s="1" t="s">
        <v>280</v>
      </c>
      <c r="AP113" s="1" t="s">
        <v>324</v>
      </c>
      <c r="AQ113" s="1" t="s">
        <v>27</v>
      </c>
    </row>
    <row r="114" spans="1:43" x14ac:dyDescent="0.3">
      <c r="A114" s="1">
        <v>24782880</v>
      </c>
      <c r="B114" s="1">
        <v>25624760</v>
      </c>
      <c r="C114" s="1" t="s">
        <v>266</v>
      </c>
      <c r="D114" s="4">
        <v>46192.460358796299</v>
      </c>
      <c r="E114" s="4">
        <v>46193.13554398148</v>
      </c>
      <c r="F114" s="57" t="s">
        <v>28</v>
      </c>
      <c r="G114" s="57" t="s">
        <v>28</v>
      </c>
      <c r="H114" s="1">
        <v>23399732</v>
      </c>
      <c r="I114" s="1" t="s">
        <v>14</v>
      </c>
      <c r="J114" s="1" t="s">
        <v>717</v>
      </c>
      <c r="K114" s="1" t="s">
        <v>718</v>
      </c>
      <c r="L114" s="1" t="s">
        <v>718</v>
      </c>
      <c r="M114" s="4">
        <v>46192</v>
      </c>
      <c r="N114" s="1">
        <v>4712739</v>
      </c>
      <c r="O114" s="1" t="s">
        <v>93</v>
      </c>
      <c r="P114" s="1" t="s">
        <v>342</v>
      </c>
      <c r="Q114" s="1" t="s">
        <v>286</v>
      </c>
      <c r="R114" s="1" t="s">
        <v>286</v>
      </c>
      <c r="S114" s="1" t="s">
        <v>9</v>
      </c>
      <c r="T114" s="1" t="s">
        <v>274</v>
      </c>
      <c r="U114" s="1" t="s">
        <v>142</v>
      </c>
      <c r="V114" s="1" t="s">
        <v>575</v>
      </c>
      <c r="W114" s="1" t="s">
        <v>93</v>
      </c>
      <c r="X114" s="1" t="s">
        <v>719</v>
      </c>
      <c r="Y114" s="1" t="s">
        <v>93</v>
      </c>
      <c r="Z114" s="1" t="s">
        <v>50</v>
      </c>
      <c r="AA114" s="1" t="s">
        <v>93</v>
      </c>
      <c r="AB114" s="1">
        <v>1500</v>
      </c>
      <c r="AC114" s="1">
        <v>675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 t="s">
        <v>720</v>
      </c>
      <c r="AJ114" s="1" t="s">
        <v>707</v>
      </c>
      <c r="AK114" s="1" t="s">
        <v>14</v>
      </c>
      <c r="AL114" s="1" t="s">
        <v>69</v>
      </c>
      <c r="AM114" s="1" t="s">
        <v>337</v>
      </c>
      <c r="AN114" s="1" t="s">
        <v>21</v>
      </c>
      <c r="AO114" s="1" t="s">
        <v>280</v>
      </c>
      <c r="AP114" s="1" t="s">
        <v>324</v>
      </c>
      <c r="AQ114" s="1" t="s">
        <v>27</v>
      </c>
    </row>
    <row r="115" spans="1:43" x14ac:dyDescent="0.3">
      <c r="A115" s="1">
        <v>24782933</v>
      </c>
      <c r="B115" s="1">
        <v>25624806</v>
      </c>
      <c r="C115" s="1" t="s">
        <v>266</v>
      </c>
      <c r="D115" s="4">
        <v>46192.46733796296</v>
      </c>
      <c r="E115" s="4">
        <v>46193.139432870368</v>
      </c>
      <c r="F115" s="57" t="s">
        <v>28</v>
      </c>
      <c r="G115" s="57" t="s">
        <v>28</v>
      </c>
      <c r="H115" s="1" t="s">
        <v>721</v>
      </c>
      <c r="I115" s="1" t="s">
        <v>14</v>
      </c>
      <c r="J115" s="1" t="s">
        <v>717</v>
      </c>
      <c r="K115" s="1" t="s">
        <v>547</v>
      </c>
      <c r="L115" s="1" t="s">
        <v>547</v>
      </c>
      <c r="M115" s="4">
        <v>46192.459027777782</v>
      </c>
      <c r="N115" s="1">
        <v>4712624</v>
      </c>
      <c r="O115" s="1" t="s">
        <v>93</v>
      </c>
      <c r="P115" s="1" t="s">
        <v>342</v>
      </c>
      <c r="Q115" s="1" t="s">
        <v>286</v>
      </c>
      <c r="R115" s="1" t="s">
        <v>286</v>
      </c>
      <c r="S115" s="1" t="s">
        <v>9</v>
      </c>
      <c r="T115" s="1" t="s">
        <v>274</v>
      </c>
      <c r="U115" s="1" t="s">
        <v>142</v>
      </c>
      <c r="V115" s="1" t="s">
        <v>575</v>
      </c>
      <c r="W115" s="1" t="s">
        <v>93</v>
      </c>
      <c r="X115" s="1" t="s">
        <v>722</v>
      </c>
      <c r="Y115" s="1" t="s">
        <v>93</v>
      </c>
      <c r="Z115" s="1" t="s">
        <v>50</v>
      </c>
      <c r="AA115" s="1" t="s">
        <v>93</v>
      </c>
      <c r="AB115" s="1">
        <v>1188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 t="s">
        <v>723</v>
      </c>
      <c r="AJ115" s="1" t="s">
        <v>707</v>
      </c>
      <c r="AK115" s="1" t="s">
        <v>14</v>
      </c>
      <c r="AL115" s="1" t="s">
        <v>69</v>
      </c>
      <c r="AM115" s="1" t="s">
        <v>337</v>
      </c>
      <c r="AN115" s="1" t="s">
        <v>21</v>
      </c>
      <c r="AO115" s="1" t="s">
        <v>280</v>
      </c>
      <c r="AP115" s="1" t="s">
        <v>324</v>
      </c>
      <c r="AQ115" s="1" t="s">
        <v>27</v>
      </c>
    </row>
    <row r="116" spans="1:43" x14ac:dyDescent="0.3">
      <c r="A116" s="1">
        <v>24782933</v>
      </c>
      <c r="B116" s="1">
        <v>25624807</v>
      </c>
      <c r="C116" s="1" t="s">
        <v>294</v>
      </c>
      <c r="D116" s="4">
        <v>46192.46733796296</v>
      </c>
      <c r="E116" s="4">
        <v>46193.139432870368</v>
      </c>
      <c r="F116" s="57" t="s">
        <v>28</v>
      </c>
      <c r="G116" s="57" t="s">
        <v>28</v>
      </c>
      <c r="H116" s="1" t="s">
        <v>721</v>
      </c>
      <c r="I116" s="1" t="s">
        <v>14</v>
      </c>
      <c r="J116" s="1" t="s">
        <v>724</v>
      </c>
      <c r="K116" s="1" t="s">
        <v>547</v>
      </c>
      <c r="L116" s="1" t="s">
        <v>547</v>
      </c>
      <c r="M116" s="4">
        <v>46192.459027777782</v>
      </c>
      <c r="N116" s="1">
        <v>4712624</v>
      </c>
      <c r="O116" s="1" t="s">
        <v>93</v>
      </c>
      <c r="P116" s="1" t="s">
        <v>342</v>
      </c>
      <c r="Q116" s="1" t="s">
        <v>286</v>
      </c>
      <c r="R116" s="1" t="s">
        <v>286</v>
      </c>
      <c r="S116" s="1" t="s">
        <v>9</v>
      </c>
      <c r="T116" s="1" t="s">
        <v>274</v>
      </c>
      <c r="U116" s="1" t="s">
        <v>142</v>
      </c>
      <c r="V116" s="1" t="s">
        <v>575</v>
      </c>
      <c r="W116" s="1" t="s">
        <v>93</v>
      </c>
      <c r="X116" s="1" t="s">
        <v>722</v>
      </c>
      <c r="Y116" s="1" t="s">
        <v>93</v>
      </c>
      <c r="Z116" s="1" t="s">
        <v>50</v>
      </c>
      <c r="AA116" s="1" t="s">
        <v>93</v>
      </c>
      <c r="AB116" s="1">
        <v>1188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 t="s">
        <v>723</v>
      </c>
      <c r="AJ116" s="1" t="s">
        <v>707</v>
      </c>
      <c r="AK116" s="1" t="s">
        <v>14</v>
      </c>
      <c r="AL116" s="1" t="s">
        <v>69</v>
      </c>
      <c r="AM116" s="1" t="s">
        <v>337</v>
      </c>
      <c r="AN116" s="1" t="s">
        <v>21</v>
      </c>
      <c r="AO116" s="1" t="s">
        <v>280</v>
      </c>
      <c r="AP116" s="1" t="s">
        <v>324</v>
      </c>
      <c r="AQ116" s="1" t="s">
        <v>27</v>
      </c>
    </row>
    <row r="117" spans="1:43" x14ac:dyDescent="0.3">
      <c r="A117" s="1">
        <v>24752245</v>
      </c>
      <c r="B117" s="1">
        <v>25592535</v>
      </c>
      <c r="C117" s="1" t="s">
        <v>266</v>
      </c>
      <c r="D117" s="4">
        <v>46185.957662037043</v>
      </c>
      <c r="E117" s="4">
        <v>46205.519467592603</v>
      </c>
      <c r="F117" s="1" t="s">
        <v>22</v>
      </c>
      <c r="G117" s="57" t="s">
        <v>29</v>
      </c>
      <c r="H117" s="1" t="s">
        <v>725</v>
      </c>
      <c r="I117" s="1" t="s">
        <v>268</v>
      </c>
      <c r="J117" s="1" t="s">
        <v>726</v>
      </c>
      <c r="K117" s="1" t="s">
        <v>727</v>
      </c>
      <c r="L117" s="1" t="s">
        <v>727</v>
      </c>
      <c r="M117" s="4">
        <v>46185.817361111112</v>
      </c>
      <c r="N117" s="1">
        <v>20892</v>
      </c>
      <c r="O117" s="1" t="s">
        <v>93</v>
      </c>
      <c r="P117" s="1" t="s">
        <v>342</v>
      </c>
      <c r="Q117" s="1" t="s">
        <v>286</v>
      </c>
      <c r="R117" s="1" t="s">
        <v>272</v>
      </c>
      <c r="S117" s="1" t="s">
        <v>9</v>
      </c>
      <c r="T117" s="1" t="s">
        <v>274</v>
      </c>
      <c r="U117" s="1" t="s">
        <v>147</v>
      </c>
      <c r="V117" s="1" t="s">
        <v>728</v>
      </c>
      <c r="W117" s="1" t="s">
        <v>93</v>
      </c>
      <c r="X117" s="1" t="s">
        <v>729</v>
      </c>
      <c r="Y117" s="1" t="s">
        <v>93</v>
      </c>
      <c r="Z117" s="1" t="s">
        <v>58</v>
      </c>
      <c r="AA117" s="1" t="s">
        <v>93</v>
      </c>
      <c r="AB117" s="1">
        <v>9637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 t="s">
        <v>730</v>
      </c>
      <c r="AJ117" s="1" t="s">
        <v>731</v>
      </c>
      <c r="AK117" s="1" t="s">
        <v>13</v>
      </c>
      <c r="AL117" s="1" t="s">
        <v>88</v>
      </c>
      <c r="AM117" s="1" t="s">
        <v>513</v>
      </c>
      <c r="AN117" s="1" t="s">
        <v>23</v>
      </c>
      <c r="AO117" s="1" t="s">
        <v>732</v>
      </c>
      <c r="AP117" s="1" t="s">
        <v>324</v>
      </c>
      <c r="AQ117" s="1" t="s">
        <v>125</v>
      </c>
    </row>
    <row r="118" spans="1:43" x14ac:dyDescent="0.3">
      <c r="A118" s="1">
        <v>24798196</v>
      </c>
      <c r="B118" s="1">
        <v>25639257</v>
      </c>
      <c r="C118" s="1" t="s">
        <v>266</v>
      </c>
      <c r="D118" s="4">
        <v>46195.615520833337</v>
      </c>
      <c r="E118" s="4">
        <v>46195.617106481477</v>
      </c>
      <c r="F118" s="1" t="s">
        <v>26</v>
      </c>
      <c r="G118" s="1" t="s">
        <v>26</v>
      </c>
      <c r="H118" s="1" t="s">
        <v>594</v>
      </c>
      <c r="I118" s="1" t="s">
        <v>17</v>
      </c>
      <c r="J118" s="1" t="s">
        <v>595</v>
      </c>
      <c r="K118" s="1" t="s">
        <v>596</v>
      </c>
      <c r="L118" s="1" t="s">
        <v>596</v>
      </c>
      <c r="M118" s="4">
        <v>46178.434027777781</v>
      </c>
      <c r="N118" s="1" t="s">
        <v>597</v>
      </c>
      <c r="O118" s="1" t="s">
        <v>93</v>
      </c>
      <c r="P118" s="1" t="s">
        <v>271</v>
      </c>
      <c r="Q118" s="1" t="s">
        <v>388</v>
      </c>
      <c r="R118" s="1" t="s">
        <v>388</v>
      </c>
      <c r="S118" s="1" t="s">
        <v>9</v>
      </c>
      <c r="T118" s="1" t="s">
        <v>274</v>
      </c>
      <c r="U118" s="1" t="s">
        <v>141</v>
      </c>
      <c r="V118" s="1" t="s">
        <v>581</v>
      </c>
      <c r="W118" s="1" t="s">
        <v>93</v>
      </c>
      <c r="X118" s="1" t="s">
        <v>733</v>
      </c>
      <c r="Y118" s="1" t="s">
        <v>93</v>
      </c>
      <c r="Z118" s="1" t="s">
        <v>47</v>
      </c>
      <c r="AA118" s="1" t="s">
        <v>93</v>
      </c>
      <c r="AB118" s="1">
        <v>436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 t="s">
        <v>290</v>
      </c>
      <c r="AJ118" s="1" t="s">
        <v>291</v>
      </c>
      <c r="AK118" s="1" t="s">
        <v>17</v>
      </c>
      <c r="AL118" s="1" t="s">
        <v>65</v>
      </c>
      <c r="AM118" s="1" t="s">
        <v>292</v>
      </c>
      <c r="AN118" s="1" t="s">
        <v>21</v>
      </c>
      <c r="AO118" s="1" t="s">
        <v>280</v>
      </c>
      <c r="AP118" s="1" t="s">
        <v>324</v>
      </c>
      <c r="AQ118" s="1" t="s">
        <v>125</v>
      </c>
    </row>
    <row r="119" spans="1:43" x14ac:dyDescent="0.3">
      <c r="A119" s="1">
        <v>24782793</v>
      </c>
      <c r="B119" s="1">
        <v>25624674</v>
      </c>
      <c r="C119" s="1" t="s">
        <v>266</v>
      </c>
      <c r="D119" s="4">
        <v>46192.45349537037</v>
      </c>
      <c r="E119" s="4">
        <v>46193.135243055563</v>
      </c>
      <c r="F119" s="57" t="s">
        <v>28</v>
      </c>
      <c r="G119" s="57" t="s">
        <v>28</v>
      </c>
      <c r="H119" s="1" t="s">
        <v>734</v>
      </c>
      <c r="I119" s="1" t="s">
        <v>14</v>
      </c>
      <c r="J119" s="1" t="s">
        <v>717</v>
      </c>
      <c r="K119" s="1" t="s">
        <v>547</v>
      </c>
      <c r="L119" s="1" t="s">
        <v>547</v>
      </c>
      <c r="M119" s="4">
        <v>46192.445833333331</v>
      </c>
      <c r="N119" s="1">
        <v>4712632</v>
      </c>
      <c r="O119" s="1" t="s">
        <v>93</v>
      </c>
      <c r="P119" s="1" t="s">
        <v>342</v>
      </c>
      <c r="Q119" s="1" t="s">
        <v>286</v>
      </c>
      <c r="R119" s="1" t="s">
        <v>286</v>
      </c>
      <c r="S119" s="1" t="s">
        <v>9</v>
      </c>
      <c r="T119" s="1" t="s">
        <v>274</v>
      </c>
      <c r="U119" s="1" t="s">
        <v>142</v>
      </c>
      <c r="V119" s="1" t="s">
        <v>575</v>
      </c>
      <c r="W119" s="1" t="s">
        <v>93</v>
      </c>
      <c r="X119" s="1" t="s">
        <v>735</v>
      </c>
      <c r="Y119" s="1" t="s">
        <v>93</v>
      </c>
      <c r="Z119" s="1" t="s">
        <v>50</v>
      </c>
      <c r="AA119" s="1" t="s">
        <v>93</v>
      </c>
      <c r="AB119" s="1">
        <v>920</v>
      </c>
      <c r="AC119" s="1">
        <v>920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 t="s">
        <v>736</v>
      </c>
      <c r="AJ119" s="1" t="s">
        <v>707</v>
      </c>
      <c r="AK119" s="1" t="s">
        <v>14</v>
      </c>
      <c r="AL119" s="1" t="s">
        <v>69</v>
      </c>
      <c r="AM119" s="1" t="s">
        <v>337</v>
      </c>
      <c r="AN119" s="1" t="s">
        <v>21</v>
      </c>
      <c r="AO119" s="1" t="s">
        <v>280</v>
      </c>
      <c r="AP119" s="1" t="s">
        <v>324</v>
      </c>
      <c r="AQ119" s="1" t="s">
        <v>27</v>
      </c>
    </row>
    <row r="120" spans="1:43" x14ac:dyDescent="0.3">
      <c r="A120" s="1">
        <v>24786034</v>
      </c>
      <c r="B120" s="1">
        <v>25628135</v>
      </c>
      <c r="C120" s="1" t="s">
        <v>266</v>
      </c>
      <c r="D120" s="4">
        <v>46192.793310185189</v>
      </c>
      <c r="E120" s="4">
        <v>46192.831701388888</v>
      </c>
      <c r="F120" s="57" t="s">
        <v>28</v>
      </c>
      <c r="G120" s="57" t="s">
        <v>28</v>
      </c>
      <c r="H120" s="1" t="s">
        <v>737</v>
      </c>
      <c r="I120" s="1" t="s">
        <v>268</v>
      </c>
      <c r="J120" s="1" t="s">
        <v>326</v>
      </c>
      <c r="K120" s="1" t="s">
        <v>270</v>
      </c>
      <c r="L120" s="1" t="s">
        <v>270</v>
      </c>
      <c r="M120" s="4">
        <v>46192.724305555559</v>
      </c>
      <c r="N120" s="1">
        <v>77</v>
      </c>
      <c r="O120" s="1" t="s">
        <v>93</v>
      </c>
      <c r="P120" s="1" t="s">
        <v>342</v>
      </c>
      <c r="Q120" s="1" t="s">
        <v>303</v>
      </c>
      <c r="R120" s="1" t="s">
        <v>272</v>
      </c>
      <c r="S120" s="1" t="s">
        <v>9</v>
      </c>
      <c r="T120" s="1" t="s">
        <v>274</v>
      </c>
      <c r="U120" s="1" t="s">
        <v>93</v>
      </c>
      <c r="V120" s="1" t="s">
        <v>738</v>
      </c>
      <c r="W120" s="1" t="s">
        <v>93</v>
      </c>
      <c r="X120" s="1" t="s">
        <v>739</v>
      </c>
      <c r="Y120" s="1" t="s">
        <v>93</v>
      </c>
      <c r="Z120" s="1" t="s">
        <v>93</v>
      </c>
      <c r="AA120" s="1" t="s">
        <v>93</v>
      </c>
      <c r="AB120" s="1">
        <v>220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 t="s">
        <v>740</v>
      </c>
      <c r="AJ120" s="1" t="s">
        <v>741</v>
      </c>
      <c r="AK120" s="1" t="s">
        <v>13</v>
      </c>
      <c r="AL120" s="1" t="s">
        <v>106</v>
      </c>
      <c r="AM120" s="1" t="s">
        <v>337</v>
      </c>
      <c r="AN120" s="1" t="s">
        <v>21</v>
      </c>
      <c r="AO120" s="1" t="s">
        <v>280</v>
      </c>
      <c r="AP120" s="1" t="s">
        <v>324</v>
      </c>
      <c r="AQ120" s="1" t="s">
        <v>125</v>
      </c>
    </row>
    <row r="121" spans="1:43" x14ac:dyDescent="0.3">
      <c r="A121" s="1">
        <v>24778394</v>
      </c>
      <c r="B121" s="1">
        <v>25620543</v>
      </c>
      <c r="C121" s="1" t="s">
        <v>266</v>
      </c>
      <c r="D121" s="4">
        <v>46191.649780092594</v>
      </c>
      <c r="E121" s="4">
        <v>46206.71292824074</v>
      </c>
      <c r="F121" s="1" t="s">
        <v>22</v>
      </c>
      <c r="G121" s="57" t="s">
        <v>28</v>
      </c>
      <c r="H121" s="1" t="s">
        <v>742</v>
      </c>
      <c r="I121" s="1" t="s">
        <v>17</v>
      </c>
      <c r="J121" s="1" t="s">
        <v>743</v>
      </c>
      <c r="K121" s="1" t="s">
        <v>744</v>
      </c>
      <c r="L121" s="1" t="s">
        <v>744</v>
      </c>
      <c r="M121" s="4">
        <v>46189.704861111109</v>
      </c>
      <c r="N121" s="1" t="s">
        <v>745</v>
      </c>
      <c r="O121" s="1" t="s">
        <v>93</v>
      </c>
      <c r="P121" s="1" t="s">
        <v>271</v>
      </c>
      <c r="Q121" s="1" t="s">
        <v>286</v>
      </c>
      <c r="R121" s="1" t="s">
        <v>286</v>
      </c>
      <c r="S121" s="1" t="s">
        <v>9</v>
      </c>
      <c r="T121" s="1" t="s">
        <v>274</v>
      </c>
      <c r="U121" s="1" t="s">
        <v>205</v>
      </c>
      <c r="V121" s="1" t="s">
        <v>474</v>
      </c>
      <c r="W121" s="1" t="s">
        <v>93</v>
      </c>
      <c r="X121" s="1" t="s">
        <v>746</v>
      </c>
      <c r="Y121" s="1" t="s">
        <v>93</v>
      </c>
      <c r="Z121" s="1" t="s">
        <v>56</v>
      </c>
      <c r="AA121" s="1" t="s">
        <v>93</v>
      </c>
      <c r="AB121" s="1">
        <v>618</v>
      </c>
      <c r="AC121" s="1">
        <v>30.9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 t="s">
        <v>290</v>
      </c>
      <c r="AJ121" s="1" t="s">
        <v>707</v>
      </c>
      <c r="AK121" s="1" t="s">
        <v>17</v>
      </c>
      <c r="AL121" s="1" t="s">
        <v>69</v>
      </c>
      <c r="AM121" s="1" t="s">
        <v>337</v>
      </c>
      <c r="AN121" s="1" t="s">
        <v>21</v>
      </c>
      <c r="AO121" s="1" t="s">
        <v>280</v>
      </c>
      <c r="AP121" s="1" t="s">
        <v>324</v>
      </c>
      <c r="AQ121" s="1" t="s">
        <v>27</v>
      </c>
    </row>
    <row r="122" spans="1:43" x14ac:dyDescent="0.3">
      <c r="A122" s="1">
        <v>24747713</v>
      </c>
      <c r="B122" s="1">
        <v>25586715</v>
      </c>
      <c r="C122" s="1" t="s">
        <v>266</v>
      </c>
      <c r="D122" s="4">
        <v>46185.403344907398</v>
      </c>
      <c r="E122" s="4">
        <v>46206.712685185194</v>
      </c>
      <c r="F122" s="1" t="s">
        <v>22</v>
      </c>
      <c r="G122" s="57" t="s">
        <v>29</v>
      </c>
      <c r="H122" s="1" t="s">
        <v>558</v>
      </c>
      <c r="I122" s="1" t="s">
        <v>17</v>
      </c>
      <c r="J122" s="1" t="s">
        <v>559</v>
      </c>
      <c r="K122" s="1" t="s">
        <v>314</v>
      </c>
      <c r="L122" s="1" t="s">
        <v>314</v>
      </c>
      <c r="M122" s="4">
        <v>46185.22152777778</v>
      </c>
      <c r="N122" s="1" t="s">
        <v>560</v>
      </c>
      <c r="O122" s="1" t="s">
        <v>93</v>
      </c>
      <c r="P122" s="1" t="s">
        <v>342</v>
      </c>
      <c r="Q122" s="1" t="s">
        <v>388</v>
      </c>
      <c r="R122" s="1" t="s">
        <v>388</v>
      </c>
      <c r="S122" s="1" t="s">
        <v>9</v>
      </c>
      <c r="T122" s="1" t="s">
        <v>274</v>
      </c>
      <c r="U122" s="1" t="s">
        <v>145</v>
      </c>
      <c r="V122" s="1" t="s">
        <v>561</v>
      </c>
      <c r="W122" s="1" t="s">
        <v>93</v>
      </c>
      <c r="X122" s="1" t="s">
        <v>747</v>
      </c>
      <c r="Y122" s="1" t="s">
        <v>93</v>
      </c>
      <c r="Z122" s="1" t="s">
        <v>55</v>
      </c>
      <c r="AA122" s="1" t="s">
        <v>93</v>
      </c>
      <c r="AB122" s="1">
        <v>6968.9664000000002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 t="s">
        <v>290</v>
      </c>
      <c r="AJ122" s="1" t="s">
        <v>291</v>
      </c>
      <c r="AK122" s="1" t="s">
        <v>17</v>
      </c>
      <c r="AL122" s="1" t="s">
        <v>65</v>
      </c>
      <c r="AM122" s="1" t="s">
        <v>292</v>
      </c>
      <c r="AN122" s="1" t="s">
        <v>21</v>
      </c>
      <c r="AO122" s="1" t="s">
        <v>293</v>
      </c>
      <c r="AP122" s="1" t="s">
        <v>281</v>
      </c>
      <c r="AQ122" s="1" t="s">
        <v>34</v>
      </c>
    </row>
    <row r="123" spans="1:43" x14ac:dyDescent="0.3">
      <c r="A123" s="1">
        <v>24786331</v>
      </c>
      <c r="B123" s="1">
        <v>25628442</v>
      </c>
      <c r="C123" s="1" t="s">
        <v>266</v>
      </c>
      <c r="D123" s="4">
        <v>46192.802893518521</v>
      </c>
      <c r="E123" s="4">
        <v>46206.713078703702</v>
      </c>
      <c r="F123" s="1" t="s">
        <v>22</v>
      </c>
      <c r="G123" s="57" t="s">
        <v>28</v>
      </c>
      <c r="H123" s="1" t="s">
        <v>748</v>
      </c>
      <c r="I123" s="1" t="s">
        <v>17</v>
      </c>
      <c r="J123" s="1" t="s">
        <v>749</v>
      </c>
      <c r="K123" s="1" t="s">
        <v>505</v>
      </c>
      <c r="L123" s="1" t="s">
        <v>505</v>
      </c>
      <c r="M123" s="4">
        <v>46192.586111111108</v>
      </c>
      <c r="N123" s="1" t="s">
        <v>750</v>
      </c>
      <c r="O123" s="1" t="s">
        <v>93</v>
      </c>
      <c r="P123" s="1" t="s">
        <v>271</v>
      </c>
      <c r="Q123" s="1" t="s">
        <v>286</v>
      </c>
      <c r="R123" s="1" t="s">
        <v>286</v>
      </c>
      <c r="S123" s="1" t="s">
        <v>9</v>
      </c>
      <c r="T123" s="1" t="s">
        <v>274</v>
      </c>
      <c r="U123" s="1" t="s">
        <v>221</v>
      </c>
      <c r="V123" s="1" t="s">
        <v>751</v>
      </c>
      <c r="W123" s="1" t="s">
        <v>93</v>
      </c>
      <c r="X123" s="1" t="s">
        <v>752</v>
      </c>
      <c r="Y123" s="1" t="s">
        <v>93</v>
      </c>
      <c r="Z123" s="1" t="s">
        <v>137</v>
      </c>
      <c r="AA123" s="1" t="s">
        <v>93</v>
      </c>
      <c r="AB123" s="1">
        <v>3321.4133999999999</v>
      </c>
      <c r="AC123" s="1">
        <v>113.54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 t="s">
        <v>290</v>
      </c>
      <c r="AJ123" s="1" t="s">
        <v>380</v>
      </c>
      <c r="AK123" s="1" t="s">
        <v>17</v>
      </c>
      <c r="AL123" s="1" t="s">
        <v>75</v>
      </c>
      <c r="AM123" s="1" t="s">
        <v>337</v>
      </c>
      <c r="AN123" s="1" t="s">
        <v>21</v>
      </c>
      <c r="AO123" s="1" t="s">
        <v>280</v>
      </c>
      <c r="AP123" s="1" t="s">
        <v>324</v>
      </c>
      <c r="AQ123" s="1" t="s">
        <v>27</v>
      </c>
    </row>
    <row r="124" spans="1:43" x14ac:dyDescent="0.3">
      <c r="A124" s="1">
        <v>24794893</v>
      </c>
      <c r="B124" s="1">
        <v>25636136</v>
      </c>
      <c r="C124" s="1" t="s">
        <v>266</v>
      </c>
      <c r="D124" s="4">
        <v>46194.93136574074</v>
      </c>
      <c r="E124" s="4">
        <v>46194.938171296293</v>
      </c>
      <c r="F124" s="1" t="s">
        <v>26</v>
      </c>
      <c r="G124" s="1" t="s">
        <v>26</v>
      </c>
      <c r="H124" s="1" t="s">
        <v>753</v>
      </c>
      <c r="I124" s="1" t="s">
        <v>16</v>
      </c>
      <c r="J124" s="1" t="s">
        <v>754</v>
      </c>
      <c r="K124" s="1" t="s">
        <v>619</v>
      </c>
      <c r="L124" s="1" t="s">
        <v>619</v>
      </c>
      <c r="M124" s="4">
        <v>46194.931250000001</v>
      </c>
      <c r="N124" s="1" t="s">
        <v>755</v>
      </c>
      <c r="O124" s="1" t="s">
        <v>93</v>
      </c>
      <c r="P124" s="1" t="s">
        <v>342</v>
      </c>
      <c r="Q124" s="1" t="s">
        <v>303</v>
      </c>
      <c r="R124" s="1" t="s">
        <v>388</v>
      </c>
      <c r="S124" s="1" t="s">
        <v>3</v>
      </c>
      <c r="T124" s="1" t="s">
        <v>274</v>
      </c>
      <c r="U124" s="1" t="s">
        <v>144</v>
      </c>
      <c r="V124" s="1" t="s">
        <v>756</v>
      </c>
      <c r="W124" s="1" t="s">
        <v>93</v>
      </c>
      <c r="X124" s="1" t="s">
        <v>757</v>
      </c>
      <c r="Y124" s="1" t="s">
        <v>93</v>
      </c>
      <c r="Z124" s="1" t="s">
        <v>74</v>
      </c>
      <c r="AA124" s="1" t="s">
        <v>93</v>
      </c>
      <c r="AB124" s="1">
        <v>2600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 t="s">
        <v>621</v>
      </c>
      <c r="AJ124" s="1" t="s">
        <v>641</v>
      </c>
      <c r="AK124" s="1" t="s">
        <v>16</v>
      </c>
      <c r="AL124" s="1" t="s">
        <v>67</v>
      </c>
      <c r="AM124" s="1" t="s">
        <v>323</v>
      </c>
      <c r="AN124" s="1" t="s">
        <v>21</v>
      </c>
      <c r="AO124" s="1" t="s">
        <v>280</v>
      </c>
      <c r="AP124" s="1" t="s">
        <v>324</v>
      </c>
      <c r="AQ124" s="1" t="s">
        <v>125</v>
      </c>
    </row>
    <row r="125" spans="1:43" x14ac:dyDescent="0.3">
      <c r="A125" s="1">
        <v>24776995</v>
      </c>
      <c r="B125" s="1">
        <v>25619085</v>
      </c>
      <c r="C125" s="1" t="s">
        <v>266</v>
      </c>
      <c r="D125" s="4">
        <v>46191.488125000003</v>
      </c>
      <c r="E125" s="4">
        <v>46206.71292824074</v>
      </c>
      <c r="F125" s="1" t="s">
        <v>22</v>
      </c>
      <c r="G125" s="57" t="s">
        <v>28</v>
      </c>
      <c r="H125" s="1" t="s">
        <v>758</v>
      </c>
      <c r="I125" s="1" t="s">
        <v>17</v>
      </c>
      <c r="J125" s="1" t="s">
        <v>759</v>
      </c>
      <c r="K125" s="1" t="s">
        <v>319</v>
      </c>
      <c r="L125" s="1" t="s">
        <v>319</v>
      </c>
      <c r="M125" s="4">
        <v>46189.519444444442</v>
      </c>
      <c r="N125" s="1" t="s">
        <v>760</v>
      </c>
      <c r="O125" s="1" t="s">
        <v>93</v>
      </c>
      <c r="P125" s="1" t="s">
        <v>271</v>
      </c>
      <c r="Q125" s="1" t="s">
        <v>286</v>
      </c>
      <c r="R125" s="1" t="s">
        <v>286</v>
      </c>
      <c r="S125" s="1" t="s">
        <v>9</v>
      </c>
      <c r="T125" s="1" t="s">
        <v>274</v>
      </c>
      <c r="U125" s="1" t="s">
        <v>173</v>
      </c>
      <c r="V125" s="1" t="s">
        <v>483</v>
      </c>
      <c r="W125" s="1" t="s">
        <v>93</v>
      </c>
      <c r="X125" s="1" t="s">
        <v>761</v>
      </c>
      <c r="Y125" s="1" t="s">
        <v>93</v>
      </c>
      <c r="Z125" s="1" t="s">
        <v>85</v>
      </c>
      <c r="AA125" s="1" t="s">
        <v>93</v>
      </c>
      <c r="AB125" s="1">
        <v>2723.22</v>
      </c>
      <c r="AC125" s="1">
        <v>101.78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 t="s">
        <v>290</v>
      </c>
      <c r="AJ125" s="1" t="s">
        <v>380</v>
      </c>
      <c r="AK125" s="1" t="s">
        <v>17</v>
      </c>
      <c r="AL125" s="1" t="s">
        <v>75</v>
      </c>
      <c r="AM125" s="1" t="s">
        <v>337</v>
      </c>
      <c r="AN125" s="1" t="s">
        <v>21</v>
      </c>
      <c r="AO125" s="1" t="s">
        <v>280</v>
      </c>
      <c r="AP125" s="1" t="s">
        <v>324</v>
      </c>
      <c r="AQ125" s="1" t="s">
        <v>27</v>
      </c>
    </row>
    <row r="126" spans="1:43" x14ac:dyDescent="0.3">
      <c r="A126" s="1">
        <v>24803241</v>
      </c>
      <c r="B126" s="1">
        <v>25644608</v>
      </c>
      <c r="C126" s="1" t="s">
        <v>266</v>
      </c>
      <c r="D126" s="4">
        <v>46196.487974537027</v>
      </c>
      <c r="E126" s="4">
        <v>46206.713090277779</v>
      </c>
      <c r="F126" s="1" t="s">
        <v>22</v>
      </c>
      <c r="G126" s="1" t="s">
        <v>26</v>
      </c>
      <c r="H126" s="1" t="s">
        <v>762</v>
      </c>
      <c r="I126" s="1" t="s">
        <v>17</v>
      </c>
      <c r="J126" s="1" t="s">
        <v>763</v>
      </c>
      <c r="K126" s="1" t="s">
        <v>764</v>
      </c>
      <c r="L126" s="1" t="s">
        <v>764</v>
      </c>
      <c r="M126" s="4">
        <v>46195.578472222223</v>
      </c>
      <c r="N126" s="1" t="s">
        <v>765</v>
      </c>
      <c r="O126" s="1" t="s">
        <v>93</v>
      </c>
      <c r="P126" s="1" t="s">
        <v>271</v>
      </c>
      <c r="Q126" s="1" t="s">
        <v>286</v>
      </c>
      <c r="R126" s="1" t="s">
        <v>286</v>
      </c>
      <c r="S126" s="1" t="s">
        <v>9</v>
      </c>
      <c r="T126" s="1" t="s">
        <v>274</v>
      </c>
      <c r="U126" s="1" t="s">
        <v>195</v>
      </c>
      <c r="V126" s="1" t="s">
        <v>766</v>
      </c>
      <c r="W126" s="1" t="s">
        <v>93</v>
      </c>
      <c r="X126" s="1" t="s">
        <v>767</v>
      </c>
      <c r="Y126" s="1" t="s">
        <v>93</v>
      </c>
      <c r="Z126" s="1" t="s">
        <v>53</v>
      </c>
      <c r="AA126" s="1" t="s">
        <v>93</v>
      </c>
      <c r="AB126" s="1">
        <v>6322.5</v>
      </c>
      <c r="AC126" s="1">
        <v>1612.5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 t="s">
        <v>290</v>
      </c>
      <c r="AJ126" s="1" t="s">
        <v>403</v>
      </c>
      <c r="AK126" s="1" t="s">
        <v>17</v>
      </c>
      <c r="AL126" s="1" t="s">
        <v>73</v>
      </c>
      <c r="AM126" s="1" t="s">
        <v>337</v>
      </c>
      <c r="AN126" s="1" t="s">
        <v>21</v>
      </c>
      <c r="AO126" s="1" t="s">
        <v>280</v>
      </c>
      <c r="AP126" s="1" t="s">
        <v>324</v>
      </c>
      <c r="AQ126" s="1" t="s">
        <v>27</v>
      </c>
    </row>
    <row r="127" spans="1:43" x14ac:dyDescent="0.3">
      <c r="A127" s="1">
        <v>24776261</v>
      </c>
      <c r="B127" s="1">
        <v>25618247</v>
      </c>
      <c r="C127" s="1" t="s">
        <v>266</v>
      </c>
      <c r="D127" s="4">
        <v>46191.391168981478</v>
      </c>
      <c r="E127" s="4">
        <v>46198.722638888888</v>
      </c>
      <c r="F127" s="1" t="s">
        <v>26</v>
      </c>
      <c r="G127" s="57" t="s">
        <v>28</v>
      </c>
      <c r="H127" s="1" t="s">
        <v>768</v>
      </c>
      <c r="I127" s="1" t="s">
        <v>14</v>
      </c>
      <c r="J127" s="1" t="s">
        <v>769</v>
      </c>
      <c r="K127" s="1" t="s">
        <v>770</v>
      </c>
      <c r="L127" s="1" t="s">
        <v>770</v>
      </c>
      <c r="M127" s="4">
        <v>46191.381249999999</v>
      </c>
      <c r="N127" s="1">
        <v>4712096</v>
      </c>
      <c r="O127" s="1" t="s">
        <v>771</v>
      </c>
      <c r="P127" s="1" t="s">
        <v>342</v>
      </c>
      <c r="Q127" s="1" t="s">
        <v>303</v>
      </c>
      <c r="R127" s="1" t="s">
        <v>286</v>
      </c>
      <c r="S127" s="1" t="s">
        <v>8</v>
      </c>
      <c r="T127" s="1" t="s">
        <v>274</v>
      </c>
      <c r="U127" s="1" t="s">
        <v>184</v>
      </c>
      <c r="V127" s="1" t="s">
        <v>772</v>
      </c>
      <c r="W127" s="1" t="s">
        <v>93</v>
      </c>
      <c r="X127" s="1" t="s">
        <v>773</v>
      </c>
      <c r="Y127" s="1" t="s">
        <v>93</v>
      </c>
      <c r="Z127" s="1" t="s">
        <v>103</v>
      </c>
      <c r="AA127" s="1" t="s">
        <v>93</v>
      </c>
      <c r="AB127" s="1">
        <v>3685.3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0</v>
      </c>
      <c r="AI127" s="1" t="s">
        <v>774</v>
      </c>
      <c r="AJ127" s="1" t="s">
        <v>641</v>
      </c>
      <c r="AK127" s="1" t="s">
        <v>14</v>
      </c>
      <c r="AL127" s="1" t="s">
        <v>67</v>
      </c>
      <c r="AM127" s="1" t="s">
        <v>323</v>
      </c>
      <c r="AN127" s="1" t="s">
        <v>21</v>
      </c>
      <c r="AO127" s="1" t="s">
        <v>280</v>
      </c>
      <c r="AP127" s="1" t="s">
        <v>324</v>
      </c>
      <c r="AQ127" s="1" t="s">
        <v>125</v>
      </c>
    </row>
    <row r="128" spans="1:43" x14ac:dyDescent="0.3">
      <c r="A128" s="1">
        <v>24807258</v>
      </c>
      <c r="B128" s="1">
        <v>25648554</v>
      </c>
      <c r="C128" s="1" t="s">
        <v>266</v>
      </c>
      <c r="D128" s="4">
        <v>46196.872129629628</v>
      </c>
      <c r="E128" s="4">
        <v>46196.932129629633</v>
      </c>
      <c r="F128" s="1" t="s">
        <v>26</v>
      </c>
      <c r="G128" s="1" t="s">
        <v>26</v>
      </c>
      <c r="H128" s="1" t="s">
        <v>775</v>
      </c>
      <c r="I128" s="1" t="s">
        <v>268</v>
      </c>
      <c r="J128" s="1" t="s">
        <v>776</v>
      </c>
      <c r="K128" s="1" t="s">
        <v>777</v>
      </c>
      <c r="L128" s="1" t="s">
        <v>777</v>
      </c>
      <c r="M128" s="4">
        <v>46196.716666666667</v>
      </c>
      <c r="N128" s="1">
        <v>114557</v>
      </c>
      <c r="O128" s="1" t="s">
        <v>93</v>
      </c>
      <c r="P128" s="1" t="s">
        <v>342</v>
      </c>
      <c r="Q128" s="1" t="s">
        <v>286</v>
      </c>
      <c r="R128" s="1" t="s">
        <v>286</v>
      </c>
      <c r="S128" s="1" t="s">
        <v>9</v>
      </c>
      <c r="T128" s="1" t="s">
        <v>274</v>
      </c>
      <c r="U128" s="1" t="s">
        <v>194</v>
      </c>
      <c r="V128" s="1" t="s">
        <v>778</v>
      </c>
      <c r="W128" s="1" t="s">
        <v>93</v>
      </c>
      <c r="X128" s="1" t="s">
        <v>93</v>
      </c>
      <c r="Y128" s="1" t="s">
        <v>93</v>
      </c>
      <c r="Z128" s="1" t="s">
        <v>48</v>
      </c>
      <c r="AA128" s="1" t="s">
        <v>93</v>
      </c>
      <c r="AB128" s="1">
        <v>1196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  <c r="AH128" s="1">
        <v>0</v>
      </c>
      <c r="AI128" s="1" t="s">
        <v>779</v>
      </c>
      <c r="AJ128" s="1" t="s">
        <v>410</v>
      </c>
      <c r="AK128" s="1" t="s">
        <v>13</v>
      </c>
      <c r="AL128" s="1" t="s">
        <v>65</v>
      </c>
      <c r="AM128" s="1" t="s">
        <v>292</v>
      </c>
      <c r="AN128" s="1" t="s">
        <v>21</v>
      </c>
      <c r="AO128" s="1" t="s">
        <v>280</v>
      </c>
      <c r="AP128" s="1" t="s">
        <v>324</v>
      </c>
      <c r="AQ128" s="1" t="s">
        <v>20</v>
      </c>
    </row>
    <row r="129" spans="1:43" x14ac:dyDescent="0.3">
      <c r="A129" s="1">
        <v>24807400</v>
      </c>
      <c r="B129" s="1">
        <v>25648685</v>
      </c>
      <c r="C129" s="1" t="s">
        <v>266</v>
      </c>
      <c r="D129" s="4">
        <v>46196.877650462957</v>
      </c>
      <c r="E129" s="4">
        <v>46196.948888888888</v>
      </c>
      <c r="F129" s="1" t="s">
        <v>26</v>
      </c>
      <c r="G129" s="1" t="s">
        <v>26</v>
      </c>
      <c r="H129" s="1" t="s">
        <v>780</v>
      </c>
      <c r="I129" s="1" t="s">
        <v>268</v>
      </c>
      <c r="J129" s="1" t="s">
        <v>781</v>
      </c>
      <c r="K129" s="1" t="s">
        <v>270</v>
      </c>
      <c r="L129" s="1" t="s">
        <v>270</v>
      </c>
      <c r="M129" s="4">
        <v>46196.674305555563</v>
      </c>
      <c r="N129" s="1">
        <v>21306</v>
      </c>
      <c r="O129" s="1" t="s">
        <v>782</v>
      </c>
      <c r="P129" s="1" t="s">
        <v>271</v>
      </c>
      <c r="Q129" s="1" t="s">
        <v>303</v>
      </c>
      <c r="R129" s="1" t="s">
        <v>272</v>
      </c>
      <c r="S129" s="1" t="s">
        <v>8</v>
      </c>
      <c r="T129" s="1" t="s">
        <v>274</v>
      </c>
      <c r="U129" s="1" t="s">
        <v>147</v>
      </c>
      <c r="V129" s="1" t="s">
        <v>728</v>
      </c>
      <c r="W129" s="1" t="s">
        <v>93</v>
      </c>
      <c r="X129" s="1" t="s">
        <v>93</v>
      </c>
      <c r="Y129" s="1" t="s">
        <v>93</v>
      </c>
      <c r="Z129" s="1" t="s">
        <v>58</v>
      </c>
      <c r="AA129" s="1" t="s">
        <v>93</v>
      </c>
      <c r="AB129" s="1">
        <v>182.01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 t="s">
        <v>783</v>
      </c>
      <c r="AJ129" s="1" t="s">
        <v>410</v>
      </c>
      <c r="AK129" s="1" t="s">
        <v>13</v>
      </c>
      <c r="AL129" s="1" t="s">
        <v>65</v>
      </c>
      <c r="AM129" s="1" t="s">
        <v>292</v>
      </c>
      <c r="AN129" s="1" t="s">
        <v>21</v>
      </c>
      <c r="AO129" s="1" t="s">
        <v>280</v>
      </c>
      <c r="AP129" s="1" t="s">
        <v>324</v>
      </c>
      <c r="AQ129" s="1" t="s">
        <v>20</v>
      </c>
    </row>
    <row r="130" spans="1:43" x14ac:dyDescent="0.3">
      <c r="A130" s="1">
        <v>24804762</v>
      </c>
      <c r="B130" s="1">
        <v>25646111</v>
      </c>
      <c r="C130" s="1" t="s">
        <v>266</v>
      </c>
      <c r="D130" s="4">
        <v>46196.607800925929</v>
      </c>
      <c r="E130" s="4">
        <v>46196.68645833333</v>
      </c>
      <c r="F130" s="1" t="s">
        <v>26</v>
      </c>
      <c r="G130" s="1" t="s">
        <v>26</v>
      </c>
      <c r="H130" s="1" t="s">
        <v>784</v>
      </c>
      <c r="I130" s="1" t="s">
        <v>268</v>
      </c>
      <c r="J130" s="1" t="s">
        <v>785</v>
      </c>
      <c r="K130" s="1" t="s">
        <v>270</v>
      </c>
      <c r="L130" s="1" t="s">
        <v>270</v>
      </c>
      <c r="M130" s="4">
        <v>46196.481249999997</v>
      </c>
      <c r="N130" s="1">
        <v>21297</v>
      </c>
      <c r="O130" s="1" t="s">
        <v>782</v>
      </c>
      <c r="P130" s="1" t="s">
        <v>271</v>
      </c>
      <c r="Q130" s="1" t="s">
        <v>303</v>
      </c>
      <c r="R130" s="1" t="s">
        <v>272</v>
      </c>
      <c r="S130" s="1" t="s">
        <v>8</v>
      </c>
      <c r="T130" s="1" t="s">
        <v>274</v>
      </c>
      <c r="U130" s="1" t="s">
        <v>147</v>
      </c>
      <c r="V130" s="1" t="s">
        <v>728</v>
      </c>
      <c r="W130" s="1" t="s">
        <v>93</v>
      </c>
      <c r="X130" s="1" t="s">
        <v>93</v>
      </c>
      <c r="Y130" s="1" t="s">
        <v>93</v>
      </c>
      <c r="Z130" s="1" t="s">
        <v>58</v>
      </c>
      <c r="AA130" s="1" t="s">
        <v>93</v>
      </c>
      <c r="AB130" s="1">
        <v>249.07499999999999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 t="s">
        <v>786</v>
      </c>
      <c r="AJ130" s="1" t="s">
        <v>410</v>
      </c>
      <c r="AK130" s="1" t="s">
        <v>13</v>
      </c>
      <c r="AL130" s="1" t="s">
        <v>65</v>
      </c>
      <c r="AM130" s="1" t="s">
        <v>292</v>
      </c>
      <c r="AN130" s="1" t="s">
        <v>21</v>
      </c>
      <c r="AO130" s="1" t="s">
        <v>280</v>
      </c>
      <c r="AP130" s="1" t="s">
        <v>324</v>
      </c>
      <c r="AQ130" s="1" t="s">
        <v>20</v>
      </c>
    </row>
    <row r="131" spans="1:43" x14ac:dyDescent="0.3">
      <c r="A131" s="1">
        <v>24828575</v>
      </c>
      <c r="B131" s="1">
        <v>25667115</v>
      </c>
      <c r="C131" s="1" t="s">
        <v>266</v>
      </c>
      <c r="D131" s="4">
        <v>46200.639733796299</v>
      </c>
      <c r="E131" s="4">
        <v>46200.644259259258</v>
      </c>
      <c r="F131" s="1" t="s">
        <v>26</v>
      </c>
      <c r="G131" s="1" t="s">
        <v>26</v>
      </c>
      <c r="H131" s="1" t="s">
        <v>787</v>
      </c>
      <c r="I131" s="1" t="s">
        <v>268</v>
      </c>
      <c r="J131" s="1" t="s">
        <v>788</v>
      </c>
      <c r="K131" s="1" t="s">
        <v>270</v>
      </c>
      <c r="L131" s="1" t="s">
        <v>270</v>
      </c>
      <c r="M131" s="4">
        <v>46200.488888888889</v>
      </c>
      <c r="N131" s="1">
        <v>21435</v>
      </c>
      <c r="O131" s="1" t="s">
        <v>789</v>
      </c>
      <c r="P131" s="1" t="s">
        <v>271</v>
      </c>
      <c r="Q131" s="1" t="s">
        <v>303</v>
      </c>
      <c r="R131" s="1" t="s">
        <v>272</v>
      </c>
      <c r="S131" s="1" t="s">
        <v>8</v>
      </c>
      <c r="T131" s="1" t="s">
        <v>274</v>
      </c>
      <c r="U131" s="1" t="s">
        <v>147</v>
      </c>
      <c r="V131" s="1" t="s">
        <v>728</v>
      </c>
      <c r="W131" s="1" t="s">
        <v>93</v>
      </c>
      <c r="X131" s="1" t="s">
        <v>93</v>
      </c>
      <c r="Y131" s="1" t="s">
        <v>93</v>
      </c>
      <c r="Z131" s="1" t="s">
        <v>58</v>
      </c>
      <c r="AA131" s="1" t="s">
        <v>93</v>
      </c>
      <c r="AB131" s="1">
        <v>282.67500000000001</v>
      </c>
      <c r="AC131" s="1">
        <v>0</v>
      </c>
      <c r="AD131" s="1">
        <v>0</v>
      </c>
      <c r="AE131" s="1">
        <v>0</v>
      </c>
      <c r="AF131" s="1">
        <v>0</v>
      </c>
      <c r="AG131" s="1">
        <v>0</v>
      </c>
      <c r="AH131" s="1">
        <v>0</v>
      </c>
      <c r="AI131" s="1" t="s">
        <v>790</v>
      </c>
      <c r="AJ131" s="1" t="s">
        <v>410</v>
      </c>
      <c r="AK131" s="1" t="s">
        <v>13</v>
      </c>
      <c r="AL131" s="1" t="s">
        <v>65</v>
      </c>
      <c r="AM131" s="1" t="s">
        <v>292</v>
      </c>
      <c r="AN131" s="1" t="s">
        <v>21</v>
      </c>
      <c r="AO131" s="1" t="s">
        <v>280</v>
      </c>
      <c r="AP131" s="1" t="s">
        <v>324</v>
      </c>
      <c r="AQ131" s="1" t="s">
        <v>20</v>
      </c>
    </row>
    <row r="132" spans="1:43" x14ac:dyDescent="0.3">
      <c r="A132" s="1">
        <v>24803589</v>
      </c>
      <c r="B132" s="1">
        <v>25644954</v>
      </c>
      <c r="C132" s="1" t="s">
        <v>266</v>
      </c>
      <c r="D132" s="4">
        <v>46196.524259259262</v>
      </c>
      <c r="E132" s="4">
        <v>46196.531863425917</v>
      </c>
      <c r="F132" s="1" t="s">
        <v>26</v>
      </c>
      <c r="G132" s="1" t="s">
        <v>26</v>
      </c>
      <c r="H132" s="1" t="s">
        <v>791</v>
      </c>
      <c r="I132" s="1" t="s">
        <v>17</v>
      </c>
      <c r="J132" s="1" t="s">
        <v>792</v>
      </c>
      <c r="K132" s="1" t="s">
        <v>319</v>
      </c>
      <c r="L132" s="1" t="s">
        <v>319</v>
      </c>
      <c r="M132" s="4">
        <v>46195.555555555547</v>
      </c>
      <c r="N132" s="1" t="s">
        <v>793</v>
      </c>
      <c r="O132" s="1" t="s">
        <v>93</v>
      </c>
      <c r="P132" s="1" t="s">
        <v>271</v>
      </c>
      <c r="Q132" s="1" t="s">
        <v>286</v>
      </c>
      <c r="R132" s="1" t="s">
        <v>286</v>
      </c>
      <c r="S132" s="1" t="s">
        <v>9</v>
      </c>
      <c r="T132" s="1" t="s">
        <v>274</v>
      </c>
      <c r="U132" s="1" t="s">
        <v>173</v>
      </c>
      <c r="V132" s="1" t="s">
        <v>483</v>
      </c>
      <c r="W132" s="1" t="s">
        <v>93</v>
      </c>
      <c r="X132" s="1" t="s">
        <v>93</v>
      </c>
      <c r="Y132" s="1" t="s">
        <v>93</v>
      </c>
      <c r="Z132" s="1" t="s">
        <v>85</v>
      </c>
      <c r="AA132" s="1" t="s">
        <v>93</v>
      </c>
      <c r="AB132" s="1">
        <v>9490.68</v>
      </c>
      <c r="AC132" s="1">
        <v>269.22000000000003</v>
      </c>
      <c r="AD132" s="1">
        <v>0</v>
      </c>
      <c r="AE132" s="1">
        <v>0</v>
      </c>
      <c r="AF132" s="1">
        <v>0</v>
      </c>
      <c r="AG132" s="1">
        <v>0</v>
      </c>
      <c r="AH132" s="1">
        <v>0</v>
      </c>
      <c r="AI132" s="1" t="s">
        <v>290</v>
      </c>
      <c r="AJ132" s="1" t="s">
        <v>380</v>
      </c>
      <c r="AK132" s="1" t="s">
        <v>17</v>
      </c>
      <c r="AL132" s="1" t="s">
        <v>75</v>
      </c>
      <c r="AM132" s="1" t="s">
        <v>337</v>
      </c>
      <c r="AN132" s="1" t="s">
        <v>21</v>
      </c>
      <c r="AO132" s="1" t="s">
        <v>280</v>
      </c>
      <c r="AP132" s="1" t="s">
        <v>324</v>
      </c>
      <c r="AQ132" s="1" t="s">
        <v>27</v>
      </c>
    </row>
    <row r="133" spans="1:43" x14ac:dyDescent="0.3">
      <c r="A133" s="1">
        <v>24805180</v>
      </c>
      <c r="B133" s="1">
        <v>25646553</v>
      </c>
      <c r="C133" s="1" t="s">
        <v>266</v>
      </c>
      <c r="D133" s="4">
        <v>46196.664687500001</v>
      </c>
      <c r="E133" s="4">
        <v>46199.125972222217</v>
      </c>
      <c r="F133" s="1" t="s">
        <v>26</v>
      </c>
      <c r="G133" s="1" t="s">
        <v>26</v>
      </c>
      <c r="H133" s="1" t="s">
        <v>794</v>
      </c>
      <c r="I133" s="1" t="s">
        <v>17</v>
      </c>
      <c r="J133" s="1" t="s">
        <v>795</v>
      </c>
      <c r="K133" s="1" t="s">
        <v>473</v>
      </c>
      <c r="L133" s="1" t="s">
        <v>473</v>
      </c>
      <c r="M133" s="4">
        <v>46196.368055555547</v>
      </c>
      <c r="N133" s="1" t="s">
        <v>796</v>
      </c>
      <c r="O133" s="1" t="s">
        <v>93</v>
      </c>
      <c r="P133" s="1" t="s">
        <v>342</v>
      </c>
      <c r="Q133" s="1" t="s">
        <v>286</v>
      </c>
      <c r="R133" s="1" t="s">
        <v>286</v>
      </c>
      <c r="S133" s="1" t="s">
        <v>9</v>
      </c>
      <c r="T133" s="1" t="s">
        <v>274</v>
      </c>
      <c r="U133" s="1" t="s">
        <v>175</v>
      </c>
      <c r="V133" s="1" t="s">
        <v>343</v>
      </c>
      <c r="W133" s="1" t="s">
        <v>288</v>
      </c>
      <c r="X133" s="1" t="s">
        <v>93</v>
      </c>
      <c r="Y133" s="1" t="s">
        <v>93</v>
      </c>
      <c r="Z133" s="1" t="s">
        <v>91</v>
      </c>
      <c r="AA133" s="1" t="s">
        <v>93</v>
      </c>
      <c r="AB133" s="1">
        <v>668.72</v>
      </c>
      <c r="AC133" s="1">
        <v>27.3</v>
      </c>
      <c r="AD133" s="1">
        <v>0</v>
      </c>
      <c r="AE133" s="1">
        <v>0</v>
      </c>
      <c r="AF133" s="1">
        <v>0</v>
      </c>
      <c r="AG133" s="1">
        <v>0</v>
      </c>
      <c r="AH133" s="1">
        <v>72</v>
      </c>
      <c r="AI133" s="1" t="s">
        <v>290</v>
      </c>
      <c r="AJ133" s="1" t="s">
        <v>403</v>
      </c>
      <c r="AK133" s="1" t="s">
        <v>17</v>
      </c>
      <c r="AL133" s="1" t="s">
        <v>73</v>
      </c>
      <c r="AM133" s="1" t="s">
        <v>337</v>
      </c>
      <c r="AN133" s="1" t="s">
        <v>21</v>
      </c>
      <c r="AO133" s="1" t="s">
        <v>280</v>
      </c>
      <c r="AP133" s="1" t="s">
        <v>324</v>
      </c>
      <c r="AQ133" s="1" t="s">
        <v>27</v>
      </c>
    </row>
    <row r="134" spans="1:43" x14ac:dyDescent="0.3">
      <c r="A134" s="1">
        <v>24807257</v>
      </c>
      <c r="B134" s="1">
        <v>25648553</v>
      </c>
      <c r="C134" s="1" t="s">
        <v>266</v>
      </c>
      <c r="D134" s="4">
        <v>46196.872060185182</v>
      </c>
      <c r="E134" s="4">
        <v>46197.363252314812</v>
      </c>
      <c r="F134" s="1" t="s">
        <v>26</v>
      </c>
      <c r="G134" s="1" t="s">
        <v>26</v>
      </c>
      <c r="H134" s="1" t="s">
        <v>797</v>
      </c>
      <c r="I134" s="1" t="s">
        <v>17</v>
      </c>
      <c r="J134" s="1" t="s">
        <v>798</v>
      </c>
      <c r="K134" s="1" t="s">
        <v>473</v>
      </c>
      <c r="L134" s="1" t="s">
        <v>473</v>
      </c>
      <c r="M134" s="4">
        <v>46196.566666666673</v>
      </c>
      <c r="N134" s="1" t="s">
        <v>799</v>
      </c>
      <c r="O134" s="1" t="s">
        <v>93</v>
      </c>
      <c r="P134" s="1" t="s">
        <v>342</v>
      </c>
      <c r="Q134" s="1" t="s">
        <v>286</v>
      </c>
      <c r="R134" s="1" t="s">
        <v>286</v>
      </c>
      <c r="S134" s="1" t="s">
        <v>9</v>
      </c>
      <c r="T134" s="1" t="s">
        <v>365</v>
      </c>
      <c r="U134" s="1" t="s">
        <v>175</v>
      </c>
      <c r="V134" s="1" t="s">
        <v>343</v>
      </c>
      <c r="W134" s="1" t="s">
        <v>288</v>
      </c>
      <c r="X134" s="1" t="s">
        <v>93</v>
      </c>
      <c r="Y134" s="1" t="s">
        <v>93</v>
      </c>
      <c r="Z134" s="1" t="s">
        <v>91</v>
      </c>
      <c r="AA134" s="1" t="s">
        <v>93</v>
      </c>
      <c r="AB134" s="1">
        <v>668.72</v>
      </c>
      <c r="AC134" s="1">
        <v>27.3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 t="s">
        <v>290</v>
      </c>
      <c r="AJ134" s="1" t="s">
        <v>403</v>
      </c>
      <c r="AK134" s="1" t="s">
        <v>17</v>
      </c>
      <c r="AL134" s="1" t="s">
        <v>73</v>
      </c>
      <c r="AM134" s="1" t="s">
        <v>337</v>
      </c>
      <c r="AN134" s="1" t="s">
        <v>21</v>
      </c>
      <c r="AO134" s="1" t="s">
        <v>280</v>
      </c>
      <c r="AP134" s="1" t="s">
        <v>324</v>
      </c>
      <c r="AQ134" s="1" t="s">
        <v>27</v>
      </c>
    </row>
    <row r="135" spans="1:43" x14ac:dyDescent="0.3">
      <c r="A135" s="1">
        <v>24806166</v>
      </c>
      <c r="B135" s="1">
        <v>25647541</v>
      </c>
      <c r="C135" s="1" t="s">
        <v>266</v>
      </c>
      <c r="D135" s="4">
        <v>46196.80363425926</v>
      </c>
      <c r="E135" s="4">
        <v>46197.35869212963</v>
      </c>
      <c r="F135" s="1" t="s">
        <v>26</v>
      </c>
      <c r="G135" s="1" t="s">
        <v>26</v>
      </c>
      <c r="H135" s="1" t="s">
        <v>800</v>
      </c>
      <c r="I135" s="1" t="s">
        <v>17</v>
      </c>
      <c r="J135" s="1" t="s">
        <v>801</v>
      </c>
      <c r="K135" s="1" t="s">
        <v>473</v>
      </c>
      <c r="L135" s="1" t="s">
        <v>473</v>
      </c>
      <c r="M135" s="4">
        <v>46196.44027777778</v>
      </c>
      <c r="N135" s="1" t="s">
        <v>802</v>
      </c>
      <c r="O135" s="1" t="s">
        <v>93</v>
      </c>
      <c r="P135" s="1" t="s">
        <v>342</v>
      </c>
      <c r="Q135" s="1" t="s">
        <v>286</v>
      </c>
      <c r="R135" s="1" t="s">
        <v>286</v>
      </c>
      <c r="S135" s="1" t="s">
        <v>9</v>
      </c>
      <c r="T135" s="1" t="s">
        <v>365</v>
      </c>
      <c r="U135" s="1" t="s">
        <v>175</v>
      </c>
      <c r="V135" s="1" t="s">
        <v>343</v>
      </c>
      <c r="W135" s="1" t="s">
        <v>288</v>
      </c>
      <c r="X135" s="1" t="s">
        <v>93</v>
      </c>
      <c r="Y135" s="1" t="s">
        <v>93</v>
      </c>
      <c r="Z135" s="1" t="s">
        <v>91</v>
      </c>
      <c r="AA135" s="1" t="s">
        <v>93</v>
      </c>
      <c r="AB135" s="1">
        <v>668.72</v>
      </c>
      <c r="AC135" s="1">
        <v>27.3</v>
      </c>
      <c r="AD135" s="1">
        <v>0</v>
      </c>
      <c r="AE135" s="1">
        <v>0</v>
      </c>
      <c r="AF135" s="1">
        <v>0</v>
      </c>
      <c r="AG135" s="1">
        <v>0</v>
      </c>
      <c r="AH135" s="1">
        <v>0</v>
      </c>
      <c r="AI135" s="1" t="s">
        <v>290</v>
      </c>
      <c r="AJ135" s="1" t="s">
        <v>403</v>
      </c>
      <c r="AK135" s="1" t="s">
        <v>17</v>
      </c>
      <c r="AL135" s="1" t="s">
        <v>73</v>
      </c>
      <c r="AM135" s="1" t="s">
        <v>337</v>
      </c>
      <c r="AN135" s="1" t="s">
        <v>21</v>
      </c>
      <c r="AO135" s="1" t="s">
        <v>280</v>
      </c>
      <c r="AP135" s="1" t="s">
        <v>324</v>
      </c>
      <c r="AQ135" s="1" t="s">
        <v>27</v>
      </c>
    </row>
    <row r="136" spans="1:43" x14ac:dyDescent="0.3">
      <c r="A136" s="1">
        <v>24812222</v>
      </c>
      <c r="B136" s="1">
        <v>25652829</v>
      </c>
      <c r="C136" s="1" t="s">
        <v>266</v>
      </c>
      <c r="D136" s="4">
        <v>46197.81113425926</v>
      </c>
      <c r="E136" s="4">
        <v>46199.125983796293</v>
      </c>
      <c r="F136" s="1" t="s">
        <v>26</v>
      </c>
      <c r="G136" s="1" t="s">
        <v>26</v>
      </c>
      <c r="H136" s="1" t="s">
        <v>803</v>
      </c>
      <c r="I136" s="1" t="s">
        <v>17</v>
      </c>
      <c r="J136" s="1" t="s">
        <v>804</v>
      </c>
      <c r="K136" s="1" t="s">
        <v>473</v>
      </c>
      <c r="L136" s="1" t="s">
        <v>473</v>
      </c>
      <c r="M136" s="4">
        <v>46196.42291666667</v>
      </c>
      <c r="N136" s="1" t="s">
        <v>805</v>
      </c>
      <c r="O136" s="1" t="s">
        <v>93</v>
      </c>
      <c r="P136" s="1" t="s">
        <v>342</v>
      </c>
      <c r="Q136" s="1" t="s">
        <v>286</v>
      </c>
      <c r="R136" s="1" t="s">
        <v>286</v>
      </c>
      <c r="S136" s="1" t="s">
        <v>9</v>
      </c>
      <c r="T136" s="1" t="s">
        <v>274</v>
      </c>
      <c r="U136" s="1" t="s">
        <v>175</v>
      </c>
      <c r="V136" s="1" t="s">
        <v>343</v>
      </c>
      <c r="W136" s="1" t="s">
        <v>288</v>
      </c>
      <c r="X136" s="1" t="s">
        <v>93</v>
      </c>
      <c r="Y136" s="1" t="s">
        <v>93</v>
      </c>
      <c r="Z136" s="1" t="s">
        <v>91</v>
      </c>
      <c r="AA136" s="1" t="s">
        <v>93</v>
      </c>
      <c r="AB136" s="1">
        <v>5241.78</v>
      </c>
      <c r="AC136" s="1">
        <v>116.29</v>
      </c>
      <c r="AD136" s="1">
        <v>0</v>
      </c>
      <c r="AE136" s="1">
        <v>0</v>
      </c>
      <c r="AF136" s="1">
        <v>0</v>
      </c>
      <c r="AG136" s="1">
        <v>0</v>
      </c>
      <c r="AH136" s="1">
        <v>72</v>
      </c>
      <c r="AI136" s="1" t="s">
        <v>290</v>
      </c>
      <c r="AJ136" s="1" t="s">
        <v>403</v>
      </c>
      <c r="AK136" s="1" t="s">
        <v>17</v>
      </c>
      <c r="AL136" s="1" t="s">
        <v>73</v>
      </c>
      <c r="AM136" s="1" t="s">
        <v>337</v>
      </c>
      <c r="AN136" s="1" t="s">
        <v>21</v>
      </c>
      <c r="AO136" s="1" t="s">
        <v>280</v>
      </c>
      <c r="AP136" s="1" t="s">
        <v>324</v>
      </c>
      <c r="AQ136" s="1" t="s">
        <v>27</v>
      </c>
    </row>
    <row r="137" spans="1:43" x14ac:dyDescent="0.3">
      <c r="A137" s="1">
        <v>24809524</v>
      </c>
      <c r="B137" s="1">
        <v>25650074</v>
      </c>
      <c r="C137" s="1" t="s">
        <v>266</v>
      </c>
      <c r="D137" s="4">
        <v>46197.476747685178</v>
      </c>
      <c r="E137" s="4">
        <v>46197.478090277778</v>
      </c>
      <c r="F137" s="1" t="s">
        <v>26</v>
      </c>
      <c r="G137" s="1" t="s">
        <v>26</v>
      </c>
      <c r="H137" s="1">
        <v>2119736092</v>
      </c>
      <c r="I137" s="1" t="s">
        <v>18</v>
      </c>
      <c r="J137" s="1" t="s">
        <v>806</v>
      </c>
      <c r="K137" s="1" t="s">
        <v>807</v>
      </c>
      <c r="L137" s="1" t="s">
        <v>807</v>
      </c>
      <c r="M137" s="4">
        <v>46197.463194444441</v>
      </c>
      <c r="N137" s="1" t="s">
        <v>93</v>
      </c>
      <c r="O137" s="1" t="s">
        <v>93</v>
      </c>
      <c r="P137" s="1" t="s">
        <v>342</v>
      </c>
      <c r="Q137" s="1" t="s">
        <v>320</v>
      </c>
      <c r="R137" s="1" t="s">
        <v>320</v>
      </c>
      <c r="S137" s="1" t="s">
        <v>9</v>
      </c>
      <c r="T137" s="1" t="s">
        <v>274</v>
      </c>
      <c r="U137" s="1" t="s">
        <v>179</v>
      </c>
      <c r="V137" s="1" t="s">
        <v>808</v>
      </c>
      <c r="W137" s="1" t="s">
        <v>93</v>
      </c>
      <c r="X137" s="1" t="s">
        <v>93</v>
      </c>
      <c r="Y137" s="1" t="s">
        <v>93</v>
      </c>
      <c r="Z137" s="1" t="s">
        <v>43</v>
      </c>
      <c r="AA137" s="1" t="s">
        <v>93</v>
      </c>
      <c r="AB137" s="1">
        <v>6422.6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 t="s">
        <v>809</v>
      </c>
      <c r="AJ137" s="1" t="s">
        <v>410</v>
      </c>
      <c r="AK137" s="1" t="s">
        <v>43</v>
      </c>
      <c r="AL137" s="1" t="s">
        <v>65</v>
      </c>
      <c r="AM137" s="1" t="s">
        <v>292</v>
      </c>
      <c r="AN137" s="1" t="s">
        <v>21</v>
      </c>
      <c r="AO137" s="1" t="s">
        <v>280</v>
      </c>
      <c r="AP137" s="1" t="s">
        <v>810</v>
      </c>
      <c r="AQ137" s="1" t="s">
        <v>123</v>
      </c>
    </row>
    <row r="138" spans="1:43" x14ac:dyDescent="0.3">
      <c r="A138" s="1">
        <v>24818498</v>
      </c>
      <c r="B138" s="1">
        <v>25658370</v>
      </c>
      <c r="C138" s="1" t="s">
        <v>266</v>
      </c>
      <c r="D138" s="4">
        <v>46198.862557870372</v>
      </c>
      <c r="E138" s="4">
        <v>46198.86619212963</v>
      </c>
      <c r="F138" s="1" t="s">
        <v>26</v>
      </c>
      <c r="G138" s="1" t="s">
        <v>26</v>
      </c>
      <c r="H138" s="1" t="s">
        <v>811</v>
      </c>
      <c r="I138" s="1" t="s">
        <v>268</v>
      </c>
      <c r="J138" s="1" t="s">
        <v>812</v>
      </c>
      <c r="K138" s="1" t="s">
        <v>406</v>
      </c>
      <c r="L138" s="1" t="s">
        <v>406</v>
      </c>
      <c r="M138" s="4">
        <v>46198.777083333327</v>
      </c>
      <c r="N138" s="1">
        <v>330179</v>
      </c>
      <c r="O138" s="1" t="s">
        <v>813</v>
      </c>
      <c r="P138" s="1" t="s">
        <v>342</v>
      </c>
      <c r="Q138" s="1" t="s">
        <v>303</v>
      </c>
      <c r="R138" s="1" t="s">
        <v>272</v>
      </c>
      <c r="S138" s="1" t="s">
        <v>8</v>
      </c>
      <c r="T138" s="1" t="s">
        <v>274</v>
      </c>
      <c r="U138" s="1" t="s">
        <v>151</v>
      </c>
      <c r="V138" s="1" t="s">
        <v>408</v>
      </c>
      <c r="W138" s="1" t="s">
        <v>93</v>
      </c>
      <c r="X138" s="1" t="s">
        <v>93</v>
      </c>
      <c r="Y138" s="1" t="s">
        <v>93</v>
      </c>
      <c r="Z138" s="1" t="s">
        <v>63</v>
      </c>
      <c r="AA138" s="1" t="s">
        <v>93</v>
      </c>
      <c r="AB138" s="1">
        <v>3935.92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 t="s">
        <v>814</v>
      </c>
      <c r="AJ138" s="1" t="s">
        <v>410</v>
      </c>
      <c r="AK138" s="1" t="s">
        <v>13</v>
      </c>
      <c r="AL138" s="1" t="s">
        <v>65</v>
      </c>
      <c r="AM138" s="1" t="s">
        <v>292</v>
      </c>
      <c r="AN138" s="1" t="s">
        <v>21</v>
      </c>
      <c r="AO138" s="1" t="s">
        <v>280</v>
      </c>
      <c r="AP138" s="1" t="s">
        <v>324</v>
      </c>
      <c r="AQ138" s="1" t="s">
        <v>125</v>
      </c>
    </row>
    <row r="139" spans="1:43" x14ac:dyDescent="0.3">
      <c r="A139" s="1">
        <v>24816248</v>
      </c>
      <c r="B139" s="1">
        <v>25656053</v>
      </c>
      <c r="C139" s="1" t="s">
        <v>266</v>
      </c>
      <c r="D139" s="4">
        <v>46198.609606481477</v>
      </c>
      <c r="E139" s="4">
        <v>46198.617002314822</v>
      </c>
      <c r="F139" s="1" t="s">
        <v>26</v>
      </c>
      <c r="G139" s="1" t="s">
        <v>26</v>
      </c>
      <c r="H139" s="1" t="s">
        <v>815</v>
      </c>
      <c r="I139" s="1" t="s">
        <v>268</v>
      </c>
      <c r="J139" s="1" t="s">
        <v>430</v>
      </c>
      <c r="K139" s="1" t="s">
        <v>419</v>
      </c>
      <c r="L139" s="1" t="s">
        <v>419</v>
      </c>
      <c r="M139" s="4">
        <v>46198.404861111107</v>
      </c>
      <c r="N139" s="1">
        <v>330085</v>
      </c>
      <c r="O139" s="1" t="s">
        <v>93</v>
      </c>
      <c r="P139" s="1" t="s">
        <v>342</v>
      </c>
      <c r="Q139" s="1" t="s">
        <v>286</v>
      </c>
      <c r="R139" s="1" t="s">
        <v>286</v>
      </c>
      <c r="S139" s="1" t="s">
        <v>9</v>
      </c>
      <c r="T139" s="1" t="s">
        <v>274</v>
      </c>
      <c r="U139" s="1" t="s">
        <v>151</v>
      </c>
      <c r="V139" s="1" t="s">
        <v>415</v>
      </c>
      <c r="W139" s="1" t="s">
        <v>93</v>
      </c>
      <c r="X139" s="1" t="s">
        <v>93</v>
      </c>
      <c r="Y139" s="1" t="s">
        <v>93</v>
      </c>
      <c r="Z139" s="1" t="s">
        <v>63</v>
      </c>
      <c r="AA139" s="1" t="s">
        <v>93</v>
      </c>
      <c r="AB139" s="1">
        <v>1316</v>
      </c>
      <c r="AC139" s="1">
        <v>0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 t="s">
        <v>816</v>
      </c>
      <c r="AJ139" s="1" t="s">
        <v>410</v>
      </c>
      <c r="AK139" s="1" t="s">
        <v>13</v>
      </c>
      <c r="AL139" s="1" t="s">
        <v>65</v>
      </c>
      <c r="AM139" s="1" t="s">
        <v>292</v>
      </c>
      <c r="AN139" s="1" t="s">
        <v>21</v>
      </c>
      <c r="AO139" s="1" t="s">
        <v>280</v>
      </c>
      <c r="AP139" s="1" t="s">
        <v>324</v>
      </c>
      <c r="AQ139" s="1" t="s">
        <v>20</v>
      </c>
    </row>
    <row r="140" spans="1:43" x14ac:dyDescent="0.3">
      <c r="A140" s="1">
        <v>24810101</v>
      </c>
      <c r="B140" s="1">
        <v>25650655</v>
      </c>
      <c r="C140" s="1" t="s">
        <v>266</v>
      </c>
      <c r="D140" s="4">
        <v>46197.594953703701</v>
      </c>
      <c r="E140" s="4">
        <v>46197.598599537043</v>
      </c>
      <c r="F140" s="1" t="s">
        <v>26</v>
      </c>
      <c r="G140" s="1" t="s">
        <v>26</v>
      </c>
      <c r="H140" s="1" t="s">
        <v>817</v>
      </c>
      <c r="I140" s="1" t="s">
        <v>268</v>
      </c>
      <c r="J140" s="1" t="s">
        <v>818</v>
      </c>
      <c r="K140" s="1" t="s">
        <v>819</v>
      </c>
      <c r="L140" s="1" t="s">
        <v>819</v>
      </c>
      <c r="M140" s="4">
        <v>46197.536111111112</v>
      </c>
      <c r="N140" s="1">
        <v>330208</v>
      </c>
      <c r="O140" s="1" t="s">
        <v>93</v>
      </c>
      <c r="P140" s="1" t="s">
        <v>342</v>
      </c>
      <c r="Q140" s="1" t="s">
        <v>286</v>
      </c>
      <c r="R140" s="1" t="s">
        <v>286</v>
      </c>
      <c r="S140" s="1" t="s">
        <v>9</v>
      </c>
      <c r="T140" s="1" t="s">
        <v>274</v>
      </c>
      <c r="U140" s="1" t="s">
        <v>151</v>
      </c>
      <c r="V140" s="1" t="s">
        <v>415</v>
      </c>
      <c r="W140" s="1" t="s">
        <v>93</v>
      </c>
      <c r="X140" s="1" t="s">
        <v>93</v>
      </c>
      <c r="Y140" s="1" t="s">
        <v>93</v>
      </c>
      <c r="Z140" s="1" t="s">
        <v>63</v>
      </c>
      <c r="AA140" s="1" t="s">
        <v>93</v>
      </c>
      <c r="AB140" s="1">
        <v>672</v>
      </c>
      <c r="AC140" s="1">
        <v>0</v>
      </c>
      <c r="AD140" s="1">
        <v>0</v>
      </c>
      <c r="AE140" s="1">
        <v>0</v>
      </c>
      <c r="AF140" s="1">
        <v>0</v>
      </c>
      <c r="AG140" s="1">
        <v>163.32</v>
      </c>
      <c r="AH140" s="1">
        <v>0</v>
      </c>
      <c r="AI140" s="1" t="s">
        <v>820</v>
      </c>
      <c r="AJ140" s="1" t="s">
        <v>410</v>
      </c>
      <c r="AK140" s="1" t="s">
        <v>13</v>
      </c>
      <c r="AL140" s="1" t="s">
        <v>65</v>
      </c>
      <c r="AM140" s="1" t="s">
        <v>292</v>
      </c>
      <c r="AN140" s="1" t="s">
        <v>21</v>
      </c>
      <c r="AO140" s="1" t="s">
        <v>280</v>
      </c>
      <c r="AP140" s="1" t="s">
        <v>324</v>
      </c>
      <c r="AQ140" s="1" t="s">
        <v>20</v>
      </c>
    </row>
    <row r="141" spans="1:43" x14ac:dyDescent="0.3">
      <c r="A141" s="1">
        <v>24821645</v>
      </c>
      <c r="B141" s="1">
        <v>25660801</v>
      </c>
      <c r="C141" s="1" t="s">
        <v>266</v>
      </c>
      <c r="D141" s="4">
        <v>46199.479456018518</v>
      </c>
      <c r="E141" s="4">
        <v>46199.621527777781</v>
      </c>
      <c r="F141" s="1" t="s">
        <v>26</v>
      </c>
      <c r="G141" s="1" t="s">
        <v>26</v>
      </c>
      <c r="H141" s="1" t="s">
        <v>821</v>
      </c>
      <c r="I141" s="1" t="s">
        <v>17</v>
      </c>
      <c r="J141" s="1" t="s">
        <v>486</v>
      </c>
      <c r="K141" s="1" t="s">
        <v>284</v>
      </c>
      <c r="L141" s="1" t="s">
        <v>284</v>
      </c>
      <c r="M141" s="4">
        <v>46198.834027777782</v>
      </c>
      <c r="N141" s="1" t="s">
        <v>822</v>
      </c>
      <c r="O141" s="1" t="s">
        <v>489</v>
      </c>
      <c r="P141" s="1" t="s">
        <v>271</v>
      </c>
      <c r="Q141" s="1" t="s">
        <v>303</v>
      </c>
      <c r="R141" s="1" t="s">
        <v>272</v>
      </c>
      <c r="S141" s="1" t="s">
        <v>8</v>
      </c>
      <c r="T141" s="1" t="s">
        <v>274</v>
      </c>
      <c r="U141" s="1" t="s">
        <v>148</v>
      </c>
      <c r="V141" s="1" t="s">
        <v>287</v>
      </c>
      <c r="W141" s="1" t="s">
        <v>288</v>
      </c>
      <c r="X141" s="1" t="s">
        <v>93</v>
      </c>
      <c r="Y141" s="1" t="s">
        <v>93</v>
      </c>
      <c r="Z141" s="1" t="s">
        <v>59</v>
      </c>
      <c r="AA141" s="1" t="s">
        <v>93</v>
      </c>
      <c r="AB141" s="1">
        <v>1071.96</v>
      </c>
      <c r="AC141" s="1">
        <v>160.79</v>
      </c>
      <c r="AD141" s="1">
        <v>0</v>
      </c>
      <c r="AE141" s="1">
        <v>0</v>
      </c>
      <c r="AF141" s="1">
        <v>0</v>
      </c>
      <c r="AG141" s="1">
        <v>0</v>
      </c>
      <c r="AH141" s="1">
        <v>0</v>
      </c>
      <c r="AI141" s="1" t="s">
        <v>290</v>
      </c>
      <c r="AJ141" s="1" t="s">
        <v>410</v>
      </c>
      <c r="AK141" s="1" t="s">
        <v>17</v>
      </c>
      <c r="AL141" s="1" t="s">
        <v>65</v>
      </c>
      <c r="AM141" s="1" t="s">
        <v>292</v>
      </c>
      <c r="AN141" s="1" t="s">
        <v>21</v>
      </c>
      <c r="AO141" s="1" t="s">
        <v>280</v>
      </c>
      <c r="AP141" s="1" t="s">
        <v>324</v>
      </c>
      <c r="AQ141" s="1" t="s">
        <v>20</v>
      </c>
    </row>
    <row r="142" spans="1:43" x14ac:dyDescent="0.3">
      <c r="A142" s="1">
        <v>24819609</v>
      </c>
      <c r="B142" s="1">
        <v>25659449</v>
      </c>
      <c r="C142" s="1" t="s">
        <v>266</v>
      </c>
      <c r="D142" s="4">
        <v>46198.920902777783</v>
      </c>
      <c r="E142" s="4">
        <v>46199.212118055562</v>
      </c>
      <c r="F142" s="1" t="s">
        <v>26</v>
      </c>
      <c r="G142" s="1" t="s">
        <v>26</v>
      </c>
      <c r="H142" s="1" t="s">
        <v>823</v>
      </c>
      <c r="I142" s="1" t="s">
        <v>17</v>
      </c>
      <c r="J142" s="1" t="s">
        <v>824</v>
      </c>
      <c r="K142" s="1" t="s">
        <v>435</v>
      </c>
      <c r="L142" s="1" t="s">
        <v>435</v>
      </c>
      <c r="M142" s="4">
        <v>46197.479861111111</v>
      </c>
      <c r="N142" s="1" t="s">
        <v>825</v>
      </c>
      <c r="O142" s="1" t="s">
        <v>93</v>
      </c>
      <c r="P142" s="1" t="s">
        <v>271</v>
      </c>
      <c r="Q142" s="1" t="s">
        <v>286</v>
      </c>
      <c r="R142" s="1" t="s">
        <v>286</v>
      </c>
      <c r="S142" s="1" t="s">
        <v>9</v>
      </c>
      <c r="T142" s="1" t="s">
        <v>274</v>
      </c>
      <c r="U142" s="1" t="s">
        <v>148</v>
      </c>
      <c r="V142" s="1" t="s">
        <v>287</v>
      </c>
      <c r="W142" s="1" t="s">
        <v>288</v>
      </c>
      <c r="X142" s="1" t="s">
        <v>93</v>
      </c>
      <c r="Y142" s="1" t="s">
        <v>93</v>
      </c>
      <c r="Z142" s="1" t="s">
        <v>59</v>
      </c>
      <c r="AA142" s="1" t="s">
        <v>93</v>
      </c>
      <c r="AB142" s="1">
        <v>21479.3436</v>
      </c>
      <c r="AC142" s="1">
        <v>434.39</v>
      </c>
      <c r="AD142" s="1">
        <v>0</v>
      </c>
      <c r="AE142" s="1">
        <v>0</v>
      </c>
      <c r="AF142" s="1">
        <v>0</v>
      </c>
      <c r="AG142" s="1">
        <v>0</v>
      </c>
      <c r="AH142" s="1">
        <v>13</v>
      </c>
      <c r="AI142" s="1" t="s">
        <v>290</v>
      </c>
      <c r="AJ142" s="1" t="s">
        <v>707</v>
      </c>
      <c r="AK142" s="1" t="s">
        <v>17</v>
      </c>
      <c r="AL142" s="1" t="s">
        <v>69</v>
      </c>
      <c r="AM142" s="1" t="s">
        <v>337</v>
      </c>
      <c r="AN142" s="1" t="s">
        <v>21</v>
      </c>
      <c r="AO142" s="1" t="s">
        <v>280</v>
      </c>
      <c r="AP142" s="1" t="s">
        <v>324</v>
      </c>
      <c r="AQ142" s="1" t="s">
        <v>27</v>
      </c>
    </row>
    <row r="143" spans="1:43" x14ac:dyDescent="0.3">
      <c r="A143" s="1">
        <v>24834828</v>
      </c>
      <c r="B143" s="1">
        <v>25671598</v>
      </c>
      <c r="C143" s="1" t="s">
        <v>266</v>
      </c>
      <c r="D143" s="4">
        <v>46202.401307870372</v>
      </c>
      <c r="E143" s="4">
        <v>46202.407164351847</v>
      </c>
      <c r="F143" s="1" t="s">
        <v>24</v>
      </c>
      <c r="G143" s="1" t="s">
        <v>24</v>
      </c>
      <c r="H143" s="1" t="s">
        <v>826</v>
      </c>
      <c r="I143" s="1" t="s">
        <v>17</v>
      </c>
      <c r="J143" s="1" t="s">
        <v>827</v>
      </c>
      <c r="K143" s="1" t="s">
        <v>284</v>
      </c>
      <c r="L143" s="1" t="s">
        <v>284</v>
      </c>
      <c r="M143" s="4">
        <v>46200.677083333343</v>
      </c>
      <c r="N143" s="1" t="s">
        <v>828</v>
      </c>
      <c r="O143" s="1" t="s">
        <v>829</v>
      </c>
      <c r="P143" s="1" t="s">
        <v>271</v>
      </c>
      <c r="Q143" s="1" t="s">
        <v>303</v>
      </c>
      <c r="R143" s="1" t="s">
        <v>272</v>
      </c>
      <c r="S143" s="1" t="s">
        <v>8</v>
      </c>
      <c r="T143" s="1" t="s">
        <v>274</v>
      </c>
      <c r="U143" s="1" t="s">
        <v>148</v>
      </c>
      <c r="V143" s="1" t="s">
        <v>287</v>
      </c>
      <c r="W143" s="1" t="s">
        <v>288</v>
      </c>
      <c r="X143" s="1" t="s">
        <v>93</v>
      </c>
      <c r="Y143" s="1" t="s">
        <v>93</v>
      </c>
      <c r="Z143" s="1" t="s">
        <v>59</v>
      </c>
      <c r="AA143" s="1" t="s">
        <v>93</v>
      </c>
      <c r="AB143" s="1">
        <v>337.68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 t="s">
        <v>290</v>
      </c>
      <c r="AJ143" s="1" t="s">
        <v>410</v>
      </c>
      <c r="AK143" s="1" t="s">
        <v>17</v>
      </c>
      <c r="AL143" s="1" t="s">
        <v>65</v>
      </c>
      <c r="AM143" s="1" t="s">
        <v>292</v>
      </c>
      <c r="AN143" s="1" t="s">
        <v>21</v>
      </c>
      <c r="AO143" s="1" t="s">
        <v>280</v>
      </c>
      <c r="AP143" s="1" t="s">
        <v>324</v>
      </c>
      <c r="AQ143" s="1" t="s">
        <v>20</v>
      </c>
    </row>
    <row r="144" spans="1:43" x14ac:dyDescent="0.3">
      <c r="A144" s="1">
        <v>24830895</v>
      </c>
      <c r="B144" s="1">
        <v>25668629</v>
      </c>
      <c r="C144" s="1" t="s">
        <v>294</v>
      </c>
      <c r="D144" s="4">
        <v>46201.362881944442</v>
      </c>
      <c r="E144" s="4">
        <v>46206.415358796286</v>
      </c>
      <c r="F144" s="1" t="s">
        <v>22</v>
      </c>
      <c r="G144" s="1" t="s">
        <v>24</v>
      </c>
      <c r="H144" s="1" t="s">
        <v>830</v>
      </c>
      <c r="I144" s="1" t="s">
        <v>14</v>
      </c>
      <c r="J144" s="1" t="s">
        <v>831</v>
      </c>
      <c r="K144" s="1" t="s">
        <v>547</v>
      </c>
      <c r="L144" s="1" t="s">
        <v>547</v>
      </c>
      <c r="M144" s="4">
        <v>46201</v>
      </c>
      <c r="N144" s="1">
        <v>4713824</v>
      </c>
      <c r="O144" s="1" t="s">
        <v>93</v>
      </c>
      <c r="P144" s="1" t="s">
        <v>342</v>
      </c>
      <c r="Q144" s="1" t="s">
        <v>286</v>
      </c>
      <c r="R144" s="1" t="s">
        <v>286</v>
      </c>
      <c r="S144" s="1" t="s">
        <v>9</v>
      </c>
      <c r="T144" s="1" t="s">
        <v>274</v>
      </c>
      <c r="U144" s="1" t="s">
        <v>167</v>
      </c>
      <c r="V144" s="1" t="s">
        <v>832</v>
      </c>
      <c r="W144" s="1" t="s">
        <v>93</v>
      </c>
      <c r="X144" s="1" t="s">
        <v>93</v>
      </c>
      <c r="Y144" s="1" t="s">
        <v>93</v>
      </c>
      <c r="Z144" s="1" t="s">
        <v>83</v>
      </c>
      <c r="AA144" s="1" t="s">
        <v>93</v>
      </c>
      <c r="AB144" s="1">
        <v>780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 t="s">
        <v>833</v>
      </c>
      <c r="AJ144" s="1" t="s">
        <v>291</v>
      </c>
      <c r="AK144" s="1" t="s">
        <v>14</v>
      </c>
      <c r="AL144" s="1" t="s">
        <v>65</v>
      </c>
      <c r="AM144" s="1" t="s">
        <v>292</v>
      </c>
      <c r="AN144" s="1" t="s">
        <v>21</v>
      </c>
      <c r="AO144" s="1" t="s">
        <v>293</v>
      </c>
      <c r="AP144" s="1" t="s">
        <v>281</v>
      </c>
      <c r="AQ144" s="1" t="s">
        <v>34</v>
      </c>
    </row>
    <row r="145" spans="1:43" x14ac:dyDescent="0.3">
      <c r="A145" s="1">
        <v>24804682</v>
      </c>
      <c r="B145" s="1">
        <v>25646034</v>
      </c>
      <c r="C145" s="1" t="s">
        <v>266</v>
      </c>
      <c r="D145" s="4">
        <v>46196.603842592587</v>
      </c>
      <c r="E145" s="4">
        <v>46196.671076388891</v>
      </c>
      <c r="F145" s="1" t="s">
        <v>26</v>
      </c>
      <c r="G145" s="1" t="s">
        <v>26</v>
      </c>
      <c r="H145" s="1" t="s">
        <v>834</v>
      </c>
      <c r="I145" s="1" t="s">
        <v>268</v>
      </c>
      <c r="J145" s="1" t="s">
        <v>835</v>
      </c>
      <c r="K145" s="1" t="s">
        <v>836</v>
      </c>
      <c r="L145" s="1" t="s">
        <v>836</v>
      </c>
      <c r="M145" s="4">
        <v>46196.557638888888</v>
      </c>
      <c r="N145" s="1">
        <v>114903</v>
      </c>
      <c r="O145" s="1" t="s">
        <v>93</v>
      </c>
      <c r="P145" s="1" t="s">
        <v>342</v>
      </c>
      <c r="Q145" s="1" t="s">
        <v>303</v>
      </c>
      <c r="R145" s="1" t="s">
        <v>272</v>
      </c>
      <c r="S145" s="1" t="s">
        <v>9</v>
      </c>
      <c r="T145" s="1" t="s">
        <v>274</v>
      </c>
      <c r="U145" s="1" t="s">
        <v>149</v>
      </c>
      <c r="V145" s="1" t="s">
        <v>837</v>
      </c>
      <c r="W145" s="1" t="s">
        <v>93</v>
      </c>
      <c r="X145" s="1" t="s">
        <v>93</v>
      </c>
      <c r="Y145" s="1" t="s">
        <v>93</v>
      </c>
      <c r="Z145" s="1" t="s">
        <v>48</v>
      </c>
      <c r="AA145" s="1" t="s">
        <v>93</v>
      </c>
      <c r="AB145" s="1">
        <v>887.94</v>
      </c>
      <c r="AC145" s="1">
        <v>0</v>
      </c>
      <c r="AD145" s="1">
        <v>0</v>
      </c>
      <c r="AE145" s="1">
        <v>0</v>
      </c>
      <c r="AF145" s="1">
        <v>0</v>
      </c>
      <c r="AG145" s="1">
        <v>0</v>
      </c>
      <c r="AH145" s="1">
        <v>0</v>
      </c>
      <c r="AI145" s="1" t="s">
        <v>838</v>
      </c>
      <c r="AJ145" s="1" t="s">
        <v>410</v>
      </c>
      <c r="AK145" s="1" t="s">
        <v>13</v>
      </c>
      <c r="AL145" s="1" t="s">
        <v>65</v>
      </c>
      <c r="AM145" s="1" t="s">
        <v>292</v>
      </c>
      <c r="AN145" s="1" t="s">
        <v>21</v>
      </c>
      <c r="AO145" s="1" t="s">
        <v>280</v>
      </c>
      <c r="AP145" s="1" t="s">
        <v>324</v>
      </c>
      <c r="AQ145" s="1" t="s">
        <v>20</v>
      </c>
    </row>
    <row r="146" spans="1:43" x14ac:dyDescent="0.3">
      <c r="A146" s="1">
        <v>24807243</v>
      </c>
      <c r="B146" s="1">
        <v>25648539</v>
      </c>
      <c r="C146" s="1" t="s">
        <v>266</v>
      </c>
      <c r="D146" s="4">
        <v>46196.870706018519</v>
      </c>
      <c r="E146" s="4">
        <v>46196.930925925917</v>
      </c>
      <c r="F146" s="1" t="s">
        <v>26</v>
      </c>
      <c r="G146" s="1" t="s">
        <v>26</v>
      </c>
      <c r="H146" s="1" t="s">
        <v>839</v>
      </c>
      <c r="I146" s="1" t="s">
        <v>268</v>
      </c>
      <c r="J146" s="1" t="s">
        <v>840</v>
      </c>
      <c r="K146" s="1" t="s">
        <v>777</v>
      </c>
      <c r="L146" s="1" t="s">
        <v>777</v>
      </c>
      <c r="M146" s="4">
        <v>46196.709722222222</v>
      </c>
      <c r="N146" s="1">
        <v>115026</v>
      </c>
      <c r="O146" s="1" t="s">
        <v>93</v>
      </c>
      <c r="P146" s="1" t="s">
        <v>342</v>
      </c>
      <c r="Q146" s="1" t="s">
        <v>286</v>
      </c>
      <c r="R146" s="1" t="s">
        <v>286</v>
      </c>
      <c r="S146" s="1" t="s">
        <v>9</v>
      </c>
      <c r="T146" s="1" t="s">
        <v>274</v>
      </c>
      <c r="U146" s="1" t="s">
        <v>149</v>
      </c>
      <c r="V146" s="1" t="s">
        <v>837</v>
      </c>
      <c r="W146" s="1" t="s">
        <v>93</v>
      </c>
      <c r="X146" s="1" t="s">
        <v>93</v>
      </c>
      <c r="Y146" s="1" t="s">
        <v>93</v>
      </c>
      <c r="Z146" s="1" t="s">
        <v>48</v>
      </c>
      <c r="AA146" s="1" t="s">
        <v>93</v>
      </c>
      <c r="AB146" s="1">
        <v>884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0</v>
      </c>
      <c r="AI146" s="1" t="s">
        <v>841</v>
      </c>
      <c r="AJ146" s="1" t="s">
        <v>410</v>
      </c>
      <c r="AK146" s="1" t="s">
        <v>13</v>
      </c>
      <c r="AL146" s="1" t="s">
        <v>65</v>
      </c>
      <c r="AM146" s="1" t="s">
        <v>292</v>
      </c>
      <c r="AN146" s="1" t="s">
        <v>21</v>
      </c>
      <c r="AO146" s="1" t="s">
        <v>280</v>
      </c>
      <c r="AP146" s="1" t="s">
        <v>324</v>
      </c>
      <c r="AQ146" s="1" t="s">
        <v>20</v>
      </c>
    </row>
    <row r="147" spans="1:43" x14ac:dyDescent="0.3">
      <c r="A147" s="1">
        <v>24807249</v>
      </c>
      <c r="B147" s="1">
        <v>25648545</v>
      </c>
      <c r="C147" s="1" t="s">
        <v>266</v>
      </c>
      <c r="D147" s="4">
        <v>46196.871400462973</v>
      </c>
      <c r="E147" s="4">
        <v>46196.931550925918</v>
      </c>
      <c r="F147" s="1" t="s">
        <v>26</v>
      </c>
      <c r="G147" s="1" t="s">
        <v>26</v>
      </c>
      <c r="H147" s="1" t="s">
        <v>842</v>
      </c>
      <c r="I147" s="1" t="s">
        <v>268</v>
      </c>
      <c r="J147" s="1" t="s">
        <v>843</v>
      </c>
      <c r="K147" s="1" t="s">
        <v>777</v>
      </c>
      <c r="L147" s="1" t="s">
        <v>777</v>
      </c>
      <c r="M147" s="4">
        <v>46196.620833333327</v>
      </c>
      <c r="N147" s="1">
        <v>114757</v>
      </c>
      <c r="O147" s="1" t="s">
        <v>93</v>
      </c>
      <c r="P147" s="1" t="s">
        <v>342</v>
      </c>
      <c r="Q147" s="1" t="s">
        <v>286</v>
      </c>
      <c r="R147" s="1" t="s">
        <v>286</v>
      </c>
      <c r="S147" s="1" t="s">
        <v>9</v>
      </c>
      <c r="T147" s="1" t="s">
        <v>274</v>
      </c>
      <c r="U147" s="1" t="s">
        <v>149</v>
      </c>
      <c r="V147" s="1" t="s">
        <v>837</v>
      </c>
      <c r="W147" s="1" t="s">
        <v>93</v>
      </c>
      <c r="X147" s="1" t="s">
        <v>93</v>
      </c>
      <c r="Y147" s="1" t="s">
        <v>93</v>
      </c>
      <c r="Z147" s="1" t="s">
        <v>48</v>
      </c>
      <c r="AA147" s="1" t="s">
        <v>93</v>
      </c>
      <c r="AB147" s="1">
        <v>1148.9100000000001</v>
      </c>
      <c r="AC147" s="1">
        <v>0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 t="s">
        <v>844</v>
      </c>
      <c r="AJ147" s="1" t="s">
        <v>410</v>
      </c>
      <c r="AK147" s="1" t="s">
        <v>13</v>
      </c>
      <c r="AL147" s="1" t="s">
        <v>65</v>
      </c>
      <c r="AM147" s="1" t="s">
        <v>292</v>
      </c>
      <c r="AN147" s="1" t="s">
        <v>21</v>
      </c>
      <c r="AO147" s="1" t="s">
        <v>280</v>
      </c>
      <c r="AP147" s="1" t="s">
        <v>324</v>
      </c>
      <c r="AQ147" s="1" t="s">
        <v>20</v>
      </c>
    </row>
    <row r="148" spans="1:43" x14ac:dyDescent="0.3">
      <c r="A148" s="1">
        <v>24819606</v>
      </c>
      <c r="B148" s="1">
        <v>25659446</v>
      </c>
      <c r="C148" s="1" t="s">
        <v>266</v>
      </c>
      <c r="D148" s="4">
        <v>46198.920601851853</v>
      </c>
      <c r="E148" s="4">
        <v>46199.471018518518</v>
      </c>
      <c r="F148" s="1" t="s">
        <v>26</v>
      </c>
      <c r="G148" s="1" t="s">
        <v>26</v>
      </c>
      <c r="H148" s="1" t="s">
        <v>845</v>
      </c>
      <c r="I148" s="1" t="s">
        <v>17</v>
      </c>
      <c r="J148" s="1" t="s">
        <v>846</v>
      </c>
      <c r="K148" s="1" t="s">
        <v>764</v>
      </c>
      <c r="L148" s="1" t="s">
        <v>764</v>
      </c>
      <c r="M148" s="4">
        <v>46198.444444444453</v>
      </c>
      <c r="N148" s="1" t="s">
        <v>847</v>
      </c>
      <c r="O148" s="1" t="s">
        <v>93</v>
      </c>
      <c r="P148" s="1" t="s">
        <v>271</v>
      </c>
      <c r="Q148" s="1" t="s">
        <v>286</v>
      </c>
      <c r="R148" s="1" t="s">
        <v>286</v>
      </c>
      <c r="S148" s="1" t="s">
        <v>9</v>
      </c>
      <c r="T148" s="1" t="s">
        <v>274</v>
      </c>
      <c r="U148" s="1" t="s">
        <v>195</v>
      </c>
      <c r="V148" s="1" t="s">
        <v>766</v>
      </c>
      <c r="W148" s="1" t="s">
        <v>93</v>
      </c>
      <c r="X148" s="1" t="s">
        <v>93</v>
      </c>
      <c r="Y148" s="1" t="s">
        <v>93</v>
      </c>
      <c r="Z148" s="1" t="s">
        <v>53</v>
      </c>
      <c r="AA148" s="1" t="s">
        <v>93</v>
      </c>
      <c r="AB148" s="1">
        <v>1710</v>
      </c>
      <c r="AC148" s="1">
        <v>256.5</v>
      </c>
      <c r="AD148" s="1">
        <v>0</v>
      </c>
      <c r="AE148" s="1">
        <v>0</v>
      </c>
      <c r="AF148" s="1">
        <v>0</v>
      </c>
      <c r="AG148" s="1">
        <v>0</v>
      </c>
      <c r="AH148" s="1">
        <v>0</v>
      </c>
      <c r="AI148" s="1" t="s">
        <v>290</v>
      </c>
      <c r="AJ148" s="1" t="s">
        <v>479</v>
      </c>
      <c r="AK148" s="1" t="s">
        <v>17</v>
      </c>
      <c r="AL148" s="1" t="s">
        <v>71</v>
      </c>
      <c r="AM148" s="1" t="s">
        <v>337</v>
      </c>
      <c r="AN148" s="1" t="s">
        <v>21</v>
      </c>
      <c r="AO148" s="1" t="s">
        <v>280</v>
      </c>
      <c r="AP148" s="1" t="s">
        <v>324</v>
      </c>
      <c r="AQ148" s="1" t="s">
        <v>27</v>
      </c>
    </row>
    <row r="149" spans="1:43" x14ac:dyDescent="0.3">
      <c r="A149" s="1">
        <v>24821070</v>
      </c>
      <c r="B149" s="1">
        <v>25660281</v>
      </c>
      <c r="C149" s="1" t="s">
        <v>266</v>
      </c>
      <c r="D149" s="4">
        <v>46199.382453703707</v>
      </c>
      <c r="E149" s="4">
        <v>46206.717083333337</v>
      </c>
      <c r="F149" s="1" t="s">
        <v>22</v>
      </c>
      <c r="G149" s="1" t="s">
        <v>26</v>
      </c>
      <c r="H149" s="1" t="s">
        <v>848</v>
      </c>
      <c r="I149" s="1" t="s">
        <v>17</v>
      </c>
      <c r="J149" s="1" t="s">
        <v>849</v>
      </c>
      <c r="K149" s="1" t="s">
        <v>314</v>
      </c>
      <c r="L149" s="1" t="s">
        <v>314</v>
      </c>
      <c r="M149" s="4">
        <v>46199.247916666667</v>
      </c>
      <c r="N149" s="1" t="s">
        <v>850</v>
      </c>
      <c r="O149" s="1" t="s">
        <v>851</v>
      </c>
      <c r="P149" s="1" t="s">
        <v>271</v>
      </c>
      <c r="Q149" s="1" t="s">
        <v>303</v>
      </c>
      <c r="R149" s="1" t="s">
        <v>272</v>
      </c>
      <c r="S149" s="1" t="s">
        <v>8</v>
      </c>
      <c r="T149" s="1" t="s">
        <v>274</v>
      </c>
      <c r="U149" s="1" t="s">
        <v>145</v>
      </c>
      <c r="V149" s="1" t="s">
        <v>852</v>
      </c>
      <c r="W149" s="1" t="s">
        <v>93</v>
      </c>
      <c r="X149" s="1" t="s">
        <v>93</v>
      </c>
      <c r="Y149" s="1" t="s">
        <v>93</v>
      </c>
      <c r="Z149" s="1" t="s">
        <v>55</v>
      </c>
      <c r="AA149" s="1" t="s">
        <v>93</v>
      </c>
      <c r="AB149" s="1">
        <v>537.48</v>
      </c>
      <c r="AC149" s="1">
        <v>107.49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 t="s">
        <v>290</v>
      </c>
      <c r="AJ149" s="1" t="s">
        <v>410</v>
      </c>
      <c r="AK149" s="1" t="s">
        <v>17</v>
      </c>
      <c r="AL149" s="1" t="s">
        <v>65</v>
      </c>
      <c r="AM149" s="1" t="s">
        <v>292</v>
      </c>
      <c r="AN149" s="1" t="s">
        <v>21</v>
      </c>
      <c r="AO149" s="1" t="s">
        <v>280</v>
      </c>
      <c r="AP149" s="1" t="s">
        <v>324</v>
      </c>
      <c r="AQ149" s="1" t="s">
        <v>20</v>
      </c>
    </row>
    <row r="150" spans="1:43" x14ac:dyDescent="0.3">
      <c r="A150" s="1">
        <v>24816751</v>
      </c>
      <c r="B150" s="1">
        <v>25656556</v>
      </c>
      <c r="C150" s="1" t="s">
        <v>266</v>
      </c>
      <c r="D150" s="4">
        <v>46198.62605324074</v>
      </c>
      <c r="E150" s="4">
        <v>46198.687939814823</v>
      </c>
      <c r="F150" s="1" t="s">
        <v>26</v>
      </c>
      <c r="G150" s="1" t="s">
        <v>26</v>
      </c>
      <c r="H150" s="1" t="s">
        <v>853</v>
      </c>
      <c r="I150" s="1" t="s">
        <v>268</v>
      </c>
      <c r="J150" s="1" t="s">
        <v>854</v>
      </c>
      <c r="K150" s="1" t="s">
        <v>270</v>
      </c>
      <c r="L150" s="1" t="s">
        <v>270</v>
      </c>
      <c r="M150" s="4">
        <v>46198.374305555553</v>
      </c>
      <c r="N150" s="1">
        <v>17984</v>
      </c>
      <c r="O150" s="1" t="s">
        <v>855</v>
      </c>
      <c r="P150" s="1" t="s">
        <v>271</v>
      </c>
      <c r="Q150" s="1" t="s">
        <v>303</v>
      </c>
      <c r="R150" s="1" t="s">
        <v>272</v>
      </c>
      <c r="S150" s="1" t="s">
        <v>8</v>
      </c>
      <c r="T150" s="1" t="s">
        <v>274</v>
      </c>
      <c r="U150" s="1" t="s">
        <v>165</v>
      </c>
      <c r="V150" s="1" t="s">
        <v>856</v>
      </c>
      <c r="W150" s="1" t="s">
        <v>93</v>
      </c>
      <c r="X150" s="1" t="s">
        <v>93</v>
      </c>
      <c r="Y150" s="1" t="s">
        <v>93</v>
      </c>
      <c r="Z150" s="1" t="s">
        <v>93</v>
      </c>
      <c r="AA150" s="1" t="s">
        <v>93</v>
      </c>
      <c r="AB150" s="1">
        <v>274.88</v>
      </c>
      <c r="AC150" s="1">
        <v>0</v>
      </c>
      <c r="AD150" s="1">
        <v>0</v>
      </c>
      <c r="AE150" s="1">
        <v>0</v>
      </c>
      <c r="AF150" s="1">
        <v>0</v>
      </c>
      <c r="AG150" s="1">
        <v>0</v>
      </c>
      <c r="AH150" s="1">
        <v>0</v>
      </c>
      <c r="AI150" s="1" t="s">
        <v>857</v>
      </c>
      <c r="AJ150" s="1" t="s">
        <v>410</v>
      </c>
      <c r="AK150" s="1" t="s">
        <v>13</v>
      </c>
      <c r="AL150" s="1" t="s">
        <v>65</v>
      </c>
      <c r="AM150" s="1" t="s">
        <v>292</v>
      </c>
      <c r="AN150" s="1" t="s">
        <v>21</v>
      </c>
      <c r="AO150" s="1" t="s">
        <v>280</v>
      </c>
      <c r="AP150" s="1" t="s">
        <v>324</v>
      </c>
      <c r="AQ150" s="1" t="s">
        <v>20</v>
      </c>
    </row>
    <row r="151" spans="1:43" x14ac:dyDescent="0.3">
      <c r="A151" s="1">
        <v>24809434</v>
      </c>
      <c r="B151" s="1">
        <v>25649975</v>
      </c>
      <c r="C151" s="1" t="s">
        <v>294</v>
      </c>
      <c r="D151" s="4">
        <v>46197.46297453704</v>
      </c>
      <c r="E151" s="4">
        <v>46199.2578587963</v>
      </c>
      <c r="F151" s="1" t="s">
        <v>26</v>
      </c>
      <c r="G151" s="1" t="s">
        <v>26</v>
      </c>
      <c r="H151" s="1" t="s">
        <v>858</v>
      </c>
      <c r="I151" s="1" t="s">
        <v>17</v>
      </c>
      <c r="J151" s="1" t="s">
        <v>859</v>
      </c>
      <c r="K151" s="1" t="s">
        <v>744</v>
      </c>
      <c r="L151" s="1" t="s">
        <v>744</v>
      </c>
      <c r="M151" s="4">
        <v>46196.681250000001</v>
      </c>
      <c r="N151" s="1" t="s">
        <v>860</v>
      </c>
      <c r="O151" s="1" t="s">
        <v>93</v>
      </c>
      <c r="P151" s="1" t="s">
        <v>342</v>
      </c>
      <c r="Q151" s="1" t="s">
        <v>303</v>
      </c>
      <c r="R151" s="1" t="s">
        <v>272</v>
      </c>
      <c r="S151" s="1" t="s">
        <v>9</v>
      </c>
      <c r="T151" s="1" t="s">
        <v>274</v>
      </c>
      <c r="U151" s="1" t="s">
        <v>152</v>
      </c>
      <c r="V151" s="1" t="s">
        <v>354</v>
      </c>
      <c r="W151" s="1" t="s">
        <v>93</v>
      </c>
      <c r="X151" s="1" t="s">
        <v>93</v>
      </c>
      <c r="Y151" s="1" t="s">
        <v>93</v>
      </c>
      <c r="Z151" s="1" t="s">
        <v>53</v>
      </c>
      <c r="AA151" s="1" t="s">
        <v>93</v>
      </c>
      <c r="AB151" s="1">
        <v>210</v>
      </c>
      <c r="AC151" s="1">
        <v>0</v>
      </c>
      <c r="AD151" s="1">
        <v>0</v>
      </c>
      <c r="AE151" s="1">
        <v>0</v>
      </c>
      <c r="AF151" s="1">
        <v>0</v>
      </c>
      <c r="AG151" s="1">
        <v>0</v>
      </c>
      <c r="AH151" s="1">
        <v>0</v>
      </c>
      <c r="AI151" s="1" t="s">
        <v>290</v>
      </c>
      <c r="AJ151" s="1" t="s">
        <v>291</v>
      </c>
      <c r="AK151" s="1" t="s">
        <v>17</v>
      </c>
      <c r="AL151" s="1" t="s">
        <v>65</v>
      </c>
      <c r="AM151" s="1" t="s">
        <v>292</v>
      </c>
      <c r="AN151" s="1" t="s">
        <v>21</v>
      </c>
      <c r="AO151" s="1" t="s">
        <v>280</v>
      </c>
      <c r="AP151" s="1" t="s">
        <v>324</v>
      </c>
      <c r="AQ151" s="1" t="s">
        <v>20</v>
      </c>
    </row>
    <row r="152" spans="1:43" x14ac:dyDescent="0.3">
      <c r="A152" s="1">
        <v>24808218</v>
      </c>
      <c r="B152" s="1">
        <v>25649278</v>
      </c>
      <c r="C152" s="1" t="s">
        <v>266</v>
      </c>
      <c r="D152" s="4">
        <v>46197.090775462973</v>
      </c>
      <c r="E152" s="4">
        <v>46209.052499999998</v>
      </c>
      <c r="F152" s="1" t="s">
        <v>19</v>
      </c>
      <c r="G152" s="1" t="s">
        <v>26</v>
      </c>
      <c r="H152" s="1" t="s">
        <v>861</v>
      </c>
      <c r="I152" s="1" t="s">
        <v>268</v>
      </c>
      <c r="J152" s="1" t="s">
        <v>862</v>
      </c>
      <c r="K152" s="1" t="s">
        <v>270</v>
      </c>
      <c r="L152" s="1" t="s">
        <v>270</v>
      </c>
      <c r="M152" s="4">
        <v>46196.499305555553</v>
      </c>
      <c r="N152" s="1">
        <v>117119</v>
      </c>
      <c r="O152" s="1" t="s">
        <v>93</v>
      </c>
      <c r="P152" s="1" t="s">
        <v>342</v>
      </c>
      <c r="Q152" s="1" t="s">
        <v>303</v>
      </c>
      <c r="R152" s="1" t="s">
        <v>272</v>
      </c>
      <c r="S152" s="1" t="s">
        <v>3</v>
      </c>
      <c r="T152" s="1" t="s">
        <v>274</v>
      </c>
      <c r="U152" s="1" t="s">
        <v>144</v>
      </c>
      <c r="V152" s="1" t="s">
        <v>756</v>
      </c>
      <c r="W152" s="1" t="s">
        <v>93</v>
      </c>
      <c r="X152" s="1" t="s">
        <v>93</v>
      </c>
      <c r="Y152" s="1" t="s">
        <v>93</v>
      </c>
      <c r="Z152" s="1" t="s">
        <v>54</v>
      </c>
      <c r="AA152" s="1" t="s">
        <v>93</v>
      </c>
      <c r="AB152" s="1">
        <v>440.99</v>
      </c>
      <c r="AC152" s="1">
        <v>70.56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 t="s">
        <v>863</v>
      </c>
      <c r="AJ152" s="1" t="s">
        <v>410</v>
      </c>
      <c r="AK152" s="1" t="s">
        <v>13</v>
      </c>
      <c r="AL152" s="1" t="s">
        <v>65</v>
      </c>
      <c r="AM152" s="1" t="s">
        <v>292</v>
      </c>
      <c r="AN152" s="1" t="s">
        <v>21</v>
      </c>
      <c r="AO152" s="1" t="s">
        <v>280</v>
      </c>
      <c r="AP152" s="1" t="s">
        <v>324</v>
      </c>
      <c r="AQ152" s="1" t="s">
        <v>20</v>
      </c>
    </row>
    <row r="153" spans="1:43" x14ac:dyDescent="0.3">
      <c r="A153" s="1">
        <v>24808220</v>
      </c>
      <c r="B153" s="1">
        <v>25649280</v>
      </c>
      <c r="C153" s="1" t="s">
        <v>266</v>
      </c>
      <c r="D153" s="4">
        <v>46197.090844907398</v>
      </c>
      <c r="E153" s="4">
        <v>46209.052511574067</v>
      </c>
      <c r="F153" s="1" t="s">
        <v>19</v>
      </c>
      <c r="G153" s="1" t="s">
        <v>26</v>
      </c>
      <c r="H153" s="1" t="s">
        <v>864</v>
      </c>
      <c r="I153" s="1" t="s">
        <v>268</v>
      </c>
      <c r="J153" s="1" t="s">
        <v>865</v>
      </c>
      <c r="K153" s="1" t="s">
        <v>270</v>
      </c>
      <c r="L153" s="1" t="s">
        <v>270</v>
      </c>
      <c r="M153" s="4">
        <v>46196.499305555553</v>
      </c>
      <c r="N153" s="1">
        <v>117117</v>
      </c>
      <c r="O153" s="1" t="s">
        <v>93</v>
      </c>
      <c r="P153" s="1" t="s">
        <v>342</v>
      </c>
      <c r="Q153" s="1" t="s">
        <v>303</v>
      </c>
      <c r="R153" s="1" t="s">
        <v>272</v>
      </c>
      <c r="S153" s="1" t="s">
        <v>3</v>
      </c>
      <c r="T153" s="1" t="s">
        <v>274</v>
      </c>
      <c r="U153" s="1" t="s">
        <v>144</v>
      </c>
      <c r="V153" s="1" t="s">
        <v>756</v>
      </c>
      <c r="W153" s="1" t="s">
        <v>93</v>
      </c>
      <c r="X153" s="1" t="s">
        <v>93</v>
      </c>
      <c r="Y153" s="1" t="s">
        <v>93</v>
      </c>
      <c r="Z153" s="1" t="s">
        <v>54</v>
      </c>
      <c r="AA153" s="1" t="s">
        <v>93</v>
      </c>
      <c r="AB153" s="1">
        <v>122.25</v>
      </c>
      <c r="AC153" s="1">
        <v>19.559999999999999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 t="s">
        <v>866</v>
      </c>
      <c r="AJ153" s="1" t="s">
        <v>410</v>
      </c>
      <c r="AK153" s="1" t="s">
        <v>13</v>
      </c>
      <c r="AL153" s="1" t="s">
        <v>65</v>
      </c>
      <c r="AM153" s="1" t="s">
        <v>292</v>
      </c>
      <c r="AN153" s="1" t="s">
        <v>21</v>
      </c>
      <c r="AO153" s="1" t="s">
        <v>280</v>
      </c>
      <c r="AP153" s="1" t="s">
        <v>324</v>
      </c>
      <c r="AQ153" s="1" t="s">
        <v>20</v>
      </c>
    </row>
    <row r="154" spans="1:43" x14ac:dyDescent="0.3">
      <c r="A154" s="1">
        <v>24804526</v>
      </c>
      <c r="B154" s="1">
        <v>25645873</v>
      </c>
      <c r="C154" s="1" t="s">
        <v>266</v>
      </c>
      <c r="D154" s="4">
        <v>46196.59511574074</v>
      </c>
      <c r="E154" s="4">
        <v>46196.637418981481</v>
      </c>
      <c r="F154" s="1" t="s">
        <v>26</v>
      </c>
      <c r="G154" s="1" t="s">
        <v>26</v>
      </c>
      <c r="H154" s="1" t="s">
        <v>867</v>
      </c>
      <c r="I154" s="1" t="s">
        <v>268</v>
      </c>
      <c r="J154" s="1" t="s">
        <v>868</v>
      </c>
      <c r="K154" s="1" t="s">
        <v>869</v>
      </c>
      <c r="L154" s="1" t="s">
        <v>869</v>
      </c>
      <c r="M154" s="4">
        <v>46196.457638888889</v>
      </c>
      <c r="N154" s="1">
        <v>117022</v>
      </c>
      <c r="O154" s="1" t="s">
        <v>93</v>
      </c>
      <c r="P154" s="1" t="s">
        <v>342</v>
      </c>
      <c r="Q154" s="1" t="s">
        <v>303</v>
      </c>
      <c r="R154" s="1" t="s">
        <v>272</v>
      </c>
      <c r="S154" s="1" t="s">
        <v>3</v>
      </c>
      <c r="T154" s="1" t="s">
        <v>274</v>
      </c>
      <c r="U154" s="1" t="s">
        <v>144</v>
      </c>
      <c r="V154" s="1" t="s">
        <v>756</v>
      </c>
      <c r="W154" s="1" t="s">
        <v>93</v>
      </c>
      <c r="X154" s="1" t="s">
        <v>93</v>
      </c>
      <c r="Y154" s="1" t="s">
        <v>93</v>
      </c>
      <c r="Z154" s="1" t="s">
        <v>54</v>
      </c>
      <c r="AA154" s="1" t="s">
        <v>93</v>
      </c>
      <c r="AB154" s="1">
        <v>700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 t="s">
        <v>870</v>
      </c>
      <c r="AJ154" s="1" t="s">
        <v>410</v>
      </c>
      <c r="AK154" s="1" t="s">
        <v>13</v>
      </c>
      <c r="AL154" s="1" t="s">
        <v>65</v>
      </c>
      <c r="AM154" s="1" t="s">
        <v>292</v>
      </c>
      <c r="AN154" s="1" t="s">
        <v>21</v>
      </c>
      <c r="AO154" s="1" t="s">
        <v>280</v>
      </c>
      <c r="AP154" s="1" t="s">
        <v>324</v>
      </c>
      <c r="AQ154" s="1" t="s">
        <v>20</v>
      </c>
    </row>
    <row r="155" spans="1:43" x14ac:dyDescent="0.3">
      <c r="A155" s="1">
        <v>24816651</v>
      </c>
      <c r="B155" s="1">
        <v>25656476</v>
      </c>
      <c r="C155" s="1" t="s">
        <v>266</v>
      </c>
      <c r="D155" s="4">
        <v>46198.623067129629</v>
      </c>
      <c r="E155" s="4">
        <v>46198.669814814813</v>
      </c>
      <c r="F155" s="1" t="s">
        <v>26</v>
      </c>
      <c r="G155" s="1" t="s">
        <v>26</v>
      </c>
      <c r="H155" s="1" t="s">
        <v>871</v>
      </c>
      <c r="I155" s="1" t="s">
        <v>268</v>
      </c>
      <c r="J155" s="1" t="s">
        <v>872</v>
      </c>
      <c r="K155" s="1" t="s">
        <v>869</v>
      </c>
      <c r="L155" s="1" t="s">
        <v>869</v>
      </c>
      <c r="M155" s="4">
        <v>46198.587500000001</v>
      </c>
      <c r="N155" s="1">
        <v>117463</v>
      </c>
      <c r="O155" s="1" t="s">
        <v>93</v>
      </c>
      <c r="P155" s="1" t="s">
        <v>342</v>
      </c>
      <c r="Q155" s="1" t="s">
        <v>303</v>
      </c>
      <c r="R155" s="1" t="s">
        <v>272</v>
      </c>
      <c r="S155" s="1" t="s">
        <v>3</v>
      </c>
      <c r="T155" s="1" t="s">
        <v>274</v>
      </c>
      <c r="U155" s="1" t="s">
        <v>144</v>
      </c>
      <c r="V155" s="1" t="s">
        <v>756</v>
      </c>
      <c r="W155" s="1" t="s">
        <v>93</v>
      </c>
      <c r="X155" s="1" t="s">
        <v>93</v>
      </c>
      <c r="Y155" s="1" t="s">
        <v>93</v>
      </c>
      <c r="Z155" s="1" t="s">
        <v>54</v>
      </c>
      <c r="AA155" s="1" t="s">
        <v>93</v>
      </c>
      <c r="AB155" s="1">
        <v>120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 t="s">
        <v>873</v>
      </c>
      <c r="AJ155" s="1" t="s">
        <v>410</v>
      </c>
      <c r="AK155" s="1" t="s">
        <v>13</v>
      </c>
      <c r="AL155" s="1" t="s">
        <v>65</v>
      </c>
      <c r="AM155" s="1" t="s">
        <v>292</v>
      </c>
      <c r="AN155" s="1" t="s">
        <v>21</v>
      </c>
      <c r="AO155" s="1" t="s">
        <v>280</v>
      </c>
      <c r="AP155" s="1" t="s">
        <v>324</v>
      </c>
      <c r="AQ155" s="1" t="s">
        <v>20</v>
      </c>
    </row>
    <row r="156" spans="1:43" x14ac:dyDescent="0.3">
      <c r="A156" s="1">
        <v>24816653</v>
      </c>
      <c r="B156" s="1">
        <v>25656478</v>
      </c>
      <c r="C156" s="1" t="s">
        <v>266</v>
      </c>
      <c r="D156" s="4">
        <v>46198.623124999998</v>
      </c>
      <c r="E156" s="4">
        <v>46198.669988425929</v>
      </c>
      <c r="F156" s="1" t="s">
        <v>26</v>
      </c>
      <c r="G156" s="1" t="s">
        <v>26</v>
      </c>
      <c r="H156" s="1" t="s">
        <v>874</v>
      </c>
      <c r="I156" s="1" t="s">
        <v>268</v>
      </c>
      <c r="J156" s="1" t="s">
        <v>875</v>
      </c>
      <c r="K156" s="1" t="s">
        <v>869</v>
      </c>
      <c r="L156" s="1" t="s">
        <v>869</v>
      </c>
      <c r="M156" s="4">
        <v>46198.586805555547</v>
      </c>
      <c r="N156" s="1">
        <v>117459</v>
      </c>
      <c r="O156" s="1" t="s">
        <v>93</v>
      </c>
      <c r="P156" s="1" t="s">
        <v>342</v>
      </c>
      <c r="Q156" s="1" t="s">
        <v>303</v>
      </c>
      <c r="R156" s="1" t="s">
        <v>272</v>
      </c>
      <c r="S156" s="1" t="s">
        <v>3</v>
      </c>
      <c r="T156" s="1" t="s">
        <v>274</v>
      </c>
      <c r="U156" s="1" t="s">
        <v>144</v>
      </c>
      <c r="V156" s="1" t="s">
        <v>756</v>
      </c>
      <c r="W156" s="1" t="s">
        <v>93</v>
      </c>
      <c r="X156" s="1" t="s">
        <v>93</v>
      </c>
      <c r="Y156" s="1" t="s">
        <v>93</v>
      </c>
      <c r="Z156" s="1" t="s">
        <v>54</v>
      </c>
      <c r="AA156" s="1" t="s">
        <v>93</v>
      </c>
      <c r="AB156" s="1">
        <v>310</v>
      </c>
      <c r="AC156" s="1">
        <v>0</v>
      </c>
      <c r="AD156" s="1">
        <v>0</v>
      </c>
      <c r="AE156" s="1">
        <v>0</v>
      </c>
      <c r="AF156" s="1">
        <v>0</v>
      </c>
      <c r="AG156" s="1">
        <v>0</v>
      </c>
      <c r="AH156" s="1">
        <v>0</v>
      </c>
      <c r="AI156" s="1" t="s">
        <v>876</v>
      </c>
      <c r="AJ156" s="1" t="s">
        <v>410</v>
      </c>
      <c r="AK156" s="1" t="s">
        <v>13</v>
      </c>
      <c r="AL156" s="1" t="s">
        <v>65</v>
      </c>
      <c r="AM156" s="1" t="s">
        <v>292</v>
      </c>
      <c r="AN156" s="1" t="s">
        <v>21</v>
      </c>
      <c r="AO156" s="1" t="s">
        <v>280</v>
      </c>
      <c r="AP156" s="1" t="s">
        <v>324</v>
      </c>
      <c r="AQ156" s="1" t="s">
        <v>20</v>
      </c>
    </row>
    <row r="157" spans="1:43" x14ac:dyDescent="0.3">
      <c r="A157" s="1">
        <v>24822979</v>
      </c>
      <c r="B157" s="1">
        <v>25662122</v>
      </c>
      <c r="C157" s="1" t="s">
        <v>266</v>
      </c>
      <c r="D157" s="4">
        <v>46199.639340277783</v>
      </c>
      <c r="E157" s="4">
        <v>46199.683634259258</v>
      </c>
      <c r="F157" s="1" t="s">
        <v>26</v>
      </c>
      <c r="G157" s="1" t="s">
        <v>26</v>
      </c>
      <c r="H157" s="1" t="s">
        <v>877</v>
      </c>
      <c r="I157" s="1" t="s">
        <v>268</v>
      </c>
      <c r="J157" s="1" t="s">
        <v>878</v>
      </c>
      <c r="K157" s="1" t="s">
        <v>869</v>
      </c>
      <c r="L157" s="1" t="s">
        <v>869</v>
      </c>
      <c r="M157" s="4">
        <v>46199.415277777778</v>
      </c>
      <c r="N157" s="1">
        <v>117587</v>
      </c>
      <c r="O157" s="1" t="s">
        <v>93</v>
      </c>
      <c r="P157" s="1" t="s">
        <v>342</v>
      </c>
      <c r="Q157" s="1" t="s">
        <v>303</v>
      </c>
      <c r="R157" s="1" t="s">
        <v>272</v>
      </c>
      <c r="S157" s="1" t="s">
        <v>3</v>
      </c>
      <c r="T157" s="1" t="s">
        <v>274</v>
      </c>
      <c r="U157" s="1" t="s">
        <v>144</v>
      </c>
      <c r="V157" s="1" t="s">
        <v>756</v>
      </c>
      <c r="W157" s="1" t="s">
        <v>93</v>
      </c>
      <c r="X157" s="1" t="s">
        <v>93</v>
      </c>
      <c r="Y157" s="1" t="s">
        <v>93</v>
      </c>
      <c r="Z157" s="1" t="s">
        <v>54</v>
      </c>
      <c r="AA157" s="1" t="s">
        <v>93</v>
      </c>
      <c r="AB157" s="1">
        <v>489</v>
      </c>
      <c r="AC157" s="1">
        <v>0</v>
      </c>
      <c r="AD157" s="1">
        <v>0</v>
      </c>
      <c r="AE157" s="1">
        <v>0</v>
      </c>
      <c r="AF157" s="1">
        <v>0</v>
      </c>
      <c r="AG157" s="1">
        <v>0</v>
      </c>
      <c r="AH157" s="1">
        <v>0</v>
      </c>
      <c r="AI157" s="1" t="s">
        <v>879</v>
      </c>
      <c r="AJ157" s="1" t="s">
        <v>410</v>
      </c>
      <c r="AK157" s="1" t="s">
        <v>13</v>
      </c>
      <c r="AL157" s="1" t="s">
        <v>65</v>
      </c>
      <c r="AM157" s="1" t="s">
        <v>292</v>
      </c>
      <c r="AN157" s="1" t="s">
        <v>21</v>
      </c>
      <c r="AO157" s="1" t="s">
        <v>280</v>
      </c>
      <c r="AP157" s="1" t="s">
        <v>324</v>
      </c>
      <c r="AQ157" s="1" t="s">
        <v>20</v>
      </c>
    </row>
    <row r="158" spans="1:43" x14ac:dyDescent="0.3">
      <c r="A158" s="1">
        <v>24825459</v>
      </c>
      <c r="B158" s="1">
        <v>25664718</v>
      </c>
      <c r="C158" s="1" t="s">
        <v>266</v>
      </c>
      <c r="D158" s="4">
        <v>46199.894386574073</v>
      </c>
      <c r="E158" s="4">
        <v>46199.918032407397</v>
      </c>
      <c r="F158" s="1" t="s">
        <v>26</v>
      </c>
      <c r="G158" s="1" t="s">
        <v>26</v>
      </c>
      <c r="H158" s="1" t="s">
        <v>880</v>
      </c>
      <c r="I158" s="1" t="s">
        <v>268</v>
      </c>
      <c r="J158" s="1" t="s">
        <v>881</v>
      </c>
      <c r="K158" s="1" t="s">
        <v>869</v>
      </c>
      <c r="L158" s="1" t="s">
        <v>869</v>
      </c>
      <c r="M158" s="4">
        <v>46199.734027777777</v>
      </c>
      <c r="N158" s="1">
        <v>117734</v>
      </c>
      <c r="O158" s="1" t="s">
        <v>93</v>
      </c>
      <c r="P158" s="1" t="s">
        <v>342</v>
      </c>
      <c r="Q158" s="1" t="s">
        <v>882</v>
      </c>
      <c r="R158" s="1" t="s">
        <v>882</v>
      </c>
      <c r="S158" s="1" t="s">
        <v>3</v>
      </c>
      <c r="T158" s="1" t="s">
        <v>274</v>
      </c>
      <c r="U158" s="1" t="s">
        <v>144</v>
      </c>
      <c r="V158" s="1" t="s">
        <v>756</v>
      </c>
      <c r="W158" s="1" t="s">
        <v>93</v>
      </c>
      <c r="X158" s="1" t="s">
        <v>93</v>
      </c>
      <c r="Y158" s="1" t="s">
        <v>93</v>
      </c>
      <c r="Z158" s="1" t="s">
        <v>54</v>
      </c>
      <c r="AA158" s="1" t="s">
        <v>93</v>
      </c>
      <c r="AB158" s="1">
        <v>7320</v>
      </c>
      <c r="AC158" s="1">
        <v>0</v>
      </c>
      <c r="AD158" s="1">
        <v>0</v>
      </c>
      <c r="AE158" s="1">
        <v>0</v>
      </c>
      <c r="AF158" s="1">
        <v>0</v>
      </c>
      <c r="AG158" s="1">
        <v>0</v>
      </c>
      <c r="AH158" s="1">
        <v>0</v>
      </c>
      <c r="AI158" s="1" t="s">
        <v>883</v>
      </c>
      <c r="AJ158" s="1" t="s">
        <v>410</v>
      </c>
      <c r="AK158" s="1" t="s">
        <v>13</v>
      </c>
      <c r="AL158" s="1" t="s">
        <v>65</v>
      </c>
      <c r="AM158" s="1" t="s">
        <v>292</v>
      </c>
      <c r="AN158" s="1" t="s">
        <v>21</v>
      </c>
      <c r="AO158" s="1" t="s">
        <v>280</v>
      </c>
      <c r="AP158" s="1" t="s">
        <v>324</v>
      </c>
      <c r="AQ158" s="1" t="s">
        <v>20</v>
      </c>
    </row>
    <row r="159" spans="1:43" x14ac:dyDescent="0.3">
      <c r="A159" s="1">
        <v>24825569</v>
      </c>
      <c r="B159" s="1">
        <v>25664817</v>
      </c>
      <c r="C159" s="1" t="s">
        <v>266</v>
      </c>
      <c r="D159" s="4">
        <v>46199.898032407407</v>
      </c>
      <c r="E159" s="4">
        <v>46199.927615740737</v>
      </c>
      <c r="F159" s="1" t="s">
        <v>26</v>
      </c>
      <c r="G159" s="1" t="s">
        <v>26</v>
      </c>
      <c r="H159" s="1" t="s">
        <v>884</v>
      </c>
      <c r="I159" s="1" t="s">
        <v>268</v>
      </c>
      <c r="J159" s="1" t="s">
        <v>885</v>
      </c>
      <c r="K159" s="1" t="s">
        <v>869</v>
      </c>
      <c r="L159" s="1" t="s">
        <v>869</v>
      </c>
      <c r="M159" s="4">
        <v>46199.655555555553</v>
      </c>
      <c r="N159" s="1">
        <v>117633</v>
      </c>
      <c r="O159" s="1" t="s">
        <v>93</v>
      </c>
      <c r="P159" s="1" t="s">
        <v>342</v>
      </c>
      <c r="Q159" s="1" t="s">
        <v>303</v>
      </c>
      <c r="R159" s="1" t="s">
        <v>272</v>
      </c>
      <c r="S159" s="1" t="s">
        <v>3</v>
      </c>
      <c r="T159" s="1" t="s">
        <v>274</v>
      </c>
      <c r="U159" s="1" t="s">
        <v>144</v>
      </c>
      <c r="V159" s="1" t="s">
        <v>756</v>
      </c>
      <c r="W159" s="1" t="s">
        <v>93</v>
      </c>
      <c r="X159" s="1" t="s">
        <v>93</v>
      </c>
      <c r="Y159" s="1" t="s">
        <v>93</v>
      </c>
      <c r="Z159" s="1" t="s">
        <v>54</v>
      </c>
      <c r="AA159" s="1" t="s">
        <v>93</v>
      </c>
      <c r="AB159" s="1">
        <v>750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0</v>
      </c>
      <c r="AI159" s="1" t="s">
        <v>886</v>
      </c>
      <c r="AJ159" s="1" t="s">
        <v>410</v>
      </c>
      <c r="AK159" s="1" t="s">
        <v>13</v>
      </c>
      <c r="AL159" s="1" t="s">
        <v>65</v>
      </c>
      <c r="AM159" s="1" t="s">
        <v>292</v>
      </c>
      <c r="AN159" s="1" t="s">
        <v>21</v>
      </c>
      <c r="AO159" s="1" t="s">
        <v>280</v>
      </c>
      <c r="AP159" s="1" t="s">
        <v>324</v>
      </c>
      <c r="AQ159" s="1" t="s">
        <v>20</v>
      </c>
    </row>
    <row r="160" spans="1:43" x14ac:dyDescent="0.3">
      <c r="A160" s="1">
        <v>24826776</v>
      </c>
      <c r="B160" s="1">
        <v>25665837</v>
      </c>
      <c r="C160" s="1" t="s">
        <v>266</v>
      </c>
      <c r="D160" s="4">
        <v>46200.131238425929</v>
      </c>
      <c r="E160" s="4">
        <v>46209.052534722221</v>
      </c>
      <c r="F160" s="1" t="s">
        <v>19</v>
      </c>
      <c r="G160" s="1" t="s">
        <v>26</v>
      </c>
      <c r="H160" s="1" t="s">
        <v>887</v>
      </c>
      <c r="I160" s="1" t="s">
        <v>268</v>
      </c>
      <c r="J160" s="1" t="s">
        <v>865</v>
      </c>
      <c r="K160" s="1" t="s">
        <v>270</v>
      </c>
      <c r="L160" s="1" t="s">
        <v>270</v>
      </c>
      <c r="M160" s="4">
        <v>46199.573611111111</v>
      </c>
      <c r="N160" s="1">
        <v>117687</v>
      </c>
      <c r="O160" s="1" t="s">
        <v>93</v>
      </c>
      <c r="P160" s="1" t="s">
        <v>342</v>
      </c>
      <c r="Q160" s="1" t="s">
        <v>303</v>
      </c>
      <c r="R160" s="1" t="s">
        <v>272</v>
      </c>
      <c r="S160" s="1" t="s">
        <v>3</v>
      </c>
      <c r="T160" s="1" t="s">
        <v>274</v>
      </c>
      <c r="U160" s="1" t="s">
        <v>144</v>
      </c>
      <c r="V160" s="1" t="s">
        <v>756</v>
      </c>
      <c r="W160" s="1" t="s">
        <v>93</v>
      </c>
      <c r="X160" s="1" t="s">
        <v>93</v>
      </c>
      <c r="Y160" s="1" t="s">
        <v>93</v>
      </c>
      <c r="Z160" s="1" t="s">
        <v>54</v>
      </c>
      <c r="AA160" s="1" t="s">
        <v>93</v>
      </c>
      <c r="AB160" s="1">
        <v>122.25</v>
      </c>
      <c r="AC160" s="1">
        <v>19.559999999999999</v>
      </c>
      <c r="AD160" s="1">
        <v>0</v>
      </c>
      <c r="AE160" s="1">
        <v>0</v>
      </c>
      <c r="AF160" s="1">
        <v>0</v>
      </c>
      <c r="AG160" s="1">
        <v>0</v>
      </c>
      <c r="AH160" s="1">
        <v>0</v>
      </c>
      <c r="AI160" s="1" t="s">
        <v>888</v>
      </c>
      <c r="AJ160" s="1" t="s">
        <v>410</v>
      </c>
      <c r="AK160" s="1" t="s">
        <v>13</v>
      </c>
      <c r="AL160" s="1" t="s">
        <v>65</v>
      </c>
      <c r="AM160" s="1" t="s">
        <v>292</v>
      </c>
      <c r="AN160" s="1" t="s">
        <v>21</v>
      </c>
      <c r="AO160" s="1" t="s">
        <v>280</v>
      </c>
      <c r="AP160" s="1" t="s">
        <v>324</v>
      </c>
      <c r="AQ160" s="1" t="s">
        <v>20</v>
      </c>
    </row>
    <row r="161" spans="1:43" x14ac:dyDescent="0.3">
      <c r="A161" s="1">
        <v>24826780</v>
      </c>
      <c r="B161" s="1">
        <v>25665841</v>
      </c>
      <c r="C161" s="1" t="s">
        <v>266</v>
      </c>
      <c r="D161" s="4">
        <v>46200.131365740737</v>
      </c>
      <c r="E161" s="4">
        <v>46209.052546296298</v>
      </c>
      <c r="F161" s="1" t="s">
        <v>19</v>
      </c>
      <c r="G161" s="1" t="s">
        <v>26</v>
      </c>
      <c r="H161" s="1" t="s">
        <v>889</v>
      </c>
      <c r="I161" s="1" t="s">
        <v>268</v>
      </c>
      <c r="J161" s="1" t="s">
        <v>890</v>
      </c>
      <c r="K161" s="1" t="s">
        <v>270</v>
      </c>
      <c r="L161" s="1" t="s">
        <v>270</v>
      </c>
      <c r="M161" s="4">
        <v>46199.667361111111</v>
      </c>
      <c r="N161" s="1">
        <v>117484</v>
      </c>
      <c r="O161" s="1" t="s">
        <v>93</v>
      </c>
      <c r="P161" s="1" t="s">
        <v>342</v>
      </c>
      <c r="Q161" s="1" t="s">
        <v>303</v>
      </c>
      <c r="R161" s="1" t="s">
        <v>272</v>
      </c>
      <c r="S161" s="1" t="s">
        <v>3</v>
      </c>
      <c r="T161" s="1" t="s">
        <v>274</v>
      </c>
      <c r="U161" s="1" t="s">
        <v>144</v>
      </c>
      <c r="V161" s="1" t="s">
        <v>756</v>
      </c>
      <c r="W161" s="1" t="s">
        <v>93</v>
      </c>
      <c r="X161" s="1" t="s">
        <v>93</v>
      </c>
      <c r="Y161" s="1" t="s">
        <v>93</v>
      </c>
      <c r="Z161" s="1" t="s">
        <v>54</v>
      </c>
      <c r="AA161" s="1" t="s">
        <v>93</v>
      </c>
      <c r="AB161" s="1">
        <v>78.989999999999995</v>
      </c>
      <c r="AC161" s="1">
        <v>12.64</v>
      </c>
      <c r="AD161" s="1">
        <v>0</v>
      </c>
      <c r="AE161" s="1">
        <v>0</v>
      </c>
      <c r="AF161" s="1">
        <v>0</v>
      </c>
      <c r="AG161" s="1">
        <v>0</v>
      </c>
      <c r="AH161" s="1">
        <v>0</v>
      </c>
      <c r="AI161" s="1" t="s">
        <v>891</v>
      </c>
      <c r="AJ161" s="1" t="s">
        <v>410</v>
      </c>
      <c r="AK161" s="1" t="s">
        <v>13</v>
      </c>
      <c r="AL161" s="1" t="s">
        <v>65</v>
      </c>
      <c r="AM161" s="1" t="s">
        <v>292</v>
      </c>
      <c r="AN161" s="1" t="s">
        <v>21</v>
      </c>
      <c r="AO161" s="1" t="s">
        <v>280</v>
      </c>
      <c r="AP161" s="1" t="s">
        <v>324</v>
      </c>
      <c r="AQ161" s="1" t="s">
        <v>20</v>
      </c>
    </row>
    <row r="162" spans="1:43" x14ac:dyDescent="0.3">
      <c r="A162" s="1">
        <v>24819093</v>
      </c>
      <c r="B162" s="1">
        <v>25658965</v>
      </c>
      <c r="C162" s="1" t="s">
        <v>266</v>
      </c>
      <c r="D162" s="4">
        <v>46198.880590277768</v>
      </c>
      <c r="E162" s="4">
        <v>46198.907569444447</v>
      </c>
      <c r="F162" s="1" t="s">
        <v>26</v>
      </c>
      <c r="G162" s="1" t="s">
        <v>26</v>
      </c>
      <c r="H162" s="1" t="s">
        <v>892</v>
      </c>
      <c r="I162" s="1" t="s">
        <v>268</v>
      </c>
      <c r="J162" s="1" t="s">
        <v>893</v>
      </c>
      <c r="K162" s="1" t="s">
        <v>869</v>
      </c>
      <c r="L162" s="1" t="s">
        <v>869</v>
      </c>
      <c r="M162" s="4">
        <v>46198.657638888893</v>
      </c>
      <c r="N162" s="1">
        <v>117460</v>
      </c>
      <c r="O162" s="1" t="s">
        <v>93</v>
      </c>
      <c r="P162" s="1" t="s">
        <v>342</v>
      </c>
      <c r="Q162" s="1" t="s">
        <v>303</v>
      </c>
      <c r="R162" s="1" t="s">
        <v>272</v>
      </c>
      <c r="S162" s="1" t="s">
        <v>3</v>
      </c>
      <c r="T162" s="1" t="s">
        <v>274</v>
      </c>
      <c r="U162" s="1" t="s">
        <v>144</v>
      </c>
      <c r="V162" s="1" t="s">
        <v>756</v>
      </c>
      <c r="W162" s="1" t="s">
        <v>93</v>
      </c>
      <c r="X162" s="1" t="s">
        <v>93</v>
      </c>
      <c r="Y162" s="1" t="s">
        <v>93</v>
      </c>
      <c r="Z162" s="1" t="s">
        <v>54</v>
      </c>
      <c r="AA162" s="1" t="s">
        <v>93</v>
      </c>
      <c r="AB162" s="1">
        <v>300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 t="s">
        <v>894</v>
      </c>
      <c r="AJ162" s="1" t="s">
        <v>410</v>
      </c>
      <c r="AK162" s="1" t="s">
        <v>13</v>
      </c>
      <c r="AL162" s="1" t="s">
        <v>65</v>
      </c>
      <c r="AM162" s="1" t="s">
        <v>292</v>
      </c>
      <c r="AN162" s="1" t="s">
        <v>21</v>
      </c>
      <c r="AO162" s="1" t="s">
        <v>280</v>
      </c>
      <c r="AP162" s="1" t="s">
        <v>324</v>
      </c>
      <c r="AQ162" s="1" t="s">
        <v>20</v>
      </c>
    </row>
    <row r="163" spans="1:43" x14ac:dyDescent="0.3">
      <c r="A163" s="1">
        <v>24821012</v>
      </c>
      <c r="B163" s="1">
        <v>25660223</v>
      </c>
      <c r="C163" s="1" t="s">
        <v>266</v>
      </c>
      <c r="D163" s="4">
        <v>46199.371122685188</v>
      </c>
      <c r="E163" s="4">
        <v>46199.37537037037</v>
      </c>
      <c r="F163" s="1" t="s">
        <v>26</v>
      </c>
      <c r="G163" s="1" t="s">
        <v>26</v>
      </c>
      <c r="H163" s="1" t="s">
        <v>895</v>
      </c>
      <c r="I163" s="1" t="s">
        <v>268</v>
      </c>
      <c r="J163" s="1" t="s">
        <v>896</v>
      </c>
      <c r="K163" s="1" t="s">
        <v>869</v>
      </c>
      <c r="L163" s="1" t="s">
        <v>869</v>
      </c>
      <c r="M163" s="4">
        <v>46199.334722222222</v>
      </c>
      <c r="N163" s="1">
        <v>117458</v>
      </c>
      <c r="O163" s="1" t="s">
        <v>93</v>
      </c>
      <c r="P163" s="1" t="s">
        <v>342</v>
      </c>
      <c r="Q163" s="1" t="s">
        <v>303</v>
      </c>
      <c r="R163" s="1" t="s">
        <v>272</v>
      </c>
      <c r="S163" s="1" t="s">
        <v>3</v>
      </c>
      <c r="T163" s="1" t="s">
        <v>274</v>
      </c>
      <c r="U163" s="1" t="s">
        <v>144</v>
      </c>
      <c r="V163" s="1" t="s">
        <v>756</v>
      </c>
      <c r="W163" s="1" t="s">
        <v>93</v>
      </c>
      <c r="X163" s="1" t="s">
        <v>93</v>
      </c>
      <c r="Y163" s="1" t="s">
        <v>93</v>
      </c>
      <c r="Z163" s="1" t="s">
        <v>54</v>
      </c>
      <c r="AA163" s="1" t="s">
        <v>93</v>
      </c>
      <c r="AB163" s="1">
        <v>150</v>
      </c>
      <c r="AC163" s="1">
        <v>0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 t="s">
        <v>897</v>
      </c>
      <c r="AJ163" s="1" t="s">
        <v>410</v>
      </c>
      <c r="AK163" s="1" t="s">
        <v>13</v>
      </c>
      <c r="AL163" s="1" t="s">
        <v>65</v>
      </c>
      <c r="AM163" s="1" t="s">
        <v>292</v>
      </c>
      <c r="AN163" s="1" t="s">
        <v>21</v>
      </c>
      <c r="AO163" s="1" t="s">
        <v>280</v>
      </c>
      <c r="AP163" s="1" t="s">
        <v>324</v>
      </c>
      <c r="AQ163" s="1" t="s">
        <v>20</v>
      </c>
    </row>
    <row r="164" spans="1:43" x14ac:dyDescent="0.3">
      <c r="A164" s="1">
        <v>24821013</v>
      </c>
      <c r="B164" s="1">
        <v>25660224</v>
      </c>
      <c r="C164" s="1" t="s">
        <v>266</v>
      </c>
      <c r="D164" s="4">
        <v>46199.371157407397</v>
      </c>
      <c r="E164" s="4">
        <v>46199.37537037037</v>
      </c>
      <c r="F164" s="1" t="s">
        <v>26</v>
      </c>
      <c r="G164" s="1" t="s">
        <v>26</v>
      </c>
      <c r="H164" s="1" t="s">
        <v>898</v>
      </c>
      <c r="I164" s="1" t="s">
        <v>268</v>
      </c>
      <c r="J164" s="1" t="s">
        <v>899</v>
      </c>
      <c r="K164" s="1" t="s">
        <v>869</v>
      </c>
      <c r="L164" s="1" t="s">
        <v>869</v>
      </c>
      <c r="M164" s="4">
        <v>46199.334722222222</v>
      </c>
      <c r="N164" s="1">
        <v>117456</v>
      </c>
      <c r="O164" s="1" t="s">
        <v>93</v>
      </c>
      <c r="P164" s="1" t="s">
        <v>342</v>
      </c>
      <c r="Q164" s="1" t="s">
        <v>303</v>
      </c>
      <c r="R164" s="1" t="s">
        <v>272</v>
      </c>
      <c r="S164" s="1" t="s">
        <v>3</v>
      </c>
      <c r="T164" s="1" t="s">
        <v>274</v>
      </c>
      <c r="U164" s="1" t="s">
        <v>144</v>
      </c>
      <c r="V164" s="1" t="s">
        <v>756</v>
      </c>
      <c r="W164" s="1" t="s">
        <v>93</v>
      </c>
      <c r="X164" s="1" t="s">
        <v>93</v>
      </c>
      <c r="Y164" s="1" t="s">
        <v>93</v>
      </c>
      <c r="Z164" s="1" t="s">
        <v>54</v>
      </c>
      <c r="AA164" s="1" t="s">
        <v>93</v>
      </c>
      <c r="AB164" s="1">
        <v>300</v>
      </c>
      <c r="AC164" s="1">
        <v>0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 t="s">
        <v>900</v>
      </c>
      <c r="AJ164" s="1" t="s">
        <v>410</v>
      </c>
      <c r="AK164" s="1" t="s">
        <v>13</v>
      </c>
      <c r="AL164" s="1" t="s">
        <v>65</v>
      </c>
      <c r="AM164" s="1" t="s">
        <v>292</v>
      </c>
      <c r="AN164" s="1" t="s">
        <v>21</v>
      </c>
      <c r="AO164" s="1" t="s">
        <v>280</v>
      </c>
      <c r="AP164" s="1" t="s">
        <v>324</v>
      </c>
      <c r="AQ164" s="1" t="s">
        <v>20</v>
      </c>
    </row>
    <row r="165" spans="1:43" x14ac:dyDescent="0.3">
      <c r="A165" s="1">
        <v>24821014</v>
      </c>
      <c r="B165" s="1">
        <v>25660225</v>
      </c>
      <c r="C165" s="1" t="s">
        <v>266</v>
      </c>
      <c r="D165" s="4">
        <v>46199.371192129627</v>
      </c>
      <c r="E165" s="4">
        <v>46199.375381944446</v>
      </c>
      <c r="F165" s="1" t="s">
        <v>26</v>
      </c>
      <c r="G165" s="1" t="s">
        <v>26</v>
      </c>
      <c r="H165" s="1" t="s">
        <v>901</v>
      </c>
      <c r="I165" s="1" t="s">
        <v>268</v>
      </c>
      <c r="J165" s="1" t="s">
        <v>902</v>
      </c>
      <c r="K165" s="1" t="s">
        <v>869</v>
      </c>
      <c r="L165" s="1" t="s">
        <v>869</v>
      </c>
      <c r="M165" s="4">
        <v>46199.334722222222</v>
      </c>
      <c r="N165" s="1">
        <v>117455</v>
      </c>
      <c r="O165" s="1" t="s">
        <v>93</v>
      </c>
      <c r="P165" s="1" t="s">
        <v>342</v>
      </c>
      <c r="Q165" s="1" t="s">
        <v>303</v>
      </c>
      <c r="R165" s="1" t="s">
        <v>272</v>
      </c>
      <c r="S165" s="1" t="s">
        <v>3</v>
      </c>
      <c r="T165" s="1" t="s">
        <v>274</v>
      </c>
      <c r="U165" s="1" t="s">
        <v>144</v>
      </c>
      <c r="V165" s="1" t="s">
        <v>756</v>
      </c>
      <c r="W165" s="1" t="s">
        <v>93</v>
      </c>
      <c r="X165" s="1" t="s">
        <v>93</v>
      </c>
      <c r="Y165" s="1" t="s">
        <v>93</v>
      </c>
      <c r="Z165" s="1" t="s">
        <v>54</v>
      </c>
      <c r="AA165" s="1" t="s">
        <v>93</v>
      </c>
      <c r="AB165" s="1">
        <v>570</v>
      </c>
      <c r="AC165" s="1">
        <v>0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 t="s">
        <v>903</v>
      </c>
      <c r="AJ165" s="1" t="s">
        <v>410</v>
      </c>
      <c r="AK165" s="1" t="s">
        <v>13</v>
      </c>
      <c r="AL165" s="1" t="s">
        <v>65</v>
      </c>
      <c r="AM165" s="1" t="s">
        <v>292</v>
      </c>
      <c r="AN165" s="1" t="s">
        <v>21</v>
      </c>
      <c r="AO165" s="1" t="s">
        <v>280</v>
      </c>
      <c r="AP165" s="1" t="s">
        <v>324</v>
      </c>
      <c r="AQ165" s="1" t="s">
        <v>20</v>
      </c>
    </row>
    <row r="166" spans="1:43" x14ac:dyDescent="0.3">
      <c r="A166" s="1">
        <v>24821015</v>
      </c>
      <c r="B166" s="1">
        <v>25660226</v>
      </c>
      <c r="C166" s="1" t="s">
        <v>266</v>
      </c>
      <c r="D166" s="4">
        <v>46199.371238425927</v>
      </c>
      <c r="E166" s="4">
        <v>46199.375381944446</v>
      </c>
      <c r="F166" s="1" t="s">
        <v>26</v>
      </c>
      <c r="G166" s="1" t="s">
        <v>26</v>
      </c>
      <c r="H166" s="1" t="s">
        <v>904</v>
      </c>
      <c r="I166" s="1" t="s">
        <v>268</v>
      </c>
      <c r="J166" s="1" t="s">
        <v>881</v>
      </c>
      <c r="K166" s="1" t="s">
        <v>869</v>
      </c>
      <c r="L166" s="1" t="s">
        <v>869</v>
      </c>
      <c r="M166" s="4">
        <v>46199.334027777782</v>
      </c>
      <c r="N166" s="1">
        <v>117454</v>
      </c>
      <c r="O166" s="1" t="s">
        <v>93</v>
      </c>
      <c r="P166" s="1" t="s">
        <v>342</v>
      </c>
      <c r="Q166" s="1" t="s">
        <v>303</v>
      </c>
      <c r="R166" s="1" t="s">
        <v>272</v>
      </c>
      <c r="S166" s="1" t="s">
        <v>3</v>
      </c>
      <c r="T166" s="1" t="s">
        <v>274</v>
      </c>
      <c r="U166" s="1" t="s">
        <v>144</v>
      </c>
      <c r="V166" s="1" t="s">
        <v>756</v>
      </c>
      <c r="W166" s="1" t="s">
        <v>93</v>
      </c>
      <c r="X166" s="1" t="s">
        <v>93</v>
      </c>
      <c r="Y166" s="1" t="s">
        <v>93</v>
      </c>
      <c r="Z166" s="1" t="s">
        <v>54</v>
      </c>
      <c r="AA166" s="1" t="s">
        <v>93</v>
      </c>
      <c r="AB166" s="1">
        <v>720</v>
      </c>
      <c r="AC166" s="1">
        <v>0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 t="s">
        <v>905</v>
      </c>
      <c r="AJ166" s="1" t="s">
        <v>410</v>
      </c>
      <c r="AK166" s="1" t="s">
        <v>13</v>
      </c>
      <c r="AL166" s="1" t="s">
        <v>65</v>
      </c>
      <c r="AM166" s="1" t="s">
        <v>292</v>
      </c>
      <c r="AN166" s="1" t="s">
        <v>21</v>
      </c>
      <c r="AO166" s="1" t="s">
        <v>280</v>
      </c>
      <c r="AP166" s="1" t="s">
        <v>324</v>
      </c>
      <c r="AQ166" s="1" t="s">
        <v>20</v>
      </c>
    </row>
    <row r="167" spans="1:43" x14ac:dyDescent="0.3">
      <c r="A167" s="1">
        <v>24821016</v>
      </c>
      <c r="B167" s="1">
        <v>25660227</v>
      </c>
      <c r="C167" s="1" t="s">
        <v>266</v>
      </c>
      <c r="D167" s="4">
        <v>46199.37128472222</v>
      </c>
      <c r="E167" s="4">
        <v>46199.375381944446</v>
      </c>
      <c r="F167" s="1" t="s">
        <v>26</v>
      </c>
      <c r="G167" s="1" t="s">
        <v>26</v>
      </c>
      <c r="H167" s="1" t="s">
        <v>906</v>
      </c>
      <c r="I167" s="1" t="s">
        <v>268</v>
      </c>
      <c r="J167" s="1" t="s">
        <v>907</v>
      </c>
      <c r="K167" s="1" t="s">
        <v>869</v>
      </c>
      <c r="L167" s="1" t="s">
        <v>869</v>
      </c>
      <c r="M167" s="4">
        <v>46199.333333333343</v>
      </c>
      <c r="N167" s="1">
        <v>117452</v>
      </c>
      <c r="O167" s="1" t="s">
        <v>93</v>
      </c>
      <c r="P167" s="1" t="s">
        <v>342</v>
      </c>
      <c r="Q167" s="1" t="s">
        <v>303</v>
      </c>
      <c r="R167" s="1" t="s">
        <v>272</v>
      </c>
      <c r="S167" s="1" t="s">
        <v>3</v>
      </c>
      <c r="T167" s="1" t="s">
        <v>274</v>
      </c>
      <c r="U167" s="1" t="s">
        <v>144</v>
      </c>
      <c r="V167" s="1" t="s">
        <v>756</v>
      </c>
      <c r="W167" s="1" t="s">
        <v>93</v>
      </c>
      <c r="X167" s="1" t="s">
        <v>93</v>
      </c>
      <c r="Y167" s="1" t="s">
        <v>93</v>
      </c>
      <c r="Z167" s="1" t="s">
        <v>54</v>
      </c>
      <c r="AA167" s="1" t="s">
        <v>93</v>
      </c>
      <c r="AB167" s="1">
        <v>1230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 t="s">
        <v>908</v>
      </c>
      <c r="AJ167" s="1" t="s">
        <v>410</v>
      </c>
      <c r="AK167" s="1" t="s">
        <v>13</v>
      </c>
      <c r="AL167" s="1" t="s">
        <v>65</v>
      </c>
      <c r="AM167" s="1" t="s">
        <v>292</v>
      </c>
      <c r="AN167" s="1" t="s">
        <v>21</v>
      </c>
      <c r="AO167" s="1" t="s">
        <v>280</v>
      </c>
      <c r="AP167" s="1" t="s">
        <v>324</v>
      </c>
      <c r="AQ167" s="1" t="s">
        <v>20</v>
      </c>
    </row>
    <row r="168" spans="1:43" x14ac:dyDescent="0.3">
      <c r="A168" s="1">
        <v>24816003</v>
      </c>
      <c r="B168" s="1">
        <v>25655807</v>
      </c>
      <c r="C168" s="1" t="s">
        <v>266</v>
      </c>
      <c r="D168" s="4">
        <v>46198.585532407407</v>
      </c>
      <c r="E168" s="4">
        <v>46198.588900462957</v>
      </c>
      <c r="F168" s="1" t="s">
        <v>26</v>
      </c>
      <c r="G168" s="1" t="s">
        <v>26</v>
      </c>
      <c r="H168" s="1" t="s">
        <v>909</v>
      </c>
      <c r="I168" s="1" t="s">
        <v>15</v>
      </c>
      <c r="J168" s="1" t="s">
        <v>910</v>
      </c>
      <c r="K168" s="1" t="s">
        <v>911</v>
      </c>
      <c r="L168" s="1" t="s">
        <v>911</v>
      </c>
      <c r="M168" s="4">
        <v>46192.739583333343</v>
      </c>
      <c r="N168" s="1">
        <v>19507492</v>
      </c>
      <c r="O168" s="1" t="s">
        <v>93</v>
      </c>
      <c r="P168" s="1" t="s">
        <v>342</v>
      </c>
      <c r="Q168" s="1" t="s">
        <v>303</v>
      </c>
      <c r="R168" s="1" t="s">
        <v>272</v>
      </c>
      <c r="S168" s="1" t="s">
        <v>3</v>
      </c>
      <c r="T168" s="1" t="s">
        <v>274</v>
      </c>
      <c r="U168" s="1" t="s">
        <v>171</v>
      </c>
      <c r="V168" s="1" t="s">
        <v>912</v>
      </c>
      <c r="W168" s="1" t="s">
        <v>93</v>
      </c>
      <c r="X168" s="1" t="s">
        <v>93</v>
      </c>
      <c r="Y168" s="1" t="s">
        <v>93</v>
      </c>
      <c r="Z168" s="1" t="s">
        <v>76</v>
      </c>
      <c r="AA168" s="1" t="s">
        <v>93</v>
      </c>
      <c r="AB168" s="1">
        <v>1490</v>
      </c>
      <c r="AC168" s="1">
        <v>0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 t="s">
        <v>913</v>
      </c>
      <c r="AJ168" s="1" t="s">
        <v>410</v>
      </c>
      <c r="AK168" s="1" t="s">
        <v>15</v>
      </c>
      <c r="AL168" s="1" t="s">
        <v>65</v>
      </c>
      <c r="AM168" s="1" t="s">
        <v>292</v>
      </c>
      <c r="AN168" s="1" t="s">
        <v>21</v>
      </c>
      <c r="AO168" s="1" t="s">
        <v>280</v>
      </c>
      <c r="AP168" s="1" t="s">
        <v>324</v>
      </c>
      <c r="AQ168" s="1" t="s">
        <v>20</v>
      </c>
    </row>
    <row r="169" spans="1:43" x14ac:dyDescent="0.3">
      <c r="A169" s="1">
        <v>24816004</v>
      </c>
      <c r="B169" s="1">
        <v>25655808</v>
      </c>
      <c r="C169" s="1" t="s">
        <v>266</v>
      </c>
      <c r="D169" s="4">
        <v>46198.585601851853</v>
      </c>
      <c r="E169" s="4">
        <v>46198.588900462957</v>
      </c>
      <c r="F169" s="1" t="s">
        <v>26</v>
      </c>
      <c r="G169" s="1" t="s">
        <v>26</v>
      </c>
      <c r="H169" s="1" t="s">
        <v>914</v>
      </c>
      <c r="I169" s="1" t="s">
        <v>15</v>
      </c>
      <c r="J169" s="1" t="s">
        <v>915</v>
      </c>
      <c r="K169" s="1" t="s">
        <v>911</v>
      </c>
      <c r="L169" s="1" t="s">
        <v>911</v>
      </c>
      <c r="M169" s="4">
        <v>46192.739583333343</v>
      </c>
      <c r="N169" s="1">
        <v>19507493</v>
      </c>
      <c r="O169" s="1" t="s">
        <v>93</v>
      </c>
      <c r="P169" s="1" t="s">
        <v>342</v>
      </c>
      <c r="Q169" s="1" t="s">
        <v>303</v>
      </c>
      <c r="R169" s="1" t="s">
        <v>272</v>
      </c>
      <c r="S169" s="1" t="s">
        <v>3</v>
      </c>
      <c r="T169" s="1" t="s">
        <v>274</v>
      </c>
      <c r="U169" s="1" t="s">
        <v>171</v>
      </c>
      <c r="V169" s="1" t="s">
        <v>912</v>
      </c>
      <c r="W169" s="1" t="s">
        <v>93</v>
      </c>
      <c r="X169" s="1" t="s">
        <v>93</v>
      </c>
      <c r="Y169" s="1" t="s">
        <v>93</v>
      </c>
      <c r="Z169" s="1" t="s">
        <v>76</v>
      </c>
      <c r="AA169" s="1" t="s">
        <v>93</v>
      </c>
      <c r="AB169" s="1">
        <v>1490</v>
      </c>
      <c r="AC169" s="1">
        <v>0</v>
      </c>
      <c r="AD169" s="1">
        <v>0</v>
      </c>
      <c r="AE169" s="1">
        <v>0</v>
      </c>
      <c r="AF169" s="1">
        <v>0</v>
      </c>
      <c r="AG169" s="1">
        <v>0</v>
      </c>
      <c r="AH169" s="1">
        <v>0</v>
      </c>
      <c r="AI169" s="1" t="s">
        <v>916</v>
      </c>
      <c r="AJ169" s="1" t="s">
        <v>410</v>
      </c>
      <c r="AK169" s="1" t="s">
        <v>15</v>
      </c>
      <c r="AL169" s="1" t="s">
        <v>65</v>
      </c>
      <c r="AM169" s="1" t="s">
        <v>292</v>
      </c>
      <c r="AN169" s="1" t="s">
        <v>21</v>
      </c>
      <c r="AO169" s="1" t="s">
        <v>280</v>
      </c>
      <c r="AP169" s="1" t="s">
        <v>324</v>
      </c>
      <c r="AQ169" s="1" t="s">
        <v>20</v>
      </c>
    </row>
    <row r="170" spans="1:43" x14ac:dyDescent="0.3">
      <c r="A170" s="1">
        <v>24823440</v>
      </c>
      <c r="B170" s="1">
        <v>25662601</v>
      </c>
      <c r="C170" s="1" t="s">
        <v>266</v>
      </c>
      <c r="D170" s="4">
        <v>46199.668009259258</v>
      </c>
      <c r="E170" s="4">
        <v>46199.671296296299</v>
      </c>
      <c r="F170" s="1" t="s">
        <v>26</v>
      </c>
      <c r="G170" s="1" t="s">
        <v>26</v>
      </c>
      <c r="H170" s="1" t="s">
        <v>917</v>
      </c>
      <c r="I170" s="1" t="s">
        <v>15</v>
      </c>
      <c r="J170" s="1" t="s">
        <v>918</v>
      </c>
      <c r="K170" s="1" t="s">
        <v>911</v>
      </c>
      <c r="L170" s="1" t="s">
        <v>911</v>
      </c>
      <c r="M170" s="4">
        <v>46192.717361111107</v>
      </c>
      <c r="N170" s="1">
        <v>19509128</v>
      </c>
      <c r="O170" s="1" t="s">
        <v>93</v>
      </c>
      <c r="P170" s="1" t="s">
        <v>342</v>
      </c>
      <c r="Q170" s="1" t="s">
        <v>303</v>
      </c>
      <c r="R170" s="1" t="s">
        <v>272</v>
      </c>
      <c r="S170" s="1" t="s">
        <v>3</v>
      </c>
      <c r="T170" s="1" t="s">
        <v>274</v>
      </c>
      <c r="U170" s="1" t="s">
        <v>171</v>
      </c>
      <c r="V170" s="1" t="s">
        <v>912</v>
      </c>
      <c r="W170" s="1" t="s">
        <v>93</v>
      </c>
      <c r="X170" s="1" t="s">
        <v>93</v>
      </c>
      <c r="Y170" s="1" t="s">
        <v>93</v>
      </c>
      <c r="Z170" s="1" t="s">
        <v>76</v>
      </c>
      <c r="AA170" s="1" t="s">
        <v>93</v>
      </c>
      <c r="AB170" s="1">
        <v>304</v>
      </c>
      <c r="AC170" s="1">
        <v>0</v>
      </c>
      <c r="AD170" s="1">
        <v>0</v>
      </c>
      <c r="AE170" s="1">
        <v>0</v>
      </c>
      <c r="AF170" s="1">
        <v>0</v>
      </c>
      <c r="AG170" s="1">
        <v>0</v>
      </c>
      <c r="AH170" s="1">
        <v>0</v>
      </c>
      <c r="AI170" s="1" t="s">
        <v>919</v>
      </c>
      <c r="AJ170" s="1" t="s">
        <v>410</v>
      </c>
      <c r="AK170" s="1" t="s">
        <v>15</v>
      </c>
      <c r="AL170" s="1" t="s">
        <v>65</v>
      </c>
      <c r="AM170" s="1" t="s">
        <v>292</v>
      </c>
      <c r="AN170" s="1" t="s">
        <v>21</v>
      </c>
      <c r="AO170" s="1" t="s">
        <v>280</v>
      </c>
      <c r="AP170" s="1" t="s">
        <v>324</v>
      </c>
      <c r="AQ170" s="1" t="s">
        <v>20</v>
      </c>
    </row>
    <row r="171" spans="1:43" x14ac:dyDescent="0.3">
      <c r="A171" s="1">
        <v>24823441</v>
      </c>
      <c r="B171" s="1">
        <v>25662602</v>
      </c>
      <c r="C171" s="1" t="s">
        <v>266</v>
      </c>
      <c r="D171" s="4">
        <v>46199.668020833327</v>
      </c>
      <c r="E171" s="4">
        <v>46199.671296296299</v>
      </c>
      <c r="F171" s="1" t="s">
        <v>26</v>
      </c>
      <c r="G171" s="1" t="s">
        <v>26</v>
      </c>
      <c r="H171" s="1" t="s">
        <v>920</v>
      </c>
      <c r="I171" s="1" t="s">
        <v>15</v>
      </c>
      <c r="J171" s="1" t="s">
        <v>921</v>
      </c>
      <c r="K171" s="1" t="s">
        <v>911</v>
      </c>
      <c r="L171" s="1" t="s">
        <v>911</v>
      </c>
      <c r="M171" s="4">
        <v>46192.718055555553</v>
      </c>
      <c r="N171" s="1">
        <v>19509191</v>
      </c>
      <c r="O171" s="1" t="s">
        <v>93</v>
      </c>
      <c r="P171" s="1" t="s">
        <v>342</v>
      </c>
      <c r="Q171" s="1" t="s">
        <v>303</v>
      </c>
      <c r="R171" s="1" t="s">
        <v>272</v>
      </c>
      <c r="S171" s="1" t="s">
        <v>3</v>
      </c>
      <c r="T171" s="1" t="s">
        <v>274</v>
      </c>
      <c r="U171" s="1" t="s">
        <v>171</v>
      </c>
      <c r="V171" s="1" t="s">
        <v>912</v>
      </c>
      <c r="W171" s="1" t="s">
        <v>93</v>
      </c>
      <c r="X171" s="1" t="s">
        <v>93</v>
      </c>
      <c r="Y171" s="1" t="s">
        <v>93</v>
      </c>
      <c r="Z171" s="1" t="s">
        <v>76</v>
      </c>
      <c r="AA171" s="1" t="s">
        <v>93</v>
      </c>
      <c r="AB171" s="1">
        <v>304</v>
      </c>
      <c r="AC171" s="1">
        <v>0</v>
      </c>
      <c r="AD171" s="1">
        <v>0</v>
      </c>
      <c r="AE171" s="1">
        <v>0</v>
      </c>
      <c r="AF171" s="1">
        <v>0</v>
      </c>
      <c r="AG171" s="1">
        <v>0</v>
      </c>
      <c r="AH171" s="1">
        <v>0</v>
      </c>
      <c r="AI171" s="1" t="s">
        <v>922</v>
      </c>
      <c r="AJ171" s="1" t="s">
        <v>410</v>
      </c>
      <c r="AK171" s="1" t="s">
        <v>15</v>
      </c>
      <c r="AL171" s="1" t="s">
        <v>65</v>
      </c>
      <c r="AM171" s="1" t="s">
        <v>292</v>
      </c>
      <c r="AN171" s="1" t="s">
        <v>21</v>
      </c>
      <c r="AO171" s="1" t="s">
        <v>280</v>
      </c>
      <c r="AP171" s="1" t="s">
        <v>324</v>
      </c>
      <c r="AQ171" s="1" t="s">
        <v>20</v>
      </c>
    </row>
    <row r="172" spans="1:43" x14ac:dyDescent="0.3">
      <c r="A172" s="1">
        <v>24807276</v>
      </c>
      <c r="B172" s="1">
        <v>25648573</v>
      </c>
      <c r="C172" s="1" t="s">
        <v>266</v>
      </c>
      <c r="D172" s="4">
        <v>46196.873252314806</v>
      </c>
      <c r="E172" s="4">
        <v>46196.934467592589</v>
      </c>
      <c r="F172" s="1" t="s">
        <v>26</v>
      </c>
      <c r="G172" s="1" t="s">
        <v>26</v>
      </c>
      <c r="H172" s="1" t="s">
        <v>923</v>
      </c>
      <c r="I172" s="1" t="s">
        <v>268</v>
      </c>
      <c r="J172" s="1" t="s">
        <v>924</v>
      </c>
      <c r="K172" s="1" t="s">
        <v>270</v>
      </c>
      <c r="L172" s="1" t="s">
        <v>270</v>
      </c>
      <c r="M172" s="4">
        <v>46196.758333333331</v>
      </c>
      <c r="N172" s="1">
        <v>44583</v>
      </c>
      <c r="O172" s="1" t="s">
        <v>925</v>
      </c>
      <c r="P172" s="1" t="s">
        <v>271</v>
      </c>
      <c r="Q172" s="1" t="s">
        <v>303</v>
      </c>
      <c r="R172" s="1" t="s">
        <v>272</v>
      </c>
      <c r="S172" s="1" t="s">
        <v>8</v>
      </c>
      <c r="T172" s="1" t="s">
        <v>274</v>
      </c>
      <c r="U172" s="1" t="s">
        <v>180</v>
      </c>
      <c r="V172" s="1" t="s">
        <v>926</v>
      </c>
      <c r="W172" s="1" t="s">
        <v>93</v>
      </c>
      <c r="X172" s="1" t="s">
        <v>93</v>
      </c>
      <c r="Y172" s="1" t="s">
        <v>93</v>
      </c>
      <c r="Z172" s="1" t="s">
        <v>87</v>
      </c>
      <c r="AA172" s="1" t="s">
        <v>93</v>
      </c>
      <c r="AB172" s="1">
        <v>760.49</v>
      </c>
      <c r="AC172" s="1">
        <v>0</v>
      </c>
      <c r="AD172" s="1">
        <v>0</v>
      </c>
      <c r="AE172" s="1">
        <v>0</v>
      </c>
      <c r="AF172" s="1">
        <v>0</v>
      </c>
      <c r="AG172" s="1">
        <v>0</v>
      </c>
      <c r="AH172" s="1">
        <v>0</v>
      </c>
      <c r="AI172" s="1" t="s">
        <v>927</v>
      </c>
      <c r="AJ172" s="1" t="s">
        <v>410</v>
      </c>
      <c r="AK172" s="1" t="s">
        <v>13</v>
      </c>
      <c r="AL172" s="1" t="s">
        <v>65</v>
      </c>
      <c r="AM172" s="1" t="s">
        <v>292</v>
      </c>
      <c r="AN172" s="1" t="s">
        <v>21</v>
      </c>
      <c r="AO172" s="1" t="s">
        <v>280</v>
      </c>
      <c r="AP172" s="1" t="s">
        <v>324</v>
      </c>
      <c r="AQ172" s="1" t="s">
        <v>20</v>
      </c>
    </row>
    <row r="173" spans="1:43" x14ac:dyDescent="0.3">
      <c r="A173" s="1">
        <v>24816955</v>
      </c>
      <c r="B173" s="1">
        <v>25656777</v>
      </c>
      <c r="C173" s="1" t="s">
        <v>266</v>
      </c>
      <c r="D173" s="4">
        <v>46198.634062500001</v>
      </c>
      <c r="E173" s="4">
        <v>46198.713043981479</v>
      </c>
      <c r="F173" s="1" t="s">
        <v>26</v>
      </c>
      <c r="G173" s="1" t="s">
        <v>26</v>
      </c>
      <c r="H173" s="1" t="s">
        <v>928</v>
      </c>
      <c r="I173" s="1" t="s">
        <v>268</v>
      </c>
      <c r="J173" s="1" t="s">
        <v>924</v>
      </c>
      <c r="K173" s="1" t="s">
        <v>270</v>
      </c>
      <c r="L173" s="1" t="s">
        <v>270</v>
      </c>
      <c r="M173" s="4">
        <v>46198.570833333331</v>
      </c>
      <c r="N173" s="1">
        <v>44739</v>
      </c>
      <c r="O173" s="1" t="s">
        <v>925</v>
      </c>
      <c r="P173" s="1" t="s">
        <v>271</v>
      </c>
      <c r="Q173" s="1" t="s">
        <v>303</v>
      </c>
      <c r="R173" s="1" t="s">
        <v>272</v>
      </c>
      <c r="S173" s="1" t="s">
        <v>8</v>
      </c>
      <c r="T173" s="1" t="s">
        <v>274</v>
      </c>
      <c r="U173" s="1" t="s">
        <v>180</v>
      </c>
      <c r="V173" s="1" t="s">
        <v>926</v>
      </c>
      <c r="W173" s="1" t="s">
        <v>93</v>
      </c>
      <c r="X173" s="1" t="s">
        <v>93</v>
      </c>
      <c r="Y173" s="1" t="s">
        <v>93</v>
      </c>
      <c r="Z173" s="1" t="s">
        <v>87</v>
      </c>
      <c r="AA173" s="1" t="s">
        <v>93</v>
      </c>
      <c r="AB173" s="1">
        <v>354.2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 t="s">
        <v>929</v>
      </c>
      <c r="AJ173" s="1" t="s">
        <v>410</v>
      </c>
      <c r="AK173" s="1" t="s">
        <v>13</v>
      </c>
      <c r="AL173" s="1" t="s">
        <v>65</v>
      </c>
      <c r="AM173" s="1" t="s">
        <v>292</v>
      </c>
      <c r="AN173" s="1" t="s">
        <v>21</v>
      </c>
      <c r="AO173" s="1" t="s">
        <v>280</v>
      </c>
      <c r="AP173" s="1" t="s">
        <v>324</v>
      </c>
      <c r="AQ173" s="1" t="s">
        <v>20</v>
      </c>
    </row>
    <row r="174" spans="1:43" x14ac:dyDescent="0.3">
      <c r="A174" s="1">
        <v>24823028</v>
      </c>
      <c r="B174" s="1">
        <v>25662160</v>
      </c>
      <c r="C174" s="1" t="s">
        <v>266</v>
      </c>
      <c r="D174" s="4">
        <v>46199.640810185178</v>
      </c>
      <c r="E174" s="4">
        <v>46200.155543981477</v>
      </c>
      <c r="F174" s="1" t="s">
        <v>26</v>
      </c>
      <c r="G174" s="1" t="s">
        <v>26</v>
      </c>
      <c r="H174" s="1" t="s">
        <v>930</v>
      </c>
      <c r="I174" s="1" t="s">
        <v>14</v>
      </c>
      <c r="J174" s="1" t="s">
        <v>931</v>
      </c>
      <c r="K174" s="1" t="s">
        <v>932</v>
      </c>
      <c r="L174" s="1" t="s">
        <v>932</v>
      </c>
      <c r="M174" s="4">
        <v>46199.633333333331</v>
      </c>
      <c r="N174" s="1">
        <v>4703520</v>
      </c>
      <c r="O174" s="1" t="s">
        <v>93</v>
      </c>
      <c r="P174" s="1" t="s">
        <v>342</v>
      </c>
      <c r="Q174" s="1" t="s">
        <v>286</v>
      </c>
      <c r="R174" s="1" t="s">
        <v>286</v>
      </c>
      <c r="S174" s="1" t="s">
        <v>9</v>
      </c>
      <c r="T174" s="1" t="s">
        <v>274</v>
      </c>
      <c r="U174" s="1" t="s">
        <v>142</v>
      </c>
      <c r="V174" s="1" t="s">
        <v>575</v>
      </c>
      <c r="W174" s="1" t="s">
        <v>93</v>
      </c>
      <c r="X174" s="1" t="s">
        <v>93</v>
      </c>
      <c r="Y174" s="1" t="s">
        <v>93</v>
      </c>
      <c r="Z174" s="1" t="s">
        <v>50</v>
      </c>
      <c r="AA174" s="1" t="s">
        <v>93</v>
      </c>
      <c r="AB174" s="1">
        <v>300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 t="s">
        <v>933</v>
      </c>
      <c r="AJ174" s="1" t="s">
        <v>410</v>
      </c>
      <c r="AK174" s="1" t="s">
        <v>14</v>
      </c>
      <c r="AL174" s="1" t="s">
        <v>65</v>
      </c>
      <c r="AM174" s="1" t="s">
        <v>292</v>
      </c>
      <c r="AN174" s="1" t="s">
        <v>21</v>
      </c>
      <c r="AO174" s="1" t="s">
        <v>293</v>
      </c>
      <c r="AP174" s="1" t="s">
        <v>281</v>
      </c>
      <c r="AQ174" s="1" t="s">
        <v>34</v>
      </c>
    </row>
    <row r="175" spans="1:43" x14ac:dyDescent="0.3">
      <c r="A175" s="1">
        <v>24823029</v>
      </c>
      <c r="B175" s="1">
        <v>25662161</v>
      </c>
      <c r="C175" s="1" t="s">
        <v>266</v>
      </c>
      <c r="D175" s="4">
        <v>46199.640833333331</v>
      </c>
      <c r="E175" s="4">
        <v>46200.155555555553</v>
      </c>
      <c r="F175" s="1" t="s">
        <v>26</v>
      </c>
      <c r="G175" s="1" t="s">
        <v>26</v>
      </c>
      <c r="H175" s="1" t="s">
        <v>934</v>
      </c>
      <c r="I175" s="1" t="s">
        <v>14</v>
      </c>
      <c r="J175" s="1" t="s">
        <v>931</v>
      </c>
      <c r="K175" s="1" t="s">
        <v>932</v>
      </c>
      <c r="L175" s="1" t="s">
        <v>932</v>
      </c>
      <c r="M175" s="4">
        <v>46199.632638888892</v>
      </c>
      <c r="N175" s="1">
        <v>4709754</v>
      </c>
      <c r="O175" s="1" t="s">
        <v>93</v>
      </c>
      <c r="P175" s="1" t="s">
        <v>342</v>
      </c>
      <c r="Q175" s="1" t="s">
        <v>286</v>
      </c>
      <c r="R175" s="1" t="s">
        <v>286</v>
      </c>
      <c r="S175" s="1" t="s">
        <v>9</v>
      </c>
      <c r="T175" s="1" t="s">
        <v>274</v>
      </c>
      <c r="U175" s="1" t="s">
        <v>142</v>
      </c>
      <c r="V175" s="1" t="s">
        <v>575</v>
      </c>
      <c r="W175" s="1" t="s">
        <v>93</v>
      </c>
      <c r="X175" s="1" t="s">
        <v>93</v>
      </c>
      <c r="Y175" s="1" t="s">
        <v>93</v>
      </c>
      <c r="Z175" s="1" t="s">
        <v>50</v>
      </c>
      <c r="AA175" s="1" t="s">
        <v>93</v>
      </c>
      <c r="AB175" s="1">
        <v>300</v>
      </c>
      <c r="AC175" s="1">
        <v>0</v>
      </c>
      <c r="AD175" s="1">
        <v>0</v>
      </c>
      <c r="AE175" s="1">
        <v>0</v>
      </c>
      <c r="AF175" s="1">
        <v>0</v>
      </c>
      <c r="AG175" s="1">
        <v>0</v>
      </c>
      <c r="AH175" s="1">
        <v>0</v>
      </c>
      <c r="AI175" s="1" t="s">
        <v>935</v>
      </c>
      <c r="AJ175" s="1" t="s">
        <v>410</v>
      </c>
      <c r="AK175" s="1" t="s">
        <v>14</v>
      </c>
      <c r="AL175" s="1" t="s">
        <v>65</v>
      </c>
      <c r="AM175" s="1" t="s">
        <v>292</v>
      </c>
      <c r="AN175" s="1" t="s">
        <v>21</v>
      </c>
      <c r="AO175" s="1" t="s">
        <v>293</v>
      </c>
      <c r="AP175" s="1" t="s">
        <v>281</v>
      </c>
      <c r="AQ175" s="1" t="s">
        <v>34</v>
      </c>
    </row>
    <row r="176" spans="1:43" x14ac:dyDescent="0.3">
      <c r="A176" s="1">
        <v>24823899</v>
      </c>
      <c r="B176" s="1">
        <v>25663134</v>
      </c>
      <c r="C176" s="1" t="s">
        <v>266</v>
      </c>
      <c r="D176" s="4">
        <v>46199.724351851852</v>
      </c>
      <c r="E176" s="4">
        <v>46200.170682870368</v>
      </c>
      <c r="F176" s="1" t="s">
        <v>26</v>
      </c>
      <c r="G176" s="1" t="s">
        <v>26</v>
      </c>
      <c r="H176" s="1" t="s">
        <v>936</v>
      </c>
      <c r="I176" s="1" t="s">
        <v>14</v>
      </c>
      <c r="J176" s="1" t="s">
        <v>931</v>
      </c>
      <c r="K176" s="1" t="s">
        <v>932</v>
      </c>
      <c r="L176" s="1" t="s">
        <v>932</v>
      </c>
      <c r="M176" s="4">
        <v>46199.714583333327</v>
      </c>
      <c r="N176" s="1">
        <v>4706456</v>
      </c>
      <c r="O176" s="1" t="s">
        <v>93</v>
      </c>
      <c r="P176" s="1" t="s">
        <v>342</v>
      </c>
      <c r="Q176" s="1" t="s">
        <v>286</v>
      </c>
      <c r="R176" s="1" t="s">
        <v>286</v>
      </c>
      <c r="S176" s="1" t="s">
        <v>9</v>
      </c>
      <c r="T176" s="1" t="s">
        <v>274</v>
      </c>
      <c r="U176" s="1" t="s">
        <v>142</v>
      </c>
      <c r="V176" s="1" t="s">
        <v>575</v>
      </c>
      <c r="W176" s="1" t="s">
        <v>93</v>
      </c>
      <c r="X176" s="1" t="s">
        <v>93</v>
      </c>
      <c r="Y176" s="1" t="s">
        <v>93</v>
      </c>
      <c r="Z176" s="1" t="s">
        <v>50</v>
      </c>
      <c r="AA176" s="1" t="s">
        <v>93</v>
      </c>
      <c r="AB176" s="1">
        <v>250</v>
      </c>
      <c r="AC176" s="1">
        <v>50</v>
      </c>
      <c r="AD176" s="1">
        <v>0</v>
      </c>
      <c r="AE176" s="1">
        <v>0</v>
      </c>
      <c r="AF176" s="1">
        <v>0</v>
      </c>
      <c r="AG176" s="1">
        <v>0</v>
      </c>
      <c r="AH176" s="1">
        <v>0</v>
      </c>
      <c r="AI176" s="1" t="s">
        <v>937</v>
      </c>
      <c r="AJ176" s="1" t="s">
        <v>410</v>
      </c>
      <c r="AK176" s="1" t="s">
        <v>14</v>
      </c>
      <c r="AL176" s="1" t="s">
        <v>65</v>
      </c>
      <c r="AM176" s="1" t="s">
        <v>292</v>
      </c>
      <c r="AN176" s="1" t="s">
        <v>21</v>
      </c>
      <c r="AO176" s="1" t="s">
        <v>293</v>
      </c>
      <c r="AP176" s="1" t="s">
        <v>281</v>
      </c>
      <c r="AQ176" s="1" t="s">
        <v>34</v>
      </c>
    </row>
    <row r="177" spans="1:43" x14ac:dyDescent="0.3">
      <c r="A177" s="1">
        <v>24834642</v>
      </c>
      <c r="B177" s="1">
        <v>25671419</v>
      </c>
      <c r="C177" s="1" t="s">
        <v>266</v>
      </c>
      <c r="D177" s="4">
        <v>46202.360706018517</v>
      </c>
      <c r="E177" s="4">
        <v>46202.382523148153</v>
      </c>
      <c r="F177" s="1" t="s">
        <v>24</v>
      </c>
      <c r="G177" s="1" t="s">
        <v>24</v>
      </c>
      <c r="H177" s="1">
        <v>23471246</v>
      </c>
      <c r="I177" s="1" t="s">
        <v>18</v>
      </c>
      <c r="J177" s="1" t="s">
        <v>938</v>
      </c>
      <c r="K177" s="1" t="s">
        <v>939</v>
      </c>
      <c r="L177" s="1" t="s">
        <v>939</v>
      </c>
      <c r="M177" s="4">
        <v>46198.484722222223</v>
      </c>
      <c r="N177" s="1">
        <v>2841076</v>
      </c>
      <c r="O177" s="1" t="s">
        <v>93</v>
      </c>
      <c r="P177" s="1" t="s">
        <v>342</v>
      </c>
      <c r="Q177" s="1" t="s">
        <v>286</v>
      </c>
      <c r="R177" s="1" t="s">
        <v>286</v>
      </c>
      <c r="S177" s="1" t="s">
        <v>9</v>
      </c>
      <c r="T177" s="1" t="s">
        <v>274</v>
      </c>
      <c r="U177" s="1" t="s">
        <v>161</v>
      </c>
      <c r="V177" s="1" t="s">
        <v>940</v>
      </c>
      <c r="W177" s="1" t="s">
        <v>93</v>
      </c>
      <c r="X177" s="1" t="s">
        <v>93</v>
      </c>
      <c r="Y177" s="1" t="s">
        <v>93</v>
      </c>
      <c r="Z177" s="1" t="s">
        <v>72</v>
      </c>
      <c r="AA177" s="1" t="s">
        <v>93</v>
      </c>
      <c r="AB177" s="1">
        <v>1269.99</v>
      </c>
      <c r="AC177" s="1">
        <v>0</v>
      </c>
      <c r="AD177" s="1">
        <v>0</v>
      </c>
      <c r="AE177" s="1">
        <v>0</v>
      </c>
      <c r="AF177" s="1">
        <v>0</v>
      </c>
      <c r="AG177" s="1">
        <v>63.51</v>
      </c>
      <c r="AH177" s="1">
        <v>0</v>
      </c>
      <c r="AI177" s="1" t="s">
        <v>941</v>
      </c>
      <c r="AJ177" s="1" t="s">
        <v>410</v>
      </c>
      <c r="AK177" s="1" t="s">
        <v>18</v>
      </c>
      <c r="AL177" s="1" t="s">
        <v>65</v>
      </c>
      <c r="AM177" s="1" t="s">
        <v>292</v>
      </c>
      <c r="AN177" s="1" t="s">
        <v>21</v>
      </c>
      <c r="AO177" s="1" t="s">
        <v>280</v>
      </c>
      <c r="AP177" s="1" t="s">
        <v>324</v>
      </c>
      <c r="AQ177" s="1" t="s">
        <v>20</v>
      </c>
    </row>
    <row r="178" spans="1:43" x14ac:dyDescent="0.3">
      <c r="A178" s="1">
        <v>24834643</v>
      </c>
      <c r="B178" s="1">
        <v>25671420</v>
      </c>
      <c r="C178" s="1" t="s">
        <v>266</v>
      </c>
      <c r="D178" s="4">
        <v>46202.360717592594</v>
      </c>
      <c r="E178" s="4">
        <v>46202.382523148153</v>
      </c>
      <c r="F178" s="1" t="s">
        <v>24</v>
      </c>
      <c r="G178" s="1" t="s">
        <v>24</v>
      </c>
      <c r="H178" s="1">
        <v>23471482</v>
      </c>
      <c r="I178" s="1" t="s">
        <v>18</v>
      </c>
      <c r="J178" s="1" t="s">
        <v>942</v>
      </c>
      <c r="K178" s="1" t="s">
        <v>939</v>
      </c>
      <c r="L178" s="1" t="s">
        <v>939</v>
      </c>
      <c r="M178" s="4">
        <v>46198.488888888889</v>
      </c>
      <c r="N178" s="1">
        <v>2841078</v>
      </c>
      <c r="O178" s="1" t="s">
        <v>93</v>
      </c>
      <c r="P178" s="1" t="s">
        <v>342</v>
      </c>
      <c r="Q178" s="1" t="s">
        <v>286</v>
      </c>
      <c r="R178" s="1" t="s">
        <v>286</v>
      </c>
      <c r="S178" s="1" t="s">
        <v>9</v>
      </c>
      <c r="T178" s="1" t="s">
        <v>274</v>
      </c>
      <c r="U178" s="1" t="s">
        <v>161</v>
      </c>
      <c r="V178" s="1" t="s">
        <v>940</v>
      </c>
      <c r="W178" s="1" t="s">
        <v>93</v>
      </c>
      <c r="X178" s="1" t="s">
        <v>93</v>
      </c>
      <c r="Y178" s="1" t="s">
        <v>93</v>
      </c>
      <c r="Z178" s="1" t="s">
        <v>72</v>
      </c>
      <c r="AA178" s="1" t="s">
        <v>93</v>
      </c>
      <c r="AB178" s="1">
        <v>478</v>
      </c>
      <c r="AC178" s="1">
        <v>0</v>
      </c>
      <c r="AD178" s="1">
        <v>0</v>
      </c>
      <c r="AE178" s="1">
        <v>0</v>
      </c>
      <c r="AF178" s="1">
        <v>0</v>
      </c>
      <c r="AG178" s="1">
        <v>23.9</v>
      </c>
      <c r="AH178" s="1">
        <v>0</v>
      </c>
      <c r="AI178" s="1" t="s">
        <v>943</v>
      </c>
      <c r="AJ178" s="1" t="s">
        <v>410</v>
      </c>
      <c r="AK178" s="1" t="s">
        <v>18</v>
      </c>
      <c r="AL178" s="1" t="s">
        <v>65</v>
      </c>
      <c r="AM178" s="1" t="s">
        <v>292</v>
      </c>
      <c r="AN178" s="1" t="s">
        <v>21</v>
      </c>
      <c r="AO178" s="1" t="s">
        <v>280</v>
      </c>
      <c r="AP178" s="1" t="s">
        <v>324</v>
      </c>
      <c r="AQ178" s="1" t="s">
        <v>20</v>
      </c>
    </row>
    <row r="179" spans="1:43" x14ac:dyDescent="0.3">
      <c r="A179" s="1">
        <v>24834644</v>
      </c>
      <c r="B179" s="1">
        <v>25671421</v>
      </c>
      <c r="C179" s="1" t="s">
        <v>266</v>
      </c>
      <c r="D179" s="4">
        <v>46202.360729166663</v>
      </c>
      <c r="E179" s="4">
        <v>46202.382523148153</v>
      </c>
      <c r="F179" s="1" t="s">
        <v>24</v>
      </c>
      <c r="G179" s="1" t="s">
        <v>24</v>
      </c>
      <c r="H179" s="1">
        <v>23471529</v>
      </c>
      <c r="I179" s="1" t="s">
        <v>18</v>
      </c>
      <c r="J179" s="1" t="s">
        <v>944</v>
      </c>
      <c r="K179" s="1" t="s">
        <v>939</v>
      </c>
      <c r="L179" s="1" t="s">
        <v>939</v>
      </c>
      <c r="M179" s="4">
        <v>46198.490972222222</v>
      </c>
      <c r="N179" s="1">
        <v>2840953</v>
      </c>
      <c r="O179" s="1" t="s">
        <v>93</v>
      </c>
      <c r="P179" s="1" t="s">
        <v>342</v>
      </c>
      <c r="Q179" s="1" t="s">
        <v>286</v>
      </c>
      <c r="R179" s="1" t="s">
        <v>286</v>
      </c>
      <c r="S179" s="1" t="s">
        <v>9</v>
      </c>
      <c r="T179" s="1" t="s">
        <v>274</v>
      </c>
      <c r="U179" s="1" t="s">
        <v>161</v>
      </c>
      <c r="V179" s="1" t="s">
        <v>940</v>
      </c>
      <c r="W179" s="1" t="s">
        <v>93</v>
      </c>
      <c r="X179" s="1" t="s">
        <v>93</v>
      </c>
      <c r="Y179" s="1" t="s">
        <v>93</v>
      </c>
      <c r="Z179" s="1" t="s">
        <v>72</v>
      </c>
      <c r="AA179" s="1" t="s">
        <v>93</v>
      </c>
      <c r="AB179" s="1">
        <v>439</v>
      </c>
      <c r="AC179" s="1">
        <v>0</v>
      </c>
      <c r="AD179" s="1">
        <v>0</v>
      </c>
      <c r="AE179" s="1">
        <v>0</v>
      </c>
      <c r="AF179" s="1">
        <v>0</v>
      </c>
      <c r="AG179" s="1">
        <v>21.95</v>
      </c>
      <c r="AH179" s="1">
        <v>0</v>
      </c>
      <c r="AI179" s="1" t="s">
        <v>945</v>
      </c>
      <c r="AJ179" s="1" t="s">
        <v>410</v>
      </c>
      <c r="AK179" s="1" t="s">
        <v>18</v>
      </c>
      <c r="AL179" s="1" t="s">
        <v>65</v>
      </c>
      <c r="AM179" s="1" t="s">
        <v>292</v>
      </c>
      <c r="AN179" s="1" t="s">
        <v>21</v>
      </c>
      <c r="AO179" s="1" t="s">
        <v>280</v>
      </c>
      <c r="AP179" s="1" t="s">
        <v>324</v>
      </c>
      <c r="AQ179" s="1" t="s">
        <v>20</v>
      </c>
    </row>
    <row r="180" spans="1:43" x14ac:dyDescent="0.3">
      <c r="A180" s="1">
        <v>24834645</v>
      </c>
      <c r="B180" s="1">
        <v>25671422</v>
      </c>
      <c r="C180" s="1" t="s">
        <v>266</v>
      </c>
      <c r="D180" s="4">
        <v>46202.362187500003</v>
      </c>
      <c r="E180" s="4">
        <v>46202.382523148153</v>
      </c>
      <c r="F180" s="1" t="s">
        <v>24</v>
      </c>
      <c r="G180" s="1" t="s">
        <v>24</v>
      </c>
      <c r="H180" s="1">
        <v>23488341</v>
      </c>
      <c r="I180" s="1" t="s">
        <v>18</v>
      </c>
      <c r="J180" s="1" t="s">
        <v>946</v>
      </c>
      <c r="K180" s="1" t="s">
        <v>939</v>
      </c>
      <c r="L180" s="1" t="s">
        <v>939</v>
      </c>
      <c r="M180" s="4">
        <v>46199.499305555553</v>
      </c>
      <c r="N180" s="1">
        <v>2842472</v>
      </c>
      <c r="O180" s="1" t="s">
        <v>93</v>
      </c>
      <c r="P180" s="1" t="s">
        <v>342</v>
      </c>
      <c r="Q180" s="1" t="s">
        <v>286</v>
      </c>
      <c r="R180" s="1" t="s">
        <v>286</v>
      </c>
      <c r="S180" s="1" t="s">
        <v>9</v>
      </c>
      <c r="T180" s="1" t="s">
        <v>274</v>
      </c>
      <c r="U180" s="1" t="s">
        <v>161</v>
      </c>
      <c r="V180" s="1" t="s">
        <v>940</v>
      </c>
      <c r="W180" s="1" t="s">
        <v>93</v>
      </c>
      <c r="X180" s="1" t="s">
        <v>93</v>
      </c>
      <c r="Y180" s="1" t="s">
        <v>93</v>
      </c>
      <c r="Z180" s="1" t="s">
        <v>72</v>
      </c>
      <c r="AA180" s="1" t="s">
        <v>93</v>
      </c>
      <c r="AB180" s="1">
        <v>439</v>
      </c>
      <c r="AC180" s="1">
        <v>0</v>
      </c>
      <c r="AD180" s="1">
        <v>0</v>
      </c>
      <c r="AE180" s="1">
        <v>0</v>
      </c>
      <c r="AF180" s="1">
        <v>0</v>
      </c>
      <c r="AG180" s="1">
        <v>21.95</v>
      </c>
      <c r="AH180" s="1">
        <v>0</v>
      </c>
      <c r="AI180" s="1" t="s">
        <v>947</v>
      </c>
      <c r="AJ180" s="1" t="s">
        <v>410</v>
      </c>
      <c r="AK180" s="1" t="s">
        <v>18</v>
      </c>
      <c r="AL180" s="1" t="s">
        <v>65</v>
      </c>
      <c r="AM180" s="1" t="s">
        <v>292</v>
      </c>
      <c r="AN180" s="1" t="s">
        <v>21</v>
      </c>
      <c r="AO180" s="1" t="s">
        <v>280</v>
      </c>
      <c r="AP180" s="1" t="s">
        <v>324</v>
      </c>
      <c r="AQ180" s="1" t="s">
        <v>20</v>
      </c>
    </row>
    <row r="181" spans="1:43" x14ac:dyDescent="0.3">
      <c r="A181" s="1">
        <v>24834646</v>
      </c>
      <c r="B181" s="1">
        <v>25671423</v>
      </c>
      <c r="C181" s="1" t="s">
        <v>266</v>
      </c>
      <c r="D181" s="4">
        <v>46202.362199074072</v>
      </c>
      <c r="E181" s="4">
        <v>46202.382523148153</v>
      </c>
      <c r="F181" s="1" t="s">
        <v>24</v>
      </c>
      <c r="G181" s="1" t="s">
        <v>24</v>
      </c>
      <c r="H181" s="1">
        <v>23488467</v>
      </c>
      <c r="I181" s="1" t="s">
        <v>18</v>
      </c>
      <c r="J181" s="1" t="s">
        <v>948</v>
      </c>
      <c r="K181" s="1" t="s">
        <v>939</v>
      </c>
      <c r="L181" s="1" t="s">
        <v>939</v>
      </c>
      <c r="M181" s="4">
        <v>46199.501388888893</v>
      </c>
      <c r="N181" s="1">
        <v>2842471</v>
      </c>
      <c r="O181" s="1" t="s">
        <v>93</v>
      </c>
      <c r="P181" s="1" t="s">
        <v>342</v>
      </c>
      <c r="Q181" s="1" t="s">
        <v>286</v>
      </c>
      <c r="R181" s="1" t="s">
        <v>286</v>
      </c>
      <c r="S181" s="1" t="s">
        <v>9</v>
      </c>
      <c r="T181" s="1" t="s">
        <v>274</v>
      </c>
      <c r="U181" s="1" t="s">
        <v>161</v>
      </c>
      <c r="V181" s="1" t="s">
        <v>940</v>
      </c>
      <c r="W181" s="1" t="s">
        <v>93</v>
      </c>
      <c r="X181" s="1" t="s">
        <v>93</v>
      </c>
      <c r="Y181" s="1" t="s">
        <v>93</v>
      </c>
      <c r="Z181" s="1" t="s">
        <v>72</v>
      </c>
      <c r="AA181" s="1" t="s">
        <v>93</v>
      </c>
      <c r="AB181" s="1">
        <v>439</v>
      </c>
      <c r="AC181" s="1">
        <v>0</v>
      </c>
      <c r="AD181" s="1">
        <v>0</v>
      </c>
      <c r="AE181" s="1">
        <v>0</v>
      </c>
      <c r="AF181" s="1">
        <v>0</v>
      </c>
      <c r="AG181" s="1">
        <v>21.95</v>
      </c>
      <c r="AH181" s="1">
        <v>0</v>
      </c>
      <c r="AI181" s="1" t="s">
        <v>949</v>
      </c>
      <c r="AJ181" s="1" t="s">
        <v>410</v>
      </c>
      <c r="AK181" s="1" t="s">
        <v>18</v>
      </c>
      <c r="AL181" s="1" t="s">
        <v>65</v>
      </c>
      <c r="AM181" s="1" t="s">
        <v>292</v>
      </c>
      <c r="AN181" s="1" t="s">
        <v>21</v>
      </c>
      <c r="AO181" s="1" t="s">
        <v>280</v>
      </c>
      <c r="AP181" s="1" t="s">
        <v>324</v>
      </c>
      <c r="AQ181" s="1" t="s">
        <v>20</v>
      </c>
    </row>
    <row r="182" spans="1:43" x14ac:dyDescent="0.3">
      <c r="A182" s="1">
        <v>24822264</v>
      </c>
      <c r="B182" s="1">
        <v>25661419</v>
      </c>
      <c r="C182" s="1" t="s">
        <v>266</v>
      </c>
      <c r="D182" s="4">
        <v>46199.585960648154</v>
      </c>
      <c r="E182" s="4">
        <v>46199.589097222219</v>
      </c>
      <c r="F182" s="1" t="s">
        <v>26</v>
      </c>
      <c r="G182" s="1" t="s">
        <v>26</v>
      </c>
      <c r="H182" s="1" t="s">
        <v>950</v>
      </c>
      <c r="I182" s="1" t="s">
        <v>15</v>
      </c>
      <c r="J182" s="1" t="s">
        <v>951</v>
      </c>
      <c r="K182" s="1" t="s">
        <v>952</v>
      </c>
      <c r="L182" s="1" t="s">
        <v>952</v>
      </c>
      <c r="M182" s="4">
        <v>46199.518055555563</v>
      </c>
      <c r="N182" s="1">
        <v>19553289</v>
      </c>
      <c r="O182" s="1" t="s">
        <v>953</v>
      </c>
      <c r="P182" s="1" t="s">
        <v>342</v>
      </c>
      <c r="Q182" s="1" t="s">
        <v>303</v>
      </c>
      <c r="R182" s="1" t="s">
        <v>272</v>
      </c>
      <c r="S182" s="1" t="s">
        <v>8</v>
      </c>
      <c r="T182" s="1" t="s">
        <v>274</v>
      </c>
      <c r="U182" s="1" t="s">
        <v>143</v>
      </c>
      <c r="V182" s="1" t="s">
        <v>954</v>
      </c>
      <c r="W182" s="1" t="s">
        <v>93</v>
      </c>
      <c r="X182" s="1" t="s">
        <v>93</v>
      </c>
      <c r="Y182" s="1" t="s">
        <v>93</v>
      </c>
      <c r="Z182" s="1" t="s">
        <v>52</v>
      </c>
      <c r="AA182" s="1" t="s">
        <v>93</v>
      </c>
      <c r="AB182" s="1">
        <v>1567.7</v>
      </c>
      <c r="AC182" s="1">
        <v>0</v>
      </c>
      <c r="AD182" s="1">
        <v>0</v>
      </c>
      <c r="AE182" s="1">
        <v>0</v>
      </c>
      <c r="AF182" s="1">
        <v>0</v>
      </c>
      <c r="AG182" s="1">
        <v>0</v>
      </c>
      <c r="AH182" s="1">
        <v>0</v>
      </c>
      <c r="AI182" s="1" t="s">
        <v>955</v>
      </c>
      <c r="AJ182" s="1" t="s">
        <v>410</v>
      </c>
      <c r="AK182" s="1" t="s">
        <v>15</v>
      </c>
      <c r="AL182" s="1" t="s">
        <v>65</v>
      </c>
      <c r="AM182" s="1" t="s">
        <v>292</v>
      </c>
      <c r="AN182" s="1" t="s">
        <v>21</v>
      </c>
      <c r="AO182" s="1" t="s">
        <v>280</v>
      </c>
      <c r="AP182" s="1" t="s">
        <v>324</v>
      </c>
      <c r="AQ182" s="1" t="s">
        <v>20</v>
      </c>
    </row>
    <row r="183" spans="1:43" x14ac:dyDescent="0.3">
      <c r="A183" s="1">
        <v>24824208</v>
      </c>
      <c r="B183" s="1">
        <v>25663494</v>
      </c>
      <c r="C183" s="1" t="s">
        <v>266</v>
      </c>
      <c r="D183" s="4">
        <v>46199.753101851849</v>
      </c>
      <c r="E183" s="4">
        <v>46199.758819444447</v>
      </c>
      <c r="F183" s="1" t="s">
        <v>26</v>
      </c>
      <c r="G183" s="1" t="s">
        <v>26</v>
      </c>
      <c r="H183" s="1" t="s">
        <v>956</v>
      </c>
      <c r="I183" s="1" t="s">
        <v>15</v>
      </c>
      <c r="J183" s="1" t="s">
        <v>957</v>
      </c>
      <c r="K183" s="1" t="s">
        <v>958</v>
      </c>
      <c r="L183" s="1" t="s">
        <v>958</v>
      </c>
      <c r="M183" s="4">
        <v>46199.57708333333</v>
      </c>
      <c r="N183" s="1">
        <v>19554292</v>
      </c>
      <c r="O183" s="1" t="s">
        <v>959</v>
      </c>
      <c r="P183" s="1" t="s">
        <v>271</v>
      </c>
      <c r="Q183" s="1" t="s">
        <v>303</v>
      </c>
      <c r="R183" s="1" t="s">
        <v>272</v>
      </c>
      <c r="S183" s="1" t="s">
        <v>8</v>
      </c>
      <c r="T183" s="1" t="s">
        <v>274</v>
      </c>
      <c r="U183" s="1" t="s">
        <v>143</v>
      </c>
      <c r="V183" s="1" t="s">
        <v>954</v>
      </c>
      <c r="W183" s="1" t="s">
        <v>93</v>
      </c>
      <c r="X183" s="1" t="s">
        <v>93</v>
      </c>
      <c r="Y183" s="1" t="s">
        <v>93</v>
      </c>
      <c r="Z183" s="1" t="s">
        <v>52</v>
      </c>
      <c r="AA183" s="1" t="s">
        <v>93</v>
      </c>
      <c r="AB183" s="1">
        <v>501.8</v>
      </c>
      <c r="AC183" s="1">
        <v>97.96</v>
      </c>
      <c r="AD183" s="1">
        <v>314.5</v>
      </c>
      <c r="AE183" s="1">
        <v>0</v>
      </c>
      <c r="AF183" s="1">
        <v>0</v>
      </c>
      <c r="AG183" s="1">
        <v>0</v>
      </c>
      <c r="AH183" s="1">
        <v>0</v>
      </c>
      <c r="AI183" s="1" t="s">
        <v>960</v>
      </c>
      <c r="AJ183" s="1" t="s">
        <v>410</v>
      </c>
      <c r="AK183" s="1" t="s">
        <v>15</v>
      </c>
      <c r="AL183" s="1" t="s">
        <v>65</v>
      </c>
      <c r="AM183" s="1" t="s">
        <v>292</v>
      </c>
      <c r="AN183" s="1" t="s">
        <v>21</v>
      </c>
      <c r="AO183" s="1" t="s">
        <v>280</v>
      </c>
      <c r="AP183" s="1" t="s">
        <v>324</v>
      </c>
      <c r="AQ183" s="1" t="s">
        <v>20</v>
      </c>
    </row>
    <row r="184" spans="1:43" x14ac:dyDescent="0.3">
      <c r="A184" s="1">
        <v>24815551</v>
      </c>
      <c r="B184" s="1">
        <v>25655402</v>
      </c>
      <c r="C184" s="1" t="s">
        <v>266</v>
      </c>
      <c r="D184" s="4">
        <v>46198.499699074076</v>
      </c>
      <c r="E184" s="4">
        <v>46198.507060185177</v>
      </c>
      <c r="F184" s="1" t="s">
        <v>26</v>
      </c>
      <c r="G184" s="1" t="s">
        <v>26</v>
      </c>
      <c r="H184" s="1" t="s">
        <v>961</v>
      </c>
      <c r="I184" s="1" t="s">
        <v>17</v>
      </c>
      <c r="J184" s="1" t="s">
        <v>962</v>
      </c>
      <c r="K184" s="1" t="s">
        <v>963</v>
      </c>
      <c r="L184" s="1" t="s">
        <v>963</v>
      </c>
      <c r="M184" s="4">
        <v>46198.354166666657</v>
      </c>
      <c r="N184" s="1" t="s">
        <v>964</v>
      </c>
      <c r="O184" s="1" t="s">
        <v>93</v>
      </c>
      <c r="P184" s="1" t="s">
        <v>342</v>
      </c>
      <c r="Q184" s="1" t="s">
        <v>286</v>
      </c>
      <c r="R184" s="1" t="s">
        <v>286</v>
      </c>
      <c r="S184" s="1" t="s">
        <v>9</v>
      </c>
      <c r="T184" s="1" t="s">
        <v>274</v>
      </c>
      <c r="U184" s="1" t="s">
        <v>141</v>
      </c>
      <c r="V184" s="1" t="s">
        <v>581</v>
      </c>
      <c r="W184" s="1" t="s">
        <v>93</v>
      </c>
      <c r="X184" s="1" t="s">
        <v>93</v>
      </c>
      <c r="Y184" s="1" t="s">
        <v>93</v>
      </c>
      <c r="Z184" s="1" t="s">
        <v>47</v>
      </c>
      <c r="AA184" s="1" t="s">
        <v>93</v>
      </c>
      <c r="AB184" s="1">
        <v>160</v>
      </c>
      <c r="AC184" s="1">
        <v>0</v>
      </c>
      <c r="AD184" s="1">
        <v>0</v>
      </c>
      <c r="AE184" s="1">
        <v>0</v>
      </c>
      <c r="AF184" s="1">
        <v>0</v>
      </c>
      <c r="AG184" s="1">
        <v>0</v>
      </c>
      <c r="AH184" s="1">
        <v>0</v>
      </c>
      <c r="AI184" s="1" t="s">
        <v>290</v>
      </c>
      <c r="AJ184" s="1" t="s">
        <v>410</v>
      </c>
      <c r="AK184" s="1" t="s">
        <v>17</v>
      </c>
      <c r="AL184" s="1" t="s">
        <v>65</v>
      </c>
      <c r="AM184" s="1" t="s">
        <v>292</v>
      </c>
      <c r="AN184" s="1" t="s">
        <v>21</v>
      </c>
      <c r="AO184" s="1" t="s">
        <v>280</v>
      </c>
      <c r="AP184" s="1" t="s">
        <v>324</v>
      </c>
      <c r="AQ184" s="1" t="s">
        <v>20</v>
      </c>
    </row>
    <row r="185" spans="1:43" x14ac:dyDescent="0.3">
      <c r="A185" s="1">
        <v>24815561</v>
      </c>
      <c r="B185" s="1">
        <v>25655413</v>
      </c>
      <c r="C185" s="1" t="s">
        <v>294</v>
      </c>
      <c r="D185" s="4">
        <v>46198.500150462962</v>
      </c>
      <c r="E185" s="4">
        <v>46198.507141203707</v>
      </c>
      <c r="F185" s="1" t="s">
        <v>26</v>
      </c>
      <c r="G185" s="1" t="s">
        <v>26</v>
      </c>
      <c r="H185" s="1" t="s">
        <v>965</v>
      </c>
      <c r="I185" s="1" t="s">
        <v>17</v>
      </c>
      <c r="J185" s="1" t="s">
        <v>966</v>
      </c>
      <c r="K185" s="1" t="s">
        <v>579</v>
      </c>
      <c r="L185" s="1" t="s">
        <v>579</v>
      </c>
      <c r="M185" s="4">
        <v>46198.387499999997</v>
      </c>
      <c r="N185" s="1" t="s">
        <v>967</v>
      </c>
      <c r="O185" s="1" t="s">
        <v>93</v>
      </c>
      <c r="P185" s="1" t="s">
        <v>342</v>
      </c>
      <c r="Q185" s="1" t="s">
        <v>303</v>
      </c>
      <c r="R185" s="1" t="s">
        <v>272</v>
      </c>
      <c r="S185" s="1" t="s">
        <v>9</v>
      </c>
      <c r="T185" s="1" t="s">
        <v>274</v>
      </c>
      <c r="U185" s="1" t="s">
        <v>141</v>
      </c>
      <c r="V185" s="1" t="s">
        <v>581</v>
      </c>
      <c r="W185" s="1" t="s">
        <v>93</v>
      </c>
      <c r="X185" s="1" t="s">
        <v>93</v>
      </c>
      <c r="Y185" s="1" t="s">
        <v>93</v>
      </c>
      <c r="Z185" s="1" t="s">
        <v>47</v>
      </c>
      <c r="AA185" s="1" t="s">
        <v>93</v>
      </c>
      <c r="AB185" s="1">
        <v>360</v>
      </c>
      <c r="AC185" s="1">
        <v>0</v>
      </c>
      <c r="AD185" s="1">
        <v>0</v>
      </c>
      <c r="AE185" s="1">
        <v>0</v>
      </c>
      <c r="AF185" s="1">
        <v>0</v>
      </c>
      <c r="AG185" s="1">
        <v>0</v>
      </c>
      <c r="AH185" s="1">
        <v>0</v>
      </c>
      <c r="AI185" s="1" t="s">
        <v>290</v>
      </c>
      <c r="AJ185" s="1" t="s">
        <v>291</v>
      </c>
      <c r="AK185" s="1" t="s">
        <v>17</v>
      </c>
      <c r="AL185" s="1" t="s">
        <v>65</v>
      </c>
      <c r="AM185" s="1" t="s">
        <v>292</v>
      </c>
      <c r="AN185" s="1" t="s">
        <v>21</v>
      </c>
      <c r="AO185" s="1" t="s">
        <v>280</v>
      </c>
      <c r="AP185" s="1" t="s">
        <v>324</v>
      </c>
      <c r="AQ185" s="1" t="s">
        <v>20</v>
      </c>
    </row>
    <row r="186" spans="1:43" x14ac:dyDescent="0.3">
      <c r="A186" s="1">
        <v>24815561</v>
      </c>
      <c r="B186" s="1">
        <v>25655414</v>
      </c>
      <c r="C186" s="1" t="s">
        <v>382</v>
      </c>
      <c r="D186" s="4">
        <v>46198.500150462962</v>
      </c>
      <c r="E186" s="4">
        <v>46198.507141203707</v>
      </c>
      <c r="F186" s="1" t="s">
        <v>26</v>
      </c>
      <c r="G186" s="1" t="s">
        <v>26</v>
      </c>
      <c r="H186" s="1" t="s">
        <v>965</v>
      </c>
      <c r="I186" s="1" t="s">
        <v>17</v>
      </c>
      <c r="J186" s="1" t="s">
        <v>966</v>
      </c>
      <c r="K186" s="1" t="s">
        <v>579</v>
      </c>
      <c r="L186" s="1" t="s">
        <v>579</v>
      </c>
      <c r="M186" s="4">
        <v>46198.387499999997</v>
      </c>
      <c r="N186" s="1" t="s">
        <v>967</v>
      </c>
      <c r="O186" s="1" t="s">
        <v>93</v>
      </c>
      <c r="P186" s="1" t="s">
        <v>342</v>
      </c>
      <c r="Q186" s="1" t="s">
        <v>303</v>
      </c>
      <c r="R186" s="1" t="s">
        <v>272</v>
      </c>
      <c r="S186" s="1" t="s">
        <v>9</v>
      </c>
      <c r="T186" s="1" t="s">
        <v>274</v>
      </c>
      <c r="U186" s="1" t="s">
        <v>141</v>
      </c>
      <c r="V186" s="1" t="s">
        <v>581</v>
      </c>
      <c r="W186" s="1" t="s">
        <v>93</v>
      </c>
      <c r="X186" s="1" t="s">
        <v>93</v>
      </c>
      <c r="Y186" s="1" t="s">
        <v>93</v>
      </c>
      <c r="Z186" s="1" t="s">
        <v>47</v>
      </c>
      <c r="AA186" s="1" t="s">
        <v>93</v>
      </c>
      <c r="AB186" s="1">
        <v>270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 t="s">
        <v>290</v>
      </c>
      <c r="AJ186" s="1" t="s">
        <v>291</v>
      </c>
      <c r="AK186" s="1" t="s">
        <v>17</v>
      </c>
      <c r="AL186" s="1" t="s">
        <v>65</v>
      </c>
      <c r="AM186" s="1" t="s">
        <v>292</v>
      </c>
      <c r="AN186" s="1" t="s">
        <v>21</v>
      </c>
      <c r="AO186" s="1" t="s">
        <v>280</v>
      </c>
      <c r="AP186" s="1" t="s">
        <v>324</v>
      </c>
      <c r="AQ186" s="1" t="s">
        <v>20</v>
      </c>
    </row>
    <row r="187" spans="1:43" x14ac:dyDescent="0.3">
      <c r="A187" s="1">
        <v>24818044</v>
      </c>
      <c r="B187" s="1">
        <v>25657974</v>
      </c>
      <c r="C187" s="1" t="s">
        <v>294</v>
      </c>
      <c r="D187" s="4">
        <v>46198.78528935185</v>
      </c>
      <c r="E187" s="4">
        <v>46204.263506944437</v>
      </c>
      <c r="F187" s="1" t="s">
        <v>22</v>
      </c>
      <c r="G187" s="1" t="s">
        <v>26</v>
      </c>
      <c r="H187" s="1" t="s">
        <v>968</v>
      </c>
      <c r="I187" s="1" t="s">
        <v>17</v>
      </c>
      <c r="J187" s="1" t="s">
        <v>969</v>
      </c>
      <c r="K187" s="1" t="s">
        <v>963</v>
      </c>
      <c r="L187" s="1" t="s">
        <v>963</v>
      </c>
      <c r="M187" s="4">
        <v>46198.65347222222</v>
      </c>
      <c r="N187" s="1" t="s">
        <v>970</v>
      </c>
      <c r="O187" s="1" t="s">
        <v>93</v>
      </c>
      <c r="P187" s="1" t="s">
        <v>342</v>
      </c>
      <c r="Q187" s="1" t="s">
        <v>286</v>
      </c>
      <c r="R187" s="1" t="s">
        <v>286</v>
      </c>
      <c r="S187" s="1" t="s">
        <v>9</v>
      </c>
      <c r="T187" s="1" t="s">
        <v>274</v>
      </c>
      <c r="U187" s="1" t="s">
        <v>141</v>
      </c>
      <c r="V187" s="1" t="s">
        <v>581</v>
      </c>
      <c r="W187" s="1" t="s">
        <v>93</v>
      </c>
      <c r="X187" s="1" t="s">
        <v>93</v>
      </c>
      <c r="Y187" s="1" t="s">
        <v>93</v>
      </c>
      <c r="Z187" s="1" t="s">
        <v>47</v>
      </c>
      <c r="AA187" s="1" t="s">
        <v>93</v>
      </c>
      <c r="AB187" s="1">
        <v>230</v>
      </c>
      <c r="AC187" s="1">
        <v>0</v>
      </c>
      <c r="AD187" s="1">
        <v>0</v>
      </c>
      <c r="AE187" s="1">
        <v>0</v>
      </c>
      <c r="AF187" s="1">
        <v>0</v>
      </c>
      <c r="AG187" s="1">
        <v>0</v>
      </c>
      <c r="AH187" s="1">
        <v>0</v>
      </c>
      <c r="AI187" s="1" t="s">
        <v>290</v>
      </c>
      <c r="AJ187" s="1" t="s">
        <v>291</v>
      </c>
      <c r="AK187" s="1" t="s">
        <v>17</v>
      </c>
      <c r="AL187" s="1" t="s">
        <v>65</v>
      </c>
      <c r="AM187" s="1" t="s">
        <v>292</v>
      </c>
      <c r="AN187" s="1" t="s">
        <v>21</v>
      </c>
      <c r="AO187" s="1" t="s">
        <v>280</v>
      </c>
      <c r="AP187" s="1" t="s">
        <v>324</v>
      </c>
      <c r="AQ187" s="1" t="s">
        <v>20</v>
      </c>
    </row>
    <row r="188" spans="1:43" x14ac:dyDescent="0.3">
      <c r="A188" s="1">
        <v>24811827</v>
      </c>
      <c r="B188" s="1">
        <v>25652466</v>
      </c>
      <c r="C188" s="1" t="s">
        <v>266</v>
      </c>
      <c r="D188" s="4">
        <v>46197.741712962961</v>
      </c>
      <c r="E188" s="4">
        <v>46197.744004629632</v>
      </c>
      <c r="F188" s="1" t="s">
        <v>26</v>
      </c>
      <c r="G188" s="1" t="s">
        <v>26</v>
      </c>
      <c r="H188" s="1" t="s">
        <v>971</v>
      </c>
      <c r="I188" s="1" t="s">
        <v>17</v>
      </c>
      <c r="J188" s="1" t="s">
        <v>972</v>
      </c>
      <c r="K188" s="1" t="s">
        <v>963</v>
      </c>
      <c r="L188" s="1" t="s">
        <v>963</v>
      </c>
      <c r="M188" s="4">
        <v>46197.593055555553</v>
      </c>
      <c r="N188" s="1" t="s">
        <v>973</v>
      </c>
      <c r="O188" s="1" t="s">
        <v>93</v>
      </c>
      <c r="P188" s="1" t="s">
        <v>342</v>
      </c>
      <c r="Q188" s="1" t="s">
        <v>286</v>
      </c>
      <c r="R188" s="1" t="s">
        <v>286</v>
      </c>
      <c r="S188" s="1" t="s">
        <v>9</v>
      </c>
      <c r="T188" s="1" t="s">
        <v>274</v>
      </c>
      <c r="U188" s="1" t="s">
        <v>141</v>
      </c>
      <c r="V188" s="1" t="s">
        <v>581</v>
      </c>
      <c r="W188" s="1" t="s">
        <v>93</v>
      </c>
      <c r="X188" s="1" t="s">
        <v>93</v>
      </c>
      <c r="Y188" s="1" t="s">
        <v>93</v>
      </c>
      <c r="Z188" s="1" t="s">
        <v>47</v>
      </c>
      <c r="AA188" s="1" t="s">
        <v>93</v>
      </c>
      <c r="AB188" s="1">
        <v>160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 t="s">
        <v>290</v>
      </c>
      <c r="AJ188" s="1" t="s">
        <v>410</v>
      </c>
      <c r="AK188" s="1" t="s">
        <v>17</v>
      </c>
      <c r="AL188" s="1" t="s">
        <v>65</v>
      </c>
      <c r="AM188" s="1" t="s">
        <v>292</v>
      </c>
      <c r="AN188" s="1" t="s">
        <v>21</v>
      </c>
      <c r="AO188" s="1" t="s">
        <v>280</v>
      </c>
      <c r="AP188" s="1" t="s">
        <v>324</v>
      </c>
      <c r="AQ188" s="1" t="s">
        <v>20</v>
      </c>
    </row>
    <row r="189" spans="1:43" x14ac:dyDescent="0.3">
      <c r="A189" s="1">
        <v>24811828</v>
      </c>
      <c r="B189" s="1">
        <v>25652467</v>
      </c>
      <c r="C189" s="1" t="s">
        <v>266</v>
      </c>
      <c r="D189" s="4">
        <v>46197.741747685177</v>
      </c>
      <c r="E189" s="4">
        <v>46197.744004629632</v>
      </c>
      <c r="F189" s="1" t="s">
        <v>26</v>
      </c>
      <c r="G189" s="1" t="s">
        <v>26</v>
      </c>
      <c r="H189" s="1" t="s">
        <v>974</v>
      </c>
      <c r="I189" s="1" t="s">
        <v>17</v>
      </c>
      <c r="J189" s="1" t="s">
        <v>975</v>
      </c>
      <c r="K189" s="1" t="s">
        <v>963</v>
      </c>
      <c r="L189" s="1" t="s">
        <v>963</v>
      </c>
      <c r="M189" s="4">
        <v>46197.595138888893</v>
      </c>
      <c r="N189" s="1" t="s">
        <v>976</v>
      </c>
      <c r="O189" s="1" t="s">
        <v>93</v>
      </c>
      <c r="P189" s="1" t="s">
        <v>342</v>
      </c>
      <c r="Q189" s="1" t="s">
        <v>286</v>
      </c>
      <c r="R189" s="1" t="s">
        <v>286</v>
      </c>
      <c r="S189" s="1" t="s">
        <v>9</v>
      </c>
      <c r="T189" s="1" t="s">
        <v>274</v>
      </c>
      <c r="U189" s="1" t="s">
        <v>141</v>
      </c>
      <c r="V189" s="1" t="s">
        <v>581</v>
      </c>
      <c r="W189" s="1" t="s">
        <v>93</v>
      </c>
      <c r="X189" s="1" t="s">
        <v>93</v>
      </c>
      <c r="Y189" s="1" t="s">
        <v>93</v>
      </c>
      <c r="Z189" s="1" t="s">
        <v>47</v>
      </c>
      <c r="AA189" s="1" t="s">
        <v>93</v>
      </c>
      <c r="AB189" s="1">
        <v>160</v>
      </c>
      <c r="AC189" s="1">
        <v>0</v>
      </c>
      <c r="AD189" s="1">
        <v>0</v>
      </c>
      <c r="AE189" s="1">
        <v>0</v>
      </c>
      <c r="AF189" s="1">
        <v>0</v>
      </c>
      <c r="AG189" s="1">
        <v>0</v>
      </c>
      <c r="AH189" s="1">
        <v>0</v>
      </c>
      <c r="AI189" s="1" t="s">
        <v>290</v>
      </c>
      <c r="AJ189" s="1" t="s">
        <v>410</v>
      </c>
      <c r="AK189" s="1" t="s">
        <v>17</v>
      </c>
      <c r="AL189" s="1" t="s">
        <v>65</v>
      </c>
      <c r="AM189" s="1" t="s">
        <v>292</v>
      </c>
      <c r="AN189" s="1" t="s">
        <v>21</v>
      </c>
      <c r="AO189" s="1" t="s">
        <v>280</v>
      </c>
      <c r="AP189" s="1" t="s">
        <v>324</v>
      </c>
      <c r="AQ189" s="1" t="s">
        <v>20</v>
      </c>
    </row>
    <row r="190" spans="1:43" x14ac:dyDescent="0.3">
      <c r="A190" s="1">
        <v>24811183</v>
      </c>
      <c r="B190" s="1">
        <v>25651779</v>
      </c>
      <c r="C190" s="1" t="s">
        <v>266</v>
      </c>
      <c r="D190" s="4">
        <v>46197.672731481478</v>
      </c>
      <c r="E190" s="4">
        <v>46197.682013888887</v>
      </c>
      <c r="F190" s="1" t="s">
        <v>26</v>
      </c>
      <c r="G190" s="1" t="s">
        <v>26</v>
      </c>
      <c r="H190" s="1" t="s">
        <v>977</v>
      </c>
      <c r="I190" s="1" t="s">
        <v>17</v>
      </c>
      <c r="J190" s="1" t="s">
        <v>978</v>
      </c>
      <c r="K190" s="1" t="s">
        <v>963</v>
      </c>
      <c r="L190" s="1" t="s">
        <v>963</v>
      </c>
      <c r="M190" s="4">
        <v>46197.581944444442</v>
      </c>
      <c r="N190" s="1" t="s">
        <v>979</v>
      </c>
      <c r="O190" s="1" t="s">
        <v>93</v>
      </c>
      <c r="P190" s="1" t="s">
        <v>342</v>
      </c>
      <c r="Q190" s="1" t="s">
        <v>286</v>
      </c>
      <c r="R190" s="1" t="s">
        <v>286</v>
      </c>
      <c r="S190" s="1" t="s">
        <v>9</v>
      </c>
      <c r="T190" s="1" t="s">
        <v>274</v>
      </c>
      <c r="U190" s="1" t="s">
        <v>141</v>
      </c>
      <c r="V190" s="1" t="s">
        <v>581</v>
      </c>
      <c r="W190" s="1" t="s">
        <v>93</v>
      </c>
      <c r="X190" s="1" t="s">
        <v>93</v>
      </c>
      <c r="Y190" s="1" t="s">
        <v>93</v>
      </c>
      <c r="Z190" s="1" t="s">
        <v>47</v>
      </c>
      <c r="AA190" s="1" t="s">
        <v>93</v>
      </c>
      <c r="AB190" s="1">
        <v>867</v>
      </c>
      <c r="AC190" s="1">
        <v>0</v>
      </c>
      <c r="AD190" s="1">
        <v>0</v>
      </c>
      <c r="AE190" s="1">
        <v>0</v>
      </c>
      <c r="AF190" s="1">
        <v>0</v>
      </c>
      <c r="AG190" s="1">
        <v>0</v>
      </c>
      <c r="AH190" s="1">
        <v>0</v>
      </c>
      <c r="AI190" s="1" t="s">
        <v>290</v>
      </c>
      <c r="AJ190" s="1" t="s">
        <v>410</v>
      </c>
      <c r="AK190" s="1" t="s">
        <v>17</v>
      </c>
      <c r="AL190" s="1" t="s">
        <v>65</v>
      </c>
      <c r="AM190" s="1" t="s">
        <v>292</v>
      </c>
      <c r="AN190" s="1" t="s">
        <v>21</v>
      </c>
      <c r="AO190" s="1" t="s">
        <v>280</v>
      </c>
      <c r="AP190" s="1" t="s">
        <v>324</v>
      </c>
      <c r="AQ190" s="1" t="s">
        <v>20</v>
      </c>
    </row>
    <row r="191" spans="1:43" x14ac:dyDescent="0.3">
      <c r="A191" s="1">
        <v>24811186</v>
      </c>
      <c r="B191" s="1">
        <v>25651782</v>
      </c>
      <c r="C191" s="1" t="s">
        <v>266</v>
      </c>
      <c r="D191" s="4">
        <v>46197.672858796293</v>
      </c>
      <c r="E191" s="4">
        <v>46197.682037037041</v>
      </c>
      <c r="F191" s="1" t="s">
        <v>26</v>
      </c>
      <c r="G191" s="1" t="s">
        <v>26</v>
      </c>
      <c r="H191" s="1" t="s">
        <v>980</v>
      </c>
      <c r="I191" s="1" t="s">
        <v>17</v>
      </c>
      <c r="J191" s="1" t="s">
        <v>981</v>
      </c>
      <c r="K191" s="1" t="s">
        <v>963</v>
      </c>
      <c r="L191" s="1" t="s">
        <v>963</v>
      </c>
      <c r="M191" s="4">
        <v>46197.586111111108</v>
      </c>
      <c r="N191" s="1" t="s">
        <v>982</v>
      </c>
      <c r="O191" s="1" t="s">
        <v>93</v>
      </c>
      <c r="P191" s="1" t="s">
        <v>342</v>
      </c>
      <c r="Q191" s="1" t="s">
        <v>286</v>
      </c>
      <c r="R191" s="1" t="s">
        <v>286</v>
      </c>
      <c r="S191" s="1" t="s">
        <v>9</v>
      </c>
      <c r="T191" s="1" t="s">
        <v>274</v>
      </c>
      <c r="U191" s="1" t="s">
        <v>141</v>
      </c>
      <c r="V191" s="1" t="s">
        <v>581</v>
      </c>
      <c r="W191" s="1" t="s">
        <v>93</v>
      </c>
      <c r="X191" s="1" t="s">
        <v>93</v>
      </c>
      <c r="Y191" s="1" t="s">
        <v>93</v>
      </c>
      <c r="Z191" s="1" t="s">
        <v>47</v>
      </c>
      <c r="AA191" s="1" t="s">
        <v>93</v>
      </c>
      <c r="AB191" s="1">
        <v>160</v>
      </c>
      <c r="AC191" s="1">
        <v>0</v>
      </c>
      <c r="AD191" s="1">
        <v>0</v>
      </c>
      <c r="AE191" s="1">
        <v>0</v>
      </c>
      <c r="AF191" s="1">
        <v>0</v>
      </c>
      <c r="AG191" s="1">
        <v>0</v>
      </c>
      <c r="AH191" s="1">
        <v>0</v>
      </c>
      <c r="AI191" s="1" t="s">
        <v>290</v>
      </c>
      <c r="AJ191" s="1" t="s">
        <v>410</v>
      </c>
      <c r="AK191" s="1" t="s">
        <v>17</v>
      </c>
      <c r="AL191" s="1" t="s">
        <v>65</v>
      </c>
      <c r="AM191" s="1" t="s">
        <v>292</v>
      </c>
      <c r="AN191" s="1" t="s">
        <v>21</v>
      </c>
      <c r="AO191" s="1" t="s">
        <v>280</v>
      </c>
      <c r="AP191" s="1" t="s">
        <v>324</v>
      </c>
      <c r="AQ191" s="1" t="s">
        <v>20</v>
      </c>
    </row>
    <row r="192" spans="1:43" x14ac:dyDescent="0.3">
      <c r="A192" s="1">
        <v>24817135</v>
      </c>
      <c r="B192" s="1">
        <v>25656966</v>
      </c>
      <c r="C192" s="1" t="s">
        <v>294</v>
      </c>
      <c r="D192" s="4">
        <v>46198.644571759258</v>
      </c>
      <c r="E192" s="4">
        <v>46198.65016203704</v>
      </c>
      <c r="F192" s="1" t="s">
        <v>26</v>
      </c>
      <c r="G192" s="1" t="s">
        <v>26</v>
      </c>
      <c r="H192" s="1" t="s">
        <v>983</v>
      </c>
      <c r="I192" s="1" t="s">
        <v>17</v>
      </c>
      <c r="J192" s="1" t="s">
        <v>984</v>
      </c>
      <c r="K192" s="1" t="s">
        <v>963</v>
      </c>
      <c r="L192" s="1" t="s">
        <v>963</v>
      </c>
      <c r="M192" s="4">
        <v>46197.495833333327</v>
      </c>
      <c r="N192" s="1" t="s">
        <v>985</v>
      </c>
      <c r="O192" s="1" t="s">
        <v>93</v>
      </c>
      <c r="P192" s="1" t="s">
        <v>342</v>
      </c>
      <c r="Q192" s="1" t="s">
        <v>286</v>
      </c>
      <c r="R192" s="1" t="s">
        <v>286</v>
      </c>
      <c r="S192" s="1" t="s">
        <v>9</v>
      </c>
      <c r="T192" s="1" t="s">
        <v>274</v>
      </c>
      <c r="U192" s="1" t="s">
        <v>141</v>
      </c>
      <c r="V192" s="1" t="s">
        <v>581</v>
      </c>
      <c r="W192" s="1" t="s">
        <v>93</v>
      </c>
      <c r="X192" s="1" t="s">
        <v>93</v>
      </c>
      <c r="Y192" s="1" t="s">
        <v>93</v>
      </c>
      <c r="Z192" s="1" t="s">
        <v>47</v>
      </c>
      <c r="AA192" s="1" t="s">
        <v>93</v>
      </c>
      <c r="AB192" s="1">
        <v>160</v>
      </c>
      <c r="AC192" s="1">
        <v>0</v>
      </c>
      <c r="AD192" s="1">
        <v>0</v>
      </c>
      <c r="AE192" s="1">
        <v>0</v>
      </c>
      <c r="AF192" s="1">
        <v>0</v>
      </c>
      <c r="AG192" s="1">
        <v>0</v>
      </c>
      <c r="AH192" s="1">
        <v>0</v>
      </c>
      <c r="AI192" s="1" t="s">
        <v>290</v>
      </c>
      <c r="AJ192" s="1" t="s">
        <v>291</v>
      </c>
      <c r="AK192" s="1" t="s">
        <v>17</v>
      </c>
      <c r="AL192" s="1" t="s">
        <v>65</v>
      </c>
      <c r="AM192" s="1" t="s">
        <v>292</v>
      </c>
      <c r="AN192" s="1" t="s">
        <v>21</v>
      </c>
      <c r="AO192" s="1" t="s">
        <v>280</v>
      </c>
      <c r="AP192" s="1" t="s">
        <v>324</v>
      </c>
      <c r="AQ192" s="1" t="s">
        <v>20</v>
      </c>
    </row>
    <row r="193" spans="1:43" x14ac:dyDescent="0.3">
      <c r="A193" s="1">
        <v>24806850</v>
      </c>
      <c r="B193" s="1">
        <v>25648167</v>
      </c>
      <c r="C193" s="1" t="s">
        <v>266</v>
      </c>
      <c r="D193" s="4">
        <v>46196.852766203701</v>
      </c>
      <c r="E193" s="4">
        <v>46196.88857638889</v>
      </c>
      <c r="F193" s="1" t="s">
        <v>26</v>
      </c>
      <c r="G193" s="1" t="s">
        <v>26</v>
      </c>
      <c r="H193" s="1" t="s">
        <v>986</v>
      </c>
      <c r="I193" s="1" t="s">
        <v>268</v>
      </c>
      <c r="J193" s="1" t="s">
        <v>987</v>
      </c>
      <c r="K193" s="1" t="s">
        <v>988</v>
      </c>
      <c r="L193" s="1" t="s">
        <v>988</v>
      </c>
      <c r="M193" s="4">
        <v>46196.619444444441</v>
      </c>
      <c r="N193" s="1">
        <v>67980</v>
      </c>
      <c r="O193" s="1" t="s">
        <v>989</v>
      </c>
      <c r="P193" s="1" t="s">
        <v>342</v>
      </c>
      <c r="Q193" s="1" t="s">
        <v>303</v>
      </c>
      <c r="R193" s="1" t="s">
        <v>272</v>
      </c>
      <c r="S193" s="1" t="s">
        <v>8</v>
      </c>
      <c r="T193" s="1" t="s">
        <v>274</v>
      </c>
      <c r="U193" s="1" t="s">
        <v>146</v>
      </c>
      <c r="V193" s="1" t="s">
        <v>990</v>
      </c>
      <c r="W193" s="1" t="s">
        <v>93</v>
      </c>
      <c r="X193" s="1" t="s">
        <v>93</v>
      </c>
      <c r="Y193" s="1" t="s">
        <v>93</v>
      </c>
      <c r="Z193" s="1" t="s">
        <v>57</v>
      </c>
      <c r="AA193" s="1" t="s">
        <v>93</v>
      </c>
      <c r="AB193" s="1">
        <v>186.66</v>
      </c>
      <c r="AC193" s="1">
        <v>0</v>
      </c>
      <c r="AD193" s="1">
        <v>206.91</v>
      </c>
      <c r="AE193" s="1">
        <v>0</v>
      </c>
      <c r="AF193" s="1">
        <v>0</v>
      </c>
      <c r="AG193" s="1">
        <v>0</v>
      </c>
      <c r="AH193" s="1">
        <v>0</v>
      </c>
      <c r="AI193" s="1" t="s">
        <v>991</v>
      </c>
      <c r="AJ193" s="1" t="s">
        <v>410</v>
      </c>
      <c r="AK193" s="1" t="s">
        <v>13</v>
      </c>
      <c r="AL193" s="1" t="s">
        <v>65</v>
      </c>
      <c r="AM193" s="1" t="s">
        <v>292</v>
      </c>
      <c r="AN193" s="1" t="s">
        <v>21</v>
      </c>
      <c r="AO193" s="1" t="s">
        <v>280</v>
      </c>
      <c r="AP193" s="1" t="s">
        <v>324</v>
      </c>
      <c r="AQ193" s="1" t="s">
        <v>20</v>
      </c>
    </row>
    <row r="194" spans="1:43" x14ac:dyDescent="0.3">
      <c r="A194" s="1">
        <v>24825296</v>
      </c>
      <c r="B194" s="1">
        <v>25664552</v>
      </c>
      <c r="C194" s="1" t="s">
        <v>266</v>
      </c>
      <c r="D194" s="4">
        <v>46199.888726851852</v>
      </c>
      <c r="E194" s="4">
        <v>46199.907476851848</v>
      </c>
      <c r="F194" s="1" t="s">
        <v>26</v>
      </c>
      <c r="G194" s="1" t="s">
        <v>26</v>
      </c>
      <c r="H194" s="1" t="s">
        <v>992</v>
      </c>
      <c r="I194" s="1" t="s">
        <v>268</v>
      </c>
      <c r="J194" s="1" t="s">
        <v>993</v>
      </c>
      <c r="K194" s="1" t="s">
        <v>270</v>
      </c>
      <c r="L194" s="1" t="s">
        <v>270</v>
      </c>
      <c r="M194" s="4">
        <v>46199.754166666673</v>
      </c>
      <c r="N194" s="1">
        <v>68404</v>
      </c>
      <c r="O194" s="1" t="s">
        <v>789</v>
      </c>
      <c r="P194" s="1" t="s">
        <v>271</v>
      </c>
      <c r="Q194" s="1" t="s">
        <v>303</v>
      </c>
      <c r="R194" s="1" t="s">
        <v>272</v>
      </c>
      <c r="S194" s="1" t="s">
        <v>8</v>
      </c>
      <c r="T194" s="1" t="s">
        <v>274</v>
      </c>
      <c r="U194" s="1" t="s">
        <v>146</v>
      </c>
      <c r="V194" s="1" t="s">
        <v>990</v>
      </c>
      <c r="W194" s="1" t="s">
        <v>93</v>
      </c>
      <c r="X194" s="1" t="s">
        <v>93</v>
      </c>
      <c r="Y194" s="1" t="s">
        <v>93</v>
      </c>
      <c r="Z194" s="1" t="s">
        <v>57</v>
      </c>
      <c r="AA194" s="1" t="s">
        <v>93</v>
      </c>
      <c r="AB194" s="1">
        <v>190.12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 t="s">
        <v>994</v>
      </c>
      <c r="AJ194" s="1" t="s">
        <v>410</v>
      </c>
      <c r="AK194" s="1" t="s">
        <v>13</v>
      </c>
      <c r="AL194" s="1" t="s">
        <v>65</v>
      </c>
      <c r="AM194" s="1" t="s">
        <v>292</v>
      </c>
      <c r="AN194" s="1" t="s">
        <v>21</v>
      </c>
      <c r="AO194" s="1" t="s">
        <v>280</v>
      </c>
      <c r="AP194" s="1" t="s">
        <v>324</v>
      </c>
      <c r="AQ194" s="1" t="s">
        <v>20</v>
      </c>
    </row>
    <row r="195" spans="1:43" x14ac:dyDescent="0.3">
      <c r="A195" s="1">
        <v>24832097</v>
      </c>
      <c r="B195" s="1">
        <v>25669613</v>
      </c>
      <c r="C195" s="1" t="s">
        <v>266</v>
      </c>
      <c r="D195" s="4">
        <v>46201.651643518519</v>
      </c>
      <c r="E195" s="4">
        <v>46201.654606481483</v>
      </c>
      <c r="F195" s="1" t="s">
        <v>24</v>
      </c>
      <c r="G195" s="1" t="s">
        <v>24</v>
      </c>
      <c r="H195" s="1" t="s">
        <v>995</v>
      </c>
      <c r="I195" s="1" t="s">
        <v>268</v>
      </c>
      <c r="J195" s="1" t="s">
        <v>996</v>
      </c>
      <c r="K195" s="1" t="s">
        <v>270</v>
      </c>
      <c r="L195" s="1" t="s">
        <v>270</v>
      </c>
      <c r="M195" s="4">
        <v>46201.48541666667</v>
      </c>
      <c r="N195" s="1">
        <v>4702</v>
      </c>
      <c r="O195" s="1" t="s">
        <v>855</v>
      </c>
      <c r="P195" s="1" t="s">
        <v>271</v>
      </c>
      <c r="Q195" s="1" t="s">
        <v>303</v>
      </c>
      <c r="R195" s="1" t="s">
        <v>272</v>
      </c>
      <c r="S195" s="1" t="s">
        <v>8</v>
      </c>
      <c r="T195" s="1" t="s">
        <v>274</v>
      </c>
      <c r="U195" s="1" t="s">
        <v>156</v>
      </c>
      <c r="V195" s="1" t="s">
        <v>997</v>
      </c>
      <c r="W195" s="1" t="s">
        <v>93</v>
      </c>
      <c r="X195" s="1" t="s">
        <v>93</v>
      </c>
      <c r="Y195" s="1" t="s">
        <v>93</v>
      </c>
      <c r="Z195" s="1" t="s">
        <v>66</v>
      </c>
      <c r="AA195" s="1" t="s">
        <v>93</v>
      </c>
      <c r="AB195" s="1">
        <v>2385.33</v>
      </c>
      <c r="AC195" s="1">
        <v>0</v>
      </c>
      <c r="AD195" s="1">
        <v>0</v>
      </c>
      <c r="AE195" s="1">
        <v>0</v>
      </c>
      <c r="AF195" s="1">
        <v>0</v>
      </c>
      <c r="AG195" s="1">
        <v>0</v>
      </c>
      <c r="AH195" s="1">
        <v>0</v>
      </c>
      <c r="AI195" s="1" t="s">
        <v>998</v>
      </c>
      <c r="AJ195" s="1" t="s">
        <v>410</v>
      </c>
      <c r="AK195" s="1" t="s">
        <v>13</v>
      </c>
      <c r="AL195" s="1" t="s">
        <v>65</v>
      </c>
      <c r="AM195" s="1" t="s">
        <v>292</v>
      </c>
      <c r="AN195" s="1" t="s">
        <v>21</v>
      </c>
      <c r="AO195" s="1" t="s">
        <v>280</v>
      </c>
      <c r="AP195" s="1" t="s">
        <v>324</v>
      </c>
      <c r="AQ195" s="1" t="s">
        <v>20</v>
      </c>
    </row>
    <row r="196" spans="1:43" x14ac:dyDescent="0.3">
      <c r="A196" s="1">
        <v>24817910</v>
      </c>
      <c r="B196" s="1">
        <v>25657834</v>
      </c>
      <c r="C196" s="1" t="s">
        <v>266</v>
      </c>
      <c r="D196" s="4">
        <v>46198.767777777779</v>
      </c>
      <c r="E196" s="4">
        <v>46198.778263888889</v>
      </c>
      <c r="F196" s="1" t="s">
        <v>26</v>
      </c>
      <c r="G196" s="1" t="s">
        <v>26</v>
      </c>
      <c r="H196" s="1" t="s">
        <v>999</v>
      </c>
      <c r="I196" s="1" t="s">
        <v>16</v>
      </c>
      <c r="J196" s="1" t="s">
        <v>1000</v>
      </c>
      <c r="K196" s="1" t="s">
        <v>547</v>
      </c>
      <c r="L196" s="1" t="s">
        <v>547</v>
      </c>
      <c r="M196" s="4">
        <v>46197.723611111112</v>
      </c>
      <c r="N196" s="1">
        <v>4714384</v>
      </c>
      <c r="O196" s="1" t="s">
        <v>93</v>
      </c>
      <c r="P196" s="1" t="s">
        <v>342</v>
      </c>
      <c r="Q196" s="1" t="s">
        <v>286</v>
      </c>
      <c r="R196" s="1" t="s">
        <v>439</v>
      </c>
      <c r="S196" s="1" t="s">
        <v>7</v>
      </c>
      <c r="T196" s="1" t="s">
        <v>274</v>
      </c>
      <c r="U196" s="1" t="s">
        <v>142</v>
      </c>
      <c r="V196" s="1" t="s">
        <v>575</v>
      </c>
      <c r="W196" s="1" t="s">
        <v>93</v>
      </c>
      <c r="X196" s="1" t="s">
        <v>298</v>
      </c>
      <c r="Y196" s="1">
        <v>2306513350</v>
      </c>
      <c r="Z196" s="1" t="s">
        <v>50</v>
      </c>
      <c r="AA196" s="1" t="s">
        <v>93</v>
      </c>
      <c r="AB196" s="1">
        <v>4832.1064999999999</v>
      </c>
      <c r="AC196" s="1">
        <v>342.86</v>
      </c>
      <c r="AD196" s="1">
        <v>0</v>
      </c>
      <c r="AE196" s="1">
        <v>0</v>
      </c>
      <c r="AF196" s="1">
        <v>0</v>
      </c>
      <c r="AG196" s="1">
        <v>0</v>
      </c>
      <c r="AH196" s="1">
        <v>0</v>
      </c>
      <c r="AI196" s="1" t="s">
        <v>1001</v>
      </c>
      <c r="AJ196" s="1" t="s">
        <v>1002</v>
      </c>
      <c r="AK196" s="1" t="s">
        <v>16</v>
      </c>
      <c r="AL196" s="1" t="s">
        <v>92</v>
      </c>
      <c r="AM196" s="1" t="s">
        <v>682</v>
      </c>
      <c r="AN196" s="1" t="s">
        <v>21</v>
      </c>
      <c r="AO196" s="1" t="s">
        <v>280</v>
      </c>
      <c r="AP196" s="1" t="s">
        <v>324</v>
      </c>
      <c r="AQ196" s="1" t="s">
        <v>27</v>
      </c>
    </row>
    <row r="197" spans="1:43" x14ac:dyDescent="0.3">
      <c r="A197" s="1">
        <v>24817910</v>
      </c>
      <c r="B197" s="1">
        <v>25657835</v>
      </c>
      <c r="C197" s="1" t="s">
        <v>615</v>
      </c>
      <c r="D197" s="4">
        <v>46198.767777777779</v>
      </c>
      <c r="E197" s="4">
        <v>46198.778263888889</v>
      </c>
      <c r="F197" s="1" t="s">
        <v>26</v>
      </c>
      <c r="G197" s="1" t="s">
        <v>26</v>
      </c>
      <c r="H197" s="1" t="s">
        <v>999</v>
      </c>
      <c r="I197" s="1" t="s">
        <v>16</v>
      </c>
      <c r="J197" s="1" t="s">
        <v>1003</v>
      </c>
      <c r="K197" s="1" t="s">
        <v>547</v>
      </c>
      <c r="L197" s="1" t="s">
        <v>547</v>
      </c>
      <c r="M197" s="4">
        <v>46197.723611111112</v>
      </c>
      <c r="N197" s="1" t="s">
        <v>93</v>
      </c>
      <c r="O197" s="1" t="s">
        <v>93</v>
      </c>
      <c r="P197" s="1" t="s">
        <v>342</v>
      </c>
      <c r="Q197" s="1" t="s">
        <v>286</v>
      </c>
      <c r="R197" s="1" t="s">
        <v>439</v>
      </c>
      <c r="S197" s="1" t="s">
        <v>7</v>
      </c>
      <c r="T197" s="1" t="s">
        <v>274</v>
      </c>
      <c r="U197" s="1" t="s">
        <v>142</v>
      </c>
      <c r="V197" s="1" t="s">
        <v>575</v>
      </c>
      <c r="W197" s="1" t="s">
        <v>93</v>
      </c>
      <c r="X197" s="1" t="s">
        <v>298</v>
      </c>
      <c r="Y197" s="1">
        <v>2306513350</v>
      </c>
      <c r="Z197" s="1" t="s">
        <v>50</v>
      </c>
      <c r="AA197" s="1" t="s">
        <v>93</v>
      </c>
      <c r="AB197" s="1">
        <v>3140.8</v>
      </c>
      <c r="AC197" s="1">
        <v>100.47</v>
      </c>
      <c r="AD197" s="1">
        <v>0</v>
      </c>
      <c r="AE197" s="1">
        <v>0</v>
      </c>
      <c r="AF197" s="1">
        <v>0</v>
      </c>
      <c r="AG197" s="1">
        <v>0</v>
      </c>
      <c r="AH197" s="1">
        <v>0</v>
      </c>
      <c r="AI197" s="1" t="s">
        <v>1001</v>
      </c>
      <c r="AJ197" s="1" t="s">
        <v>1002</v>
      </c>
      <c r="AK197" s="1" t="s">
        <v>16</v>
      </c>
      <c r="AL197" s="1" t="s">
        <v>92</v>
      </c>
      <c r="AM197" s="1" t="s">
        <v>682</v>
      </c>
      <c r="AN197" s="1" t="s">
        <v>21</v>
      </c>
      <c r="AO197" s="1" t="s">
        <v>280</v>
      </c>
      <c r="AP197" s="1" t="s">
        <v>324</v>
      </c>
      <c r="AQ197" s="1" t="s">
        <v>27</v>
      </c>
    </row>
    <row r="198" spans="1:43" x14ac:dyDescent="0.3">
      <c r="A198" s="1">
        <v>24817910</v>
      </c>
      <c r="B198" s="1">
        <v>25657836</v>
      </c>
      <c r="C198" s="1" t="s">
        <v>615</v>
      </c>
      <c r="D198" s="4">
        <v>46198.767777777779</v>
      </c>
      <c r="E198" s="4">
        <v>46198.778263888889</v>
      </c>
      <c r="F198" s="1" t="s">
        <v>26</v>
      </c>
      <c r="G198" s="1" t="s">
        <v>26</v>
      </c>
      <c r="H198" s="1" t="s">
        <v>999</v>
      </c>
      <c r="I198" s="1" t="s">
        <v>16</v>
      </c>
      <c r="J198" s="1" t="s">
        <v>1003</v>
      </c>
      <c r="K198" s="1" t="s">
        <v>547</v>
      </c>
      <c r="L198" s="1" t="s">
        <v>547</v>
      </c>
      <c r="M198" s="4">
        <v>46197.723611111112</v>
      </c>
      <c r="N198" s="1" t="s">
        <v>93</v>
      </c>
      <c r="O198" s="1" t="s">
        <v>93</v>
      </c>
      <c r="P198" s="1" t="s">
        <v>342</v>
      </c>
      <c r="Q198" s="1" t="s">
        <v>286</v>
      </c>
      <c r="R198" s="1" t="s">
        <v>439</v>
      </c>
      <c r="S198" s="1" t="s">
        <v>7</v>
      </c>
      <c r="T198" s="1" t="s">
        <v>274</v>
      </c>
      <c r="U198" s="1" t="s">
        <v>142</v>
      </c>
      <c r="V198" s="1" t="s">
        <v>575</v>
      </c>
      <c r="W198" s="1" t="s">
        <v>93</v>
      </c>
      <c r="X198" s="1" t="s">
        <v>298</v>
      </c>
      <c r="Y198" s="1">
        <v>2306513350</v>
      </c>
      <c r="Z198" s="1" t="s">
        <v>50</v>
      </c>
      <c r="AA198" s="1" t="s">
        <v>93</v>
      </c>
      <c r="AB198" s="1">
        <v>3140.8</v>
      </c>
      <c r="AC198" s="1">
        <v>100.47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 t="s">
        <v>1001</v>
      </c>
      <c r="AJ198" s="1" t="s">
        <v>1002</v>
      </c>
      <c r="AK198" s="1" t="s">
        <v>16</v>
      </c>
      <c r="AL198" s="1" t="s">
        <v>92</v>
      </c>
      <c r="AM198" s="1" t="s">
        <v>682</v>
      </c>
      <c r="AN198" s="1" t="s">
        <v>21</v>
      </c>
      <c r="AO198" s="1" t="s">
        <v>280</v>
      </c>
      <c r="AP198" s="1" t="s">
        <v>324</v>
      </c>
      <c r="AQ198" s="1" t="s">
        <v>27</v>
      </c>
    </row>
    <row r="199" spans="1:43" x14ac:dyDescent="0.3">
      <c r="A199" s="1">
        <v>24815013</v>
      </c>
      <c r="B199" s="1">
        <v>25654846</v>
      </c>
      <c r="C199" s="1" t="s">
        <v>266</v>
      </c>
      <c r="D199" s="4">
        <v>46198.425706018519</v>
      </c>
      <c r="E199" s="4">
        <v>46199.131006944437</v>
      </c>
      <c r="F199" s="1" t="s">
        <v>26</v>
      </c>
      <c r="G199" s="1" t="s">
        <v>26</v>
      </c>
      <c r="H199" s="1" t="s">
        <v>1004</v>
      </c>
      <c r="I199" s="1" t="s">
        <v>14</v>
      </c>
      <c r="J199" s="1" t="s">
        <v>1000</v>
      </c>
      <c r="K199" s="1" t="s">
        <v>547</v>
      </c>
      <c r="L199" s="1" t="s">
        <v>547</v>
      </c>
      <c r="M199" s="4">
        <v>46197.723611111112</v>
      </c>
      <c r="N199" s="1">
        <v>4714384</v>
      </c>
      <c r="O199" s="1" t="s">
        <v>93</v>
      </c>
      <c r="P199" s="1" t="s">
        <v>342</v>
      </c>
      <c r="Q199" s="1" t="s">
        <v>286</v>
      </c>
      <c r="R199" s="1" t="s">
        <v>439</v>
      </c>
      <c r="S199" s="1" t="s">
        <v>7</v>
      </c>
      <c r="T199" s="1" t="s">
        <v>365</v>
      </c>
      <c r="U199" s="1" t="s">
        <v>142</v>
      </c>
      <c r="V199" s="1" t="s">
        <v>575</v>
      </c>
      <c r="W199" s="1" t="s">
        <v>93</v>
      </c>
      <c r="X199" s="1" t="s">
        <v>298</v>
      </c>
      <c r="Y199" s="1">
        <v>2306513350</v>
      </c>
      <c r="Z199" s="1" t="s">
        <v>50</v>
      </c>
      <c r="AA199" s="1" t="s">
        <v>93</v>
      </c>
      <c r="AB199" s="1">
        <v>4832.1064999999999</v>
      </c>
      <c r="AC199" s="1">
        <v>342.86</v>
      </c>
      <c r="AD199" s="1">
        <v>0</v>
      </c>
      <c r="AE199" s="1">
        <v>0</v>
      </c>
      <c r="AF199" s="1">
        <v>0</v>
      </c>
      <c r="AG199" s="1">
        <v>0</v>
      </c>
      <c r="AH199" s="1">
        <v>0</v>
      </c>
      <c r="AI199" s="1" t="s">
        <v>1001</v>
      </c>
      <c r="AJ199" s="1" t="s">
        <v>1002</v>
      </c>
      <c r="AK199" s="1" t="s">
        <v>14</v>
      </c>
      <c r="AL199" s="1" t="s">
        <v>92</v>
      </c>
      <c r="AM199" s="1" t="s">
        <v>682</v>
      </c>
      <c r="AN199" s="1" t="s">
        <v>21</v>
      </c>
      <c r="AO199" s="1" t="s">
        <v>280</v>
      </c>
      <c r="AP199" s="1" t="s">
        <v>324</v>
      </c>
      <c r="AQ199" s="1" t="s">
        <v>27</v>
      </c>
    </row>
    <row r="200" spans="1:43" x14ac:dyDescent="0.3">
      <c r="A200" s="1">
        <v>24815013</v>
      </c>
      <c r="B200" s="1">
        <v>25657798</v>
      </c>
      <c r="C200" s="1" t="s">
        <v>615</v>
      </c>
      <c r="D200" s="4">
        <v>46198.425706018519</v>
      </c>
      <c r="E200" s="4">
        <v>46199.131006944437</v>
      </c>
      <c r="F200" s="1" t="s">
        <v>26</v>
      </c>
      <c r="G200" s="1" t="s">
        <v>26</v>
      </c>
      <c r="H200" s="1" t="s">
        <v>1004</v>
      </c>
      <c r="I200" s="1" t="s">
        <v>14</v>
      </c>
      <c r="J200" s="1" t="s">
        <v>1003</v>
      </c>
      <c r="K200" s="1" t="s">
        <v>547</v>
      </c>
      <c r="L200" s="1" t="s">
        <v>547</v>
      </c>
      <c r="M200" s="4">
        <v>46197.723611111112</v>
      </c>
      <c r="N200" s="1" t="s">
        <v>93</v>
      </c>
      <c r="O200" s="1" t="s">
        <v>93</v>
      </c>
      <c r="P200" s="1" t="s">
        <v>342</v>
      </c>
      <c r="Q200" s="1" t="s">
        <v>286</v>
      </c>
      <c r="R200" s="1" t="s">
        <v>439</v>
      </c>
      <c r="S200" s="1" t="s">
        <v>7</v>
      </c>
      <c r="T200" s="1" t="s">
        <v>365</v>
      </c>
      <c r="U200" s="1" t="s">
        <v>142</v>
      </c>
      <c r="V200" s="1" t="s">
        <v>575</v>
      </c>
      <c r="W200" s="1" t="s">
        <v>93</v>
      </c>
      <c r="X200" s="1" t="s">
        <v>298</v>
      </c>
      <c r="Y200" s="1">
        <v>2306513350</v>
      </c>
      <c r="Z200" s="1" t="s">
        <v>50</v>
      </c>
      <c r="AA200" s="1" t="s">
        <v>93</v>
      </c>
      <c r="AB200" s="1">
        <v>3140.8</v>
      </c>
      <c r="AC200" s="1">
        <v>100.47</v>
      </c>
      <c r="AD200" s="1">
        <v>0</v>
      </c>
      <c r="AE200" s="1">
        <v>0</v>
      </c>
      <c r="AF200" s="1">
        <v>0</v>
      </c>
      <c r="AG200" s="1">
        <v>0</v>
      </c>
      <c r="AH200" s="1">
        <v>0</v>
      </c>
      <c r="AI200" s="1" t="s">
        <v>1001</v>
      </c>
      <c r="AJ200" s="1" t="s">
        <v>1002</v>
      </c>
      <c r="AK200" s="1" t="s">
        <v>14</v>
      </c>
      <c r="AL200" s="1" t="s">
        <v>92</v>
      </c>
      <c r="AM200" s="1" t="s">
        <v>682</v>
      </c>
      <c r="AN200" s="1" t="s">
        <v>21</v>
      </c>
      <c r="AO200" s="1" t="s">
        <v>280</v>
      </c>
      <c r="AP200" s="1" t="s">
        <v>324</v>
      </c>
      <c r="AQ200" s="1" t="s">
        <v>27</v>
      </c>
    </row>
    <row r="201" spans="1:43" x14ac:dyDescent="0.3">
      <c r="A201" s="1">
        <v>24815013</v>
      </c>
      <c r="B201" s="1">
        <v>25657814</v>
      </c>
      <c r="C201" s="1" t="s">
        <v>615</v>
      </c>
      <c r="D201" s="4">
        <v>46198.425706018519</v>
      </c>
      <c r="E201" s="4">
        <v>46199.131006944437</v>
      </c>
      <c r="F201" s="1" t="s">
        <v>26</v>
      </c>
      <c r="G201" s="1" t="s">
        <v>26</v>
      </c>
      <c r="H201" s="1" t="s">
        <v>1004</v>
      </c>
      <c r="I201" s="1" t="s">
        <v>14</v>
      </c>
      <c r="J201" s="1" t="s">
        <v>1003</v>
      </c>
      <c r="K201" s="1" t="s">
        <v>547</v>
      </c>
      <c r="L201" s="1" t="s">
        <v>547</v>
      </c>
      <c r="M201" s="4">
        <v>46197.723611111112</v>
      </c>
      <c r="N201" s="1" t="s">
        <v>93</v>
      </c>
      <c r="O201" s="1" t="s">
        <v>93</v>
      </c>
      <c r="P201" s="1" t="s">
        <v>342</v>
      </c>
      <c r="Q201" s="1" t="s">
        <v>286</v>
      </c>
      <c r="R201" s="1" t="s">
        <v>439</v>
      </c>
      <c r="S201" s="1" t="s">
        <v>7</v>
      </c>
      <c r="T201" s="1" t="s">
        <v>365</v>
      </c>
      <c r="U201" s="1" t="s">
        <v>142</v>
      </c>
      <c r="V201" s="1" t="s">
        <v>575</v>
      </c>
      <c r="W201" s="1" t="s">
        <v>93</v>
      </c>
      <c r="X201" s="1" t="s">
        <v>298</v>
      </c>
      <c r="Y201" s="1">
        <v>2306513350</v>
      </c>
      <c r="Z201" s="1" t="s">
        <v>50</v>
      </c>
      <c r="AA201" s="1" t="s">
        <v>93</v>
      </c>
      <c r="AB201" s="1">
        <v>3140.8</v>
      </c>
      <c r="AC201" s="1">
        <v>100.47</v>
      </c>
      <c r="AD201" s="1">
        <v>0</v>
      </c>
      <c r="AE201" s="1">
        <v>0</v>
      </c>
      <c r="AF201" s="1">
        <v>0</v>
      </c>
      <c r="AG201" s="1">
        <v>0</v>
      </c>
      <c r="AH201" s="1">
        <v>0</v>
      </c>
      <c r="AI201" s="1" t="s">
        <v>1001</v>
      </c>
      <c r="AJ201" s="1" t="s">
        <v>1002</v>
      </c>
      <c r="AK201" s="1" t="s">
        <v>14</v>
      </c>
      <c r="AL201" s="1" t="s">
        <v>92</v>
      </c>
      <c r="AM201" s="1" t="s">
        <v>682</v>
      </c>
      <c r="AN201" s="1" t="s">
        <v>21</v>
      </c>
      <c r="AO201" s="1" t="s">
        <v>280</v>
      </c>
      <c r="AP201" s="1" t="s">
        <v>324</v>
      </c>
      <c r="AQ201" s="1" t="s">
        <v>27</v>
      </c>
    </row>
    <row r="202" spans="1:43" x14ac:dyDescent="0.3">
      <c r="A202" s="1">
        <v>24823058</v>
      </c>
      <c r="B202" s="1">
        <v>25662191</v>
      </c>
      <c r="C202" s="1" t="s">
        <v>266</v>
      </c>
      <c r="D202" s="4">
        <v>46199.641631944447</v>
      </c>
      <c r="E202" s="4">
        <v>46199.647939814808</v>
      </c>
      <c r="F202" s="1" t="s">
        <v>26</v>
      </c>
      <c r="G202" s="1" t="s">
        <v>26</v>
      </c>
      <c r="H202" s="1" t="s">
        <v>1005</v>
      </c>
      <c r="I202" s="1" t="s">
        <v>268</v>
      </c>
      <c r="J202" s="1" t="s">
        <v>1006</v>
      </c>
      <c r="K202" s="1" t="s">
        <v>632</v>
      </c>
      <c r="L202" s="1" t="s">
        <v>632</v>
      </c>
      <c r="M202" s="4">
        <v>46199.534722222219</v>
      </c>
      <c r="N202" s="1">
        <v>17932</v>
      </c>
      <c r="O202" s="1" t="s">
        <v>93</v>
      </c>
      <c r="P202" s="1" t="s">
        <v>342</v>
      </c>
      <c r="Q202" s="1" t="s">
        <v>303</v>
      </c>
      <c r="R202" s="1" t="s">
        <v>272</v>
      </c>
      <c r="S202" s="1" t="s">
        <v>7</v>
      </c>
      <c r="T202" s="1" t="s">
        <v>274</v>
      </c>
      <c r="U202" s="1" t="s">
        <v>165</v>
      </c>
      <c r="V202" s="1" t="s">
        <v>1007</v>
      </c>
      <c r="W202" s="1" t="s">
        <v>93</v>
      </c>
      <c r="X202" s="1" t="s">
        <v>298</v>
      </c>
      <c r="Y202" s="1">
        <v>4441848466</v>
      </c>
      <c r="Z202" s="1" t="s">
        <v>79</v>
      </c>
      <c r="AA202" s="1" t="s">
        <v>93</v>
      </c>
      <c r="AB202" s="1">
        <v>0</v>
      </c>
      <c r="AC202" s="1">
        <v>175</v>
      </c>
      <c r="AD202" s="1">
        <v>0</v>
      </c>
      <c r="AE202" s="1">
        <v>0</v>
      </c>
      <c r="AF202" s="1">
        <v>0</v>
      </c>
      <c r="AG202" s="1">
        <v>0</v>
      </c>
      <c r="AH202" s="1">
        <v>0</v>
      </c>
      <c r="AI202" s="1" t="s">
        <v>1008</v>
      </c>
      <c r="AJ202" s="1" t="s">
        <v>403</v>
      </c>
      <c r="AK202" s="1" t="s">
        <v>13</v>
      </c>
      <c r="AL202" s="1" t="s">
        <v>73</v>
      </c>
      <c r="AM202" s="1" t="s">
        <v>337</v>
      </c>
      <c r="AN202" s="1" t="s">
        <v>21</v>
      </c>
      <c r="AO202" s="1" t="s">
        <v>280</v>
      </c>
      <c r="AP202" s="1" t="s">
        <v>324</v>
      </c>
      <c r="AQ202" s="1" t="s">
        <v>125</v>
      </c>
    </row>
    <row r="203" spans="1:43" x14ac:dyDescent="0.3">
      <c r="A203" s="1">
        <v>24814818</v>
      </c>
      <c r="B203" s="1">
        <v>25654699</v>
      </c>
      <c r="C203" s="1" t="s">
        <v>615</v>
      </c>
      <c r="D203" s="4">
        <v>46198.385601851849</v>
      </c>
      <c r="E203" s="4">
        <v>46198.396458333344</v>
      </c>
      <c r="F203" s="1" t="s">
        <v>26</v>
      </c>
      <c r="G203" s="1" t="s">
        <v>26</v>
      </c>
      <c r="H203" s="1" t="s">
        <v>1009</v>
      </c>
      <c r="I203" s="1" t="s">
        <v>16</v>
      </c>
      <c r="J203" s="1" t="s">
        <v>1010</v>
      </c>
      <c r="K203" s="1" t="s">
        <v>1011</v>
      </c>
      <c r="L203" s="1" t="s">
        <v>1011</v>
      </c>
      <c r="M203" s="4">
        <v>46192.385416666657</v>
      </c>
      <c r="N203" s="1" t="s">
        <v>93</v>
      </c>
      <c r="O203" s="1" t="s">
        <v>93</v>
      </c>
      <c r="P203" s="1" t="s">
        <v>342</v>
      </c>
      <c r="Q203" s="1" t="s">
        <v>286</v>
      </c>
      <c r="R203" s="1" t="s">
        <v>286</v>
      </c>
      <c r="S203" s="1" t="s">
        <v>7</v>
      </c>
      <c r="T203" s="1" t="s">
        <v>274</v>
      </c>
      <c r="U203" s="1" t="s">
        <v>179</v>
      </c>
      <c r="V203" s="1" t="s">
        <v>1012</v>
      </c>
      <c r="W203" s="1" t="s">
        <v>93</v>
      </c>
      <c r="X203" s="1" t="s">
        <v>298</v>
      </c>
      <c r="Y203" s="1">
        <v>2306214277</v>
      </c>
      <c r="Z203" s="1" t="s">
        <v>43</v>
      </c>
      <c r="AA203" s="1" t="s">
        <v>93</v>
      </c>
      <c r="AB203" s="1">
        <v>1245.23</v>
      </c>
      <c r="AC203" s="1">
        <v>84.54</v>
      </c>
      <c r="AD203" s="1">
        <v>0</v>
      </c>
      <c r="AE203" s="1">
        <v>0</v>
      </c>
      <c r="AF203" s="1">
        <v>0</v>
      </c>
      <c r="AG203" s="1">
        <v>0</v>
      </c>
      <c r="AH203" s="1">
        <v>123.16</v>
      </c>
      <c r="AI203" s="1" t="s">
        <v>93</v>
      </c>
      <c r="AJ203" s="1" t="s">
        <v>451</v>
      </c>
      <c r="AK203" s="1" t="s">
        <v>43</v>
      </c>
      <c r="AL203" s="1" t="s">
        <v>84</v>
      </c>
      <c r="AM203" s="1" t="s">
        <v>452</v>
      </c>
      <c r="AN203" s="1" t="s">
        <v>21</v>
      </c>
      <c r="AO203" s="1" t="s">
        <v>280</v>
      </c>
      <c r="AP203" s="1" t="s">
        <v>810</v>
      </c>
      <c r="AQ203" s="1" t="s">
        <v>123</v>
      </c>
    </row>
    <row r="204" spans="1:43" x14ac:dyDescent="0.3">
      <c r="A204" s="1">
        <v>24817299</v>
      </c>
      <c r="B204" s="1">
        <v>25657147</v>
      </c>
      <c r="C204" s="1" t="s">
        <v>266</v>
      </c>
      <c r="D204" s="4">
        <v>46198.669178240743</v>
      </c>
      <c r="E204" s="4">
        <v>46206.444861111107</v>
      </c>
      <c r="F204" s="1" t="s">
        <v>22</v>
      </c>
      <c r="G204" s="1" t="s">
        <v>26</v>
      </c>
      <c r="H204" s="1" t="s">
        <v>1013</v>
      </c>
      <c r="I204" s="1" t="s">
        <v>14</v>
      </c>
      <c r="J204" s="1" t="s">
        <v>1014</v>
      </c>
      <c r="K204" s="1" t="s">
        <v>1015</v>
      </c>
      <c r="L204" s="1" t="s">
        <v>1015</v>
      </c>
      <c r="M204" s="4">
        <v>46198.661111111112</v>
      </c>
      <c r="N204" s="1">
        <v>4714955</v>
      </c>
      <c r="O204" s="1" t="s">
        <v>93</v>
      </c>
      <c r="P204" s="1" t="s">
        <v>271</v>
      </c>
      <c r="Q204" s="1" t="s">
        <v>286</v>
      </c>
      <c r="R204" s="1" t="s">
        <v>286</v>
      </c>
      <c r="S204" s="1" t="s">
        <v>7</v>
      </c>
      <c r="T204" s="1" t="s">
        <v>274</v>
      </c>
      <c r="U204" s="1" t="s">
        <v>189</v>
      </c>
      <c r="V204" s="1" t="s">
        <v>1016</v>
      </c>
      <c r="W204" s="1" t="s">
        <v>288</v>
      </c>
      <c r="X204" s="1" t="s">
        <v>298</v>
      </c>
      <c r="Y204" s="1">
        <v>2306576079</v>
      </c>
      <c r="Z204" s="1" t="s">
        <v>109</v>
      </c>
      <c r="AA204" s="1" t="s">
        <v>93</v>
      </c>
      <c r="AB204" s="1">
        <v>2766.4</v>
      </c>
      <c r="AC204" s="1">
        <v>467.77</v>
      </c>
      <c r="AD204" s="1">
        <v>0</v>
      </c>
      <c r="AE204" s="1">
        <v>0</v>
      </c>
      <c r="AF204" s="1">
        <v>0</v>
      </c>
      <c r="AG204" s="1">
        <v>0</v>
      </c>
      <c r="AH204" s="1">
        <v>27.34</v>
      </c>
      <c r="AI204" s="1" t="s">
        <v>1017</v>
      </c>
      <c r="AJ204" s="1" t="s">
        <v>1018</v>
      </c>
      <c r="AK204" s="1" t="s">
        <v>14</v>
      </c>
      <c r="AL204" s="1" t="s">
        <v>88</v>
      </c>
      <c r="AM204" s="1" t="s">
        <v>513</v>
      </c>
      <c r="AN204" s="1" t="s">
        <v>23</v>
      </c>
      <c r="AO204" s="1" t="s">
        <v>732</v>
      </c>
      <c r="AP204" s="1" t="s">
        <v>324</v>
      </c>
      <c r="AQ204" s="1" t="s">
        <v>20</v>
      </c>
    </row>
    <row r="205" spans="1:43" x14ac:dyDescent="0.3">
      <c r="A205" s="1">
        <v>24809713</v>
      </c>
      <c r="B205" s="1">
        <v>25650271</v>
      </c>
      <c r="C205" s="1" t="s">
        <v>266</v>
      </c>
      <c r="D205" s="4">
        <v>46197.517870370371</v>
      </c>
      <c r="E205" s="4">
        <v>46197.519479166673</v>
      </c>
      <c r="F205" s="1" t="s">
        <v>26</v>
      </c>
      <c r="G205" s="1" t="s">
        <v>26</v>
      </c>
      <c r="H205" s="1" t="s">
        <v>1019</v>
      </c>
      <c r="I205" s="1" t="s">
        <v>1020</v>
      </c>
      <c r="J205" s="1" t="s">
        <v>1021</v>
      </c>
      <c r="K205" s="1" t="s">
        <v>1022</v>
      </c>
      <c r="L205" s="1" t="s">
        <v>1022</v>
      </c>
      <c r="M205" s="4">
        <v>46197.509027777778</v>
      </c>
      <c r="N205" s="1" t="s">
        <v>93</v>
      </c>
      <c r="O205" s="1" t="s">
        <v>93</v>
      </c>
      <c r="P205" s="1" t="s">
        <v>342</v>
      </c>
      <c r="Q205" s="1" t="s">
        <v>303</v>
      </c>
      <c r="R205" s="1" t="s">
        <v>272</v>
      </c>
      <c r="S205" s="1" t="s">
        <v>7</v>
      </c>
      <c r="T205" s="1" t="s">
        <v>274</v>
      </c>
      <c r="U205" s="1" t="s">
        <v>155</v>
      </c>
      <c r="V205" s="1" t="s">
        <v>522</v>
      </c>
      <c r="W205" s="1" t="s">
        <v>93</v>
      </c>
      <c r="X205" s="1" t="s">
        <v>298</v>
      </c>
      <c r="Y205" s="1">
        <v>2306503025</v>
      </c>
      <c r="Z205" s="1" t="s">
        <v>43</v>
      </c>
      <c r="AA205" s="1" t="s">
        <v>93</v>
      </c>
      <c r="AB205" s="1">
        <v>2509.59</v>
      </c>
      <c r="AC205" s="1">
        <v>68.790000000000006</v>
      </c>
      <c r="AD205" s="1">
        <v>0</v>
      </c>
      <c r="AE205" s="1">
        <v>0</v>
      </c>
      <c r="AF205" s="1">
        <v>0</v>
      </c>
      <c r="AG205" s="1">
        <v>0</v>
      </c>
      <c r="AH205" s="1">
        <v>252.97</v>
      </c>
      <c r="AI205" s="1" t="s">
        <v>1023</v>
      </c>
      <c r="AJ205" s="1" t="s">
        <v>707</v>
      </c>
      <c r="AK205" s="1" t="s">
        <v>43</v>
      </c>
      <c r="AL205" s="1" t="s">
        <v>69</v>
      </c>
      <c r="AM205" s="1" t="s">
        <v>337</v>
      </c>
      <c r="AN205" s="1" t="s">
        <v>21</v>
      </c>
      <c r="AO205" s="1" t="s">
        <v>280</v>
      </c>
      <c r="AP205" s="1" t="s">
        <v>810</v>
      </c>
      <c r="AQ205" s="1" t="s">
        <v>123</v>
      </c>
    </row>
    <row r="206" spans="1:43" x14ac:dyDescent="0.3">
      <c r="A206" s="1">
        <v>24812213</v>
      </c>
      <c r="B206" s="1">
        <v>25652820</v>
      </c>
      <c r="C206" s="1" t="s">
        <v>266</v>
      </c>
      <c r="D206" s="4">
        <v>46197.810520833344</v>
      </c>
      <c r="E206" s="4">
        <v>46206.712164351848</v>
      </c>
      <c r="F206" s="1" t="s">
        <v>22</v>
      </c>
      <c r="G206" s="1" t="s">
        <v>26</v>
      </c>
      <c r="H206" s="1" t="s">
        <v>1024</v>
      </c>
      <c r="I206" s="1" t="s">
        <v>17</v>
      </c>
      <c r="J206" s="1" t="s">
        <v>1025</v>
      </c>
      <c r="K206" s="1" t="s">
        <v>528</v>
      </c>
      <c r="L206" s="1" t="s">
        <v>314</v>
      </c>
      <c r="M206" s="4">
        <v>46196</v>
      </c>
      <c r="N206" s="1" t="s">
        <v>1024</v>
      </c>
      <c r="O206" s="1" t="s">
        <v>93</v>
      </c>
      <c r="P206" s="1" t="s">
        <v>342</v>
      </c>
      <c r="Q206" s="1" t="s">
        <v>286</v>
      </c>
      <c r="R206" s="1" t="s">
        <v>439</v>
      </c>
      <c r="S206" s="1" t="s">
        <v>7</v>
      </c>
      <c r="T206" s="1" t="s">
        <v>274</v>
      </c>
      <c r="U206" s="1" t="s">
        <v>153</v>
      </c>
      <c r="V206" s="1" t="s">
        <v>1026</v>
      </c>
      <c r="W206" s="1" t="s">
        <v>288</v>
      </c>
      <c r="X206" s="1" t="s">
        <v>298</v>
      </c>
      <c r="Y206" s="1">
        <v>2306471240</v>
      </c>
      <c r="Z206" s="1" t="s">
        <v>64</v>
      </c>
      <c r="AA206" s="1" t="s">
        <v>93</v>
      </c>
      <c r="AB206" s="1">
        <v>1927.31</v>
      </c>
      <c r="AC206" s="1">
        <v>568.6</v>
      </c>
      <c r="AD206" s="1">
        <v>0</v>
      </c>
      <c r="AE206" s="1">
        <v>0</v>
      </c>
      <c r="AF206" s="1">
        <v>0</v>
      </c>
      <c r="AG206" s="1">
        <v>0</v>
      </c>
      <c r="AH206" s="1">
        <v>21.9</v>
      </c>
      <c r="AI206" s="1" t="s">
        <v>290</v>
      </c>
      <c r="AJ206" s="1" t="s">
        <v>1027</v>
      </c>
      <c r="AK206" s="1" t="s">
        <v>17</v>
      </c>
      <c r="AL206" s="1" t="s">
        <v>88</v>
      </c>
      <c r="AM206" s="1" t="s">
        <v>513</v>
      </c>
      <c r="AN206" s="1" t="s">
        <v>23</v>
      </c>
      <c r="AO206" s="1" t="s">
        <v>732</v>
      </c>
      <c r="AP206" s="1" t="s">
        <v>324</v>
      </c>
      <c r="AQ206" s="1" t="s">
        <v>27</v>
      </c>
    </row>
    <row r="207" spans="1:43" x14ac:dyDescent="0.3">
      <c r="A207" s="1">
        <v>24812212</v>
      </c>
      <c r="B207" s="1">
        <v>25652819</v>
      </c>
      <c r="C207" s="1" t="s">
        <v>266</v>
      </c>
      <c r="D207" s="4">
        <v>46197.81046296296</v>
      </c>
      <c r="E207" s="4">
        <v>46206.712141203701</v>
      </c>
      <c r="F207" s="1" t="s">
        <v>22</v>
      </c>
      <c r="G207" s="1" t="s">
        <v>26</v>
      </c>
      <c r="H207" s="1" t="s">
        <v>1028</v>
      </c>
      <c r="I207" s="1" t="s">
        <v>17</v>
      </c>
      <c r="J207" s="1" t="s">
        <v>1029</v>
      </c>
      <c r="K207" s="1" t="s">
        <v>459</v>
      </c>
      <c r="L207" s="1" t="s">
        <v>314</v>
      </c>
      <c r="M207" s="4">
        <v>46196</v>
      </c>
      <c r="N207" s="1" t="s">
        <v>1028</v>
      </c>
      <c r="O207" s="1" t="s">
        <v>93</v>
      </c>
      <c r="P207" s="1" t="s">
        <v>342</v>
      </c>
      <c r="Q207" s="1" t="s">
        <v>286</v>
      </c>
      <c r="R207" s="1" t="s">
        <v>439</v>
      </c>
      <c r="S207" s="1" t="s">
        <v>7</v>
      </c>
      <c r="T207" s="1" t="s">
        <v>274</v>
      </c>
      <c r="U207" s="1" t="s">
        <v>153</v>
      </c>
      <c r="V207" s="1" t="s">
        <v>1026</v>
      </c>
      <c r="W207" s="1" t="s">
        <v>288</v>
      </c>
      <c r="X207" s="1" t="s">
        <v>276</v>
      </c>
      <c r="Y207" s="1">
        <v>2306468800</v>
      </c>
      <c r="Z207" s="1" t="s">
        <v>64</v>
      </c>
      <c r="AA207" s="1" t="s">
        <v>93</v>
      </c>
      <c r="AB207" s="1">
        <v>1372.24</v>
      </c>
      <c r="AC207" s="1">
        <v>113.19</v>
      </c>
      <c r="AD207" s="1">
        <v>0</v>
      </c>
      <c r="AE207" s="1">
        <v>0</v>
      </c>
      <c r="AF207" s="1">
        <v>113.19</v>
      </c>
      <c r="AG207" s="1">
        <v>0</v>
      </c>
      <c r="AH207" s="1">
        <v>21.9</v>
      </c>
      <c r="AI207" s="1" t="s">
        <v>290</v>
      </c>
      <c r="AJ207" s="1" t="s">
        <v>1030</v>
      </c>
      <c r="AK207" s="1" t="s">
        <v>17</v>
      </c>
      <c r="AL207" s="1" t="s">
        <v>88</v>
      </c>
      <c r="AM207" s="1" t="s">
        <v>513</v>
      </c>
      <c r="AN207" s="1" t="s">
        <v>23</v>
      </c>
      <c r="AO207" s="1" t="s">
        <v>280</v>
      </c>
      <c r="AP207" s="1" t="s">
        <v>281</v>
      </c>
      <c r="AQ207" s="1" t="s">
        <v>37</v>
      </c>
    </row>
    <row r="208" spans="1:43" x14ac:dyDescent="0.3">
      <c r="A208" s="1">
        <v>24822731</v>
      </c>
      <c r="B208" s="1">
        <v>25661875</v>
      </c>
      <c r="C208" s="1" t="s">
        <v>266</v>
      </c>
      <c r="D208" s="4">
        <v>46199.630474537043</v>
      </c>
      <c r="E208" s="4">
        <v>46199.636412037027</v>
      </c>
      <c r="F208" s="1" t="s">
        <v>26</v>
      </c>
      <c r="G208" s="1" t="s">
        <v>26</v>
      </c>
      <c r="H208" s="1" t="s">
        <v>1031</v>
      </c>
      <c r="I208" s="1" t="s">
        <v>268</v>
      </c>
      <c r="J208" s="1" t="s">
        <v>1032</v>
      </c>
      <c r="K208" s="1" t="s">
        <v>270</v>
      </c>
      <c r="L208" s="1" t="s">
        <v>270</v>
      </c>
      <c r="M208" s="4">
        <v>46199.384722222218</v>
      </c>
      <c r="N208" s="1">
        <v>133538</v>
      </c>
      <c r="O208" s="1" t="s">
        <v>93</v>
      </c>
      <c r="P208" s="1" t="s">
        <v>271</v>
      </c>
      <c r="Q208" s="1" t="s">
        <v>286</v>
      </c>
      <c r="R208" s="1" t="s">
        <v>439</v>
      </c>
      <c r="S208" s="1" t="s">
        <v>7</v>
      </c>
      <c r="T208" s="1" t="s">
        <v>274</v>
      </c>
      <c r="U208" s="1" t="s">
        <v>181</v>
      </c>
      <c r="V208" s="1" t="s">
        <v>1033</v>
      </c>
      <c r="W208" s="1" t="s">
        <v>93</v>
      </c>
      <c r="X208" s="1" t="s">
        <v>276</v>
      </c>
      <c r="Y208" s="1">
        <v>2293396412</v>
      </c>
      <c r="Z208" s="1" t="s">
        <v>99</v>
      </c>
      <c r="AA208" s="1" t="s">
        <v>93</v>
      </c>
      <c r="AB208" s="1">
        <v>472.15</v>
      </c>
      <c r="AC208" s="1">
        <v>95.01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 t="s">
        <v>1034</v>
      </c>
      <c r="AJ208" s="1" t="s">
        <v>604</v>
      </c>
      <c r="AK208" s="1" t="s">
        <v>13</v>
      </c>
      <c r="AL208" s="1" t="s">
        <v>71</v>
      </c>
      <c r="AM208" s="1" t="s">
        <v>337</v>
      </c>
      <c r="AN208" s="1" t="s">
        <v>21</v>
      </c>
      <c r="AO208" s="1" t="s">
        <v>280</v>
      </c>
      <c r="AP208" s="1" t="s">
        <v>324</v>
      </c>
      <c r="AQ208" s="1" t="s">
        <v>125</v>
      </c>
    </row>
    <row r="209" spans="1:43" x14ac:dyDescent="0.3">
      <c r="A209" s="1">
        <v>24822735</v>
      </c>
      <c r="B209" s="1">
        <v>25661879</v>
      </c>
      <c r="C209" s="1" t="s">
        <v>266</v>
      </c>
      <c r="D209" s="4">
        <v>46199.630509259259</v>
      </c>
      <c r="E209" s="4">
        <v>46199.63658564815</v>
      </c>
      <c r="F209" s="1" t="s">
        <v>26</v>
      </c>
      <c r="G209" s="1" t="s">
        <v>26</v>
      </c>
      <c r="H209" s="1" t="s">
        <v>1035</v>
      </c>
      <c r="I209" s="1" t="s">
        <v>268</v>
      </c>
      <c r="J209" s="1" t="s">
        <v>1032</v>
      </c>
      <c r="K209" s="1" t="s">
        <v>270</v>
      </c>
      <c r="L209" s="1" t="s">
        <v>270</v>
      </c>
      <c r="M209" s="4">
        <v>46199.384722222218</v>
      </c>
      <c r="N209" s="1">
        <v>133538</v>
      </c>
      <c r="O209" s="1" t="s">
        <v>93</v>
      </c>
      <c r="P209" s="1" t="s">
        <v>271</v>
      </c>
      <c r="Q209" s="1" t="s">
        <v>286</v>
      </c>
      <c r="R209" s="1" t="s">
        <v>439</v>
      </c>
      <c r="S209" s="1" t="s">
        <v>7</v>
      </c>
      <c r="T209" s="1" t="s">
        <v>274</v>
      </c>
      <c r="U209" s="1" t="s">
        <v>181</v>
      </c>
      <c r="V209" s="1" t="s">
        <v>1033</v>
      </c>
      <c r="W209" s="1" t="s">
        <v>93</v>
      </c>
      <c r="X209" s="1" t="s">
        <v>276</v>
      </c>
      <c r="Y209" s="1">
        <v>2293396246</v>
      </c>
      <c r="Z209" s="1" t="s">
        <v>99</v>
      </c>
      <c r="AA209" s="1" t="s">
        <v>93</v>
      </c>
      <c r="AB209" s="1">
        <v>472.15</v>
      </c>
      <c r="AC209" s="1">
        <v>95.01</v>
      </c>
      <c r="AD209" s="1">
        <v>0</v>
      </c>
      <c r="AE209" s="1">
        <v>0</v>
      </c>
      <c r="AF209" s="1">
        <v>0</v>
      </c>
      <c r="AG209" s="1">
        <v>0</v>
      </c>
      <c r="AH209" s="1">
        <v>0</v>
      </c>
      <c r="AI209" s="1" t="s">
        <v>1034</v>
      </c>
      <c r="AJ209" s="1" t="s">
        <v>604</v>
      </c>
      <c r="AK209" s="1" t="s">
        <v>13</v>
      </c>
      <c r="AL209" s="1" t="s">
        <v>71</v>
      </c>
      <c r="AM209" s="1" t="s">
        <v>337</v>
      </c>
      <c r="AN209" s="1" t="s">
        <v>21</v>
      </c>
      <c r="AO209" s="1" t="s">
        <v>280</v>
      </c>
      <c r="AP209" s="1" t="s">
        <v>324</v>
      </c>
      <c r="AQ209" s="1" t="s">
        <v>125</v>
      </c>
    </row>
    <row r="210" spans="1:43" x14ac:dyDescent="0.3">
      <c r="A210" s="1">
        <v>24803461</v>
      </c>
      <c r="B210" s="1">
        <v>25644803</v>
      </c>
      <c r="C210" s="1" t="s">
        <v>266</v>
      </c>
      <c r="D210" s="4">
        <v>46196.513460648152</v>
      </c>
      <c r="E210" s="4">
        <v>46206.71565972222</v>
      </c>
      <c r="F210" s="1" t="s">
        <v>22</v>
      </c>
      <c r="G210" s="1" t="s">
        <v>26</v>
      </c>
      <c r="H210" s="1" t="s">
        <v>1036</v>
      </c>
      <c r="I210" s="1" t="s">
        <v>17</v>
      </c>
      <c r="J210" s="1" t="s">
        <v>1037</v>
      </c>
      <c r="K210" s="1" t="s">
        <v>472</v>
      </c>
      <c r="L210" s="1" t="s">
        <v>435</v>
      </c>
      <c r="M210" s="4">
        <v>46192</v>
      </c>
      <c r="N210" s="1" t="s">
        <v>1036</v>
      </c>
      <c r="O210" s="1" t="s">
        <v>93</v>
      </c>
      <c r="P210" s="1" t="s">
        <v>271</v>
      </c>
      <c r="Q210" s="1" t="s">
        <v>286</v>
      </c>
      <c r="R210" s="1" t="s">
        <v>286</v>
      </c>
      <c r="S210" s="1" t="s">
        <v>7</v>
      </c>
      <c r="T210" s="1" t="s">
        <v>274</v>
      </c>
      <c r="U210" s="1" t="s">
        <v>148</v>
      </c>
      <c r="V210" s="1" t="s">
        <v>287</v>
      </c>
      <c r="W210" s="1" t="s">
        <v>288</v>
      </c>
      <c r="X210" s="1" t="s">
        <v>276</v>
      </c>
      <c r="Y210" s="1">
        <v>2615548730</v>
      </c>
      <c r="Z210" s="1" t="s">
        <v>59</v>
      </c>
      <c r="AA210" s="1" t="s">
        <v>93</v>
      </c>
      <c r="AB210" s="1">
        <v>2864.52</v>
      </c>
      <c r="AC210" s="1">
        <v>0</v>
      </c>
      <c r="AD210" s="1">
        <v>129.03</v>
      </c>
      <c r="AE210" s="1">
        <v>0</v>
      </c>
      <c r="AF210" s="1">
        <v>0</v>
      </c>
      <c r="AG210" s="1">
        <v>0</v>
      </c>
      <c r="AH210" s="1">
        <v>0</v>
      </c>
      <c r="AI210" s="1" t="s">
        <v>290</v>
      </c>
      <c r="AJ210" s="1" t="s">
        <v>1038</v>
      </c>
      <c r="AK210" s="1" t="s">
        <v>17</v>
      </c>
      <c r="AL210" s="1" t="s">
        <v>69</v>
      </c>
      <c r="AM210" s="1" t="s">
        <v>337</v>
      </c>
      <c r="AN210" s="1" t="s">
        <v>21</v>
      </c>
      <c r="AO210" s="1" t="s">
        <v>280</v>
      </c>
      <c r="AP210" s="1" t="s">
        <v>324</v>
      </c>
      <c r="AQ210" s="1" t="s">
        <v>27</v>
      </c>
    </row>
    <row r="211" spans="1:43" x14ac:dyDescent="0.3">
      <c r="A211" s="1">
        <v>24803498</v>
      </c>
      <c r="B211" s="1">
        <v>25644853</v>
      </c>
      <c r="C211" s="1" t="s">
        <v>266</v>
      </c>
      <c r="D211" s="4">
        <v>46196.516770833332</v>
      </c>
      <c r="E211" s="4">
        <v>46206.715671296297</v>
      </c>
      <c r="F211" s="1" t="s">
        <v>22</v>
      </c>
      <c r="G211" s="1" t="s">
        <v>26</v>
      </c>
      <c r="H211" s="1" t="s">
        <v>1039</v>
      </c>
      <c r="I211" s="1" t="s">
        <v>17</v>
      </c>
      <c r="J211" s="1" t="s">
        <v>1040</v>
      </c>
      <c r="K211" s="1" t="s">
        <v>372</v>
      </c>
      <c r="L211" s="1" t="s">
        <v>764</v>
      </c>
      <c r="M211" s="4">
        <v>46192.552083333343</v>
      </c>
      <c r="N211" s="1" t="s">
        <v>1039</v>
      </c>
      <c r="O211" s="1" t="s">
        <v>93</v>
      </c>
      <c r="P211" s="1" t="s">
        <v>271</v>
      </c>
      <c r="Q211" s="1" t="s">
        <v>303</v>
      </c>
      <c r="R211" s="1" t="s">
        <v>272</v>
      </c>
      <c r="S211" s="1" t="s">
        <v>7</v>
      </c>
      <c r="T211" s="1" t="s">
        <v>274</v>
      </c>
      <c r="U211" s="1" t="s">
        <v>193</v>
      </c>
      <c r="V211" s="1" t="s">
        <v>1041</v>
      </c>
      <c r="W211" s="1" t="s">
        <v>93</v>
      </c>
      <c r="X211" s="1" t="s">
        <v>276</v>
      </c>
      <c r="Y211" s="1">
        <v>9552456958</v>
      </c>
      <c r="Z211" s="1" t="s">
        <v>56</v>
      </c>
      <c r="AA211" s="1" t="s">
        <v>93</v>
      </c>
      <c r="AB211" s="1">
        <v>760.85429999999997</v>
      </c>
      <c r="AC211" s="1">
        <v>124.76</v>
      </c>
      <c r="AD211" s="1">
        <v>0</v>
      </c>
      <c r="AE211" s="1">
        <v>0</v>
      </c>
      <c r="AF211" s="1">
        <v>124.76</v>
      </c>
      <c r="AG211" s="1">
        <v>0</v>
      </c>
      <c r="AH211" s="1">
        <v>0</v>
      </c>
      <c r="AI211" s="1" t="s">
        <v>290</v>
      </c>
      <c r="AJ211" s="1" t="s">
        <v>1042</v>
      </c>
      <c r="AK211" s="1" t="s">
        <v>17</v>
      </c>
      <c r="AL211" s="1" t="s">
        <v>104</v>
      </c>
      <c r="AM211" s="1" t="s">
        <v>337</v>
      </c>
      <c r="AN211" s="1" t="s">
        <v>21</v>
      </c>
      <c r="AO211" s="1" t="s">
        <v>280</v>
      </c>
      <c r="AP211" s="1" t="s">
        <v>324</v>
      </c>
      <c r="AQ211" s="1" t="s">
        <v>27</v>
      </c>
    </row>
    <row r="212" spans="1:43" x14ac:dyDescent="0.3">
      <c r="A212" s="1">
        <v>24813043</v>
      </c>
      <c r="B212" s="1">
        <v>25653615</v>
      </c>
      <c r="C212" s="1" t="s">
        <v>266</v>
      </c>
      <c r="D212" s="4">
        <v>46197.876504629632</v>
      </c>
      <c r="E212" s="4">
        <v>46198.368726851862</v>
      </c>
      <c r="F212" s="1" t="s">
        <v>26</v>
      </c>
      <c r="G212" s="1" t="s">
        <v>26</v>
      </c>
      <c r="H212" s="1" t="s">
        <v>1043</v>
      </c>
      <c r="I212" s="1" t="s">
        <v>268</v>
      </c>
      <c r="J212" s="1" t="s">
        <v>1044</v>
      </c>
      <c r="K212" s="1" t="s">
        <v>632</v>
      </c>
      <c r="L212" s="1" t="s">
        <v>632</v>
      </c>
      <c r="M212" s="4">
        <v>46197.684027777781</v>
      </c>
      <c r="N212" s="1">
        <v>7038</v>
      </c>
      <c r="O212" s="1" t="s">
        <v>93</v>
      </c>
      <c r="P212" s="1" t="s">
        <v>342</v>
      </c>
      <c r="Q212" s="1" t="s">
        <v>286</v>
      </c>
      <c r="R212" s="1" t="s">
        <v>272</v>
      </c>
      <c r="S212" s="1" t="s">
        <v>7</v>
      </c>
      <c r="T212" s="1" t="s">
        <v>274</v>
      </c>
      <c r="U212" s="1" t="s">
        <v>154</v>
      </c>
      <c r="V212" s="1" t="s">
        <v>297</v>
      </c>
      <c r="W212" s="1" t="s">
        <v>93</v>
      </c>
      <c r="X212" s="1" t="s">
        <v>276</v>
      </c>
      <c r="Y212" s="1">
        <v>2293162056</v>
      </c>
      <c r="Z212" s="1" t="s">
        <v>48</v>
      </c>
      <c r="AA212" s="1" t="s">
        <v>93</v>
      </c>
      <c r="AB212" s="1">
        <v>483.29</v>
      </c>
      <c r="AC212" s="1">
        <v>0</v>
      </c>
      <c r="AD212" s="1">
        <v>0</v>
      </c>
      <c r="AE212" s="1">
        <v>0</v>
      </c>
      <c r="AF212" s="1">
        <v>0</v>
      </c>
      <c r="AG212" s="1">
        <v>0</v>
      </c>
      <c r="AH212" s="1">
        <v>0</v>
      </c>
      <c r="AI212" s="1" t="s">
        <v>1045</v>
      </c>
      <c r="AJ212" s="1" t="s">
        <v>627</v>
      </c>
      <c r="AK212" s="1" t="s">
        <v>13</v>
      </c>
      <c r="AL212" s="1" t="s">
        <v>94</v>
      </c>
      <c r="AM212" s="1" t="s">
        <v>443</v>
      </c>
      <c r="AN212" s="1" t="s">
        <v>32</v>
      </c>
      <c r="AO212" s="1" t="s">
        <v>280</v>
      </c>
      <c r="AP212" s="1" t="s">
        <v>324</v>
      </c>
      <c r="AQ212" s="1" t="s">
        <v>125</v>
      </c>
    </row>
    <row r="213" spans="1:43" x14ac:dyDescent="0.3">
      <c r="A213" s="1">
        <v>24834821</v>
      </c>
      <c r="B213" s="1">
        <v>25671591</v>
      </c>
      <c r="C213" s="1" t="s">
        <v>266</v>
      </c>
      <c r="D213" s="4">
        <v>46202.400868055563</v>
      </c>
      <c r="E213" s="4">
        <v>46206.71570601852</v>
      </c>
      <c r="F213" s="1" t="s">
        <v>22</v>
      </c>
      <c r="G213" s="1" t="s">
        <v>24</v>
      </c>
      <c r="H213" s="1" t="s">
        <v>1046</v>
      </c>
      <c r="I213" s="1" t="s">
        <v>17</v>
      </c>
      <c r="J213" s="1" t="s">
        <v>1047</v>
      </c>
      <c r="K213" s="1" t="s">
        <v>284</v>
      </c>
      <c r="L213" s="1" t="s">
        <v>284</v>
      </c>
      <c r="M213" s="4">
        <v>46199.711111111108</v>
      </c>
      <c r="N213" s="1" t="s">
        <v>1046</v>
      </c>
      <c r="O213" s="1" t="s">
        <v>93</v>
      </c>
      <c r="P213" s="1" t="s">
        <v>271</v>
      </c>
      <c r="Q213" s="1" t="s">
        <v>286</v>
      </c>
      <c r="R213" s="1" t="s">
        <v>286</v>
      </c>
      <c r="S213" s="1" t="s">
        <v>7</v>
      </c>
      <c r="T213" s="1" t="s">
        <v>274</v>
      </c>
      <c r="U213" s="1" t="s">
        <v>148</v>
      </c>
      <c r="V213" s="1" t="s">
        <v>1048</v>
      </c>
      <c r="W213" s="1" t="s">
        <v>288</v>
      </c>
      <c r="X213" s="1" t="s">
        <v>276</v>
      </c>
      <c r="Y213" s="1" t="s">
        <v>93</v>
      </c>
      <c r="Z213" s="1" t="s">
        <v>59</v>
      </c>
      <c r="AA213" s="1" t="s">
        <v>93</v>
      </c>
      <c r="AB213" s="1">
        <v>2779.5</v>
      </c>
      <c r="AC213" s="1">
        <v>121.6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 t="s">
        <v>290</v>
      </c>
      <c r="AJ213" s="1" t="s">
        <v>645</v>
      </c>
      <c r="AK213" s="1" t="s">
        <v>17</v>
      </c>
      <c r="AL213" s="1" t="s">
        <v>86</v>
      </c>
      <c r="AM213" s="1" t="s">
        <v>279</v>
      </c>
      <c r="AN213" s="1" t="s">
        <v>21</v>
      </c>
      <c r="AO213" s="1" t="s">
        <v>280</v>
      </c>
      <c r="AP213" s="1" t="s">
        <v>324</v>
      </c>
      <c r="AQ213" s="1" t="s">
        <v>20</v>
      </c>
    </row>
    <row r="214" spans="1:43" x14ac:dyDescent="0.3">
      <c r="A214" s="1">
        <v>24816602</v>
      </c>
      <c r="B214" s="1">
        <v>25656428</v>
      </c>
      <c r="C214" s="1" t="s">
        <v>266</v>
      </c>
      <c r="D214" s="4">
        <v>46198.621134259258</v>
      </c>
      <c r="E214" s="4">
        <v>46198.626087962963</v>
      </c>
      <c r="F214" s="1" t="s">
        <v>26</v>
      </c>
      <c r="G214" s="1" t="s">
        <v>26</v>
      </c>
      <c r="H214" s="1" t="s">
        <v>1049</v>
      </c>
      <c r="I214" s="1" t="s">
        <v>268</v>
      </c>
      <c r="J214" s="1" t="s">
        <v>1050</v>
      </c>
      <c r="K214" s="1" t="s">
        <v>988</v>
      </c>
      <c r="L214" s="1" t="s">
        <v>988</v>
      </c>
      <c r="M214" s="4">
        <v>46198.441666666673</v>
      </c>
      <c r="N214" s="1">
        <v>68200</v>
      </c>
      <c r="O214" s="1" t="s">
        <v>93</v>
      </c>
      <c r="P214" s="1" t="s">
        <v>342</v>
      </c>
      <c r="Q214" s="1" t="s">
        <v>303</v>
      </c>
      <c r="R214" s="1" t="s">
        <v>272</v>
      </c>
      <c r="S214" s="1" t="s">
        <v>7</v>
      </c>
      <c r="T214" s="1" t="s">
        <v>274</v>
      </c>
      <c r="U214" s="1" t="s">
        <v>146</v>
      </c>
      <c r="V214" s="1" t="s">
        <v>1051</v>
      </c>
      <c r="W214" s="1" t="s">
        <v>93</v>
      </c>
      <c r="X214" s="1" t="s">
        <v>276</v>
      </c>
      <c r="Y214" s="1">
        <v>2293254844</v>
      </c>
      <c r="Z214" s="1" t="s">
        <v>57</v>
      </c>
      <c r="AA214" s="1" t="s">
        <v>93</v>
      </c>
      <c r="AB214" s="1">
        <v>0</v>
      </c>
      <c r="AC214" s="1">
        <v>0</v>
      </c>
      <c r="AD214" s="1">
        <v>0</v>
      </c>
      <c r="AE214" s="1">
        <v>0</v>
      </c>
      <c r="AF214" s="1">
        <v>0</v>
      </c>
      <c r="AG214" s="1">
        <v>0</v>
      </c>
      <c r="AH214" s="1">
        <v>0</v>
      </c>
      <c r="AI214" s="1" t="s">
        <v>1052</v>
      </c>
      <c r="AJ214" s="1" t="s">
        <v>462</v>
      </c>
      <c r="AK214" s="1" t="s">
        <v>13</v>
      </c>
      <c r="AL214" s="1" t="s">
        <v>78</v>
      </c>
      <c r="AM214" s="1" t="s">
        <v>337</v>
      </c>
      <c r="AN214" s="1" t="s">
        <v>21</v>
      </c>
      <c r="AO214" s="1" t="s">
        <v>280</v>
      </c>
      <c r="AP214" s="1" t="s">
        <v>324</v>
      </c>
      <c r="AQ214" s="1" t="s">
        <v>125</v>
      </c>
    </row>
    <row r="215" spans="1:43" x14ac:dyDescent="0.3">
      <c r="A215" s="1">
        <v>24815070</v>
      </c>
      <c r="B215" s="1">
        <v>25654905</v>
      </c>
      <c r="C215" s="1" t="s">
        <v>266</v>
      </c>
      <c r="D215" s="4">
        <v>46198.427083333343</v>
      </c>
      <c r="E215" s="4">
        <v>46206.712187500001</v>
      </c>
      <c r="F215" s="1" t="s">
        <v>22</v>
      </c>
      <c r="G215" s="1" t="s">
        <v>26</v>
      </c>
      <c r="H215" s="1" t="s">
        <v>1053</v>
      </c>
      <c r="I215" s="1" t="s">
        <v>17</v>
      </c>
      <c r="J215" s="1" t="s">
        <v>1054</v>
      </c>
      <c r="K215" s="1" t="s">
        <v>459</v>
      </c>
      <c r="L215" s="1" t="s">
        <v>459</v>
      </c>
      <c r="M215" s="4">
        <v>46195.65902777778</v>
      </c>
      <c r="N215" s="1" t="s">
        <v>1053</v>
      </c>
      <c r="O215" s="1" t="s">
        <v>93</v>
      </c>
      <c r="P215" s="1" t="s">
        <v>271</v>
      </c>
      <c r="Q215" s="1" t="s">
        <v>320</v>
      </c>
      <c r="R215" s="1" t="s">
        <v>320</v>
      </c>
      <c r="S215" s="1" t="s">
        <v>7</v>
      </c>
      <c r="T215" s="1" t="s">
        <v>274</v>
      </c>
      <c r="U215" s="1" t="s">
        <v>218</v>
      </c>
      <c r="V215" s="1" t="s">
        <v>1055</v>
      </c>
      <c r="W215" s="1" t="s">
        <v>93</v>
      </c>
      <c r="X215" s="1" t="s">
        <v>1056</v>
      </c>
      <c r="Y215" s="1" t="s">
        <v>93</v>
      </c>
      <c r="Z215" s="1" t="s">
        <v>135</v>
      </c>
      <c r="AA215" s="1" t="s">
        <v>93</v>
      </c>
      <c r="AB215" s="1">
        <v>15660.65</v>
      </c>
      <c r="AC215" s="1">
        <v>64.56</v>
      </c>
      <c r="AD215" s="1">
        <v>149.94</v>
      </c>
      <c r="AE215" s="1">
        <v>0</v>
      </c>
      <c r="AF215" s="1">
        <v>0</v>
      </c>
      <c r="AG215" s="1">
        <v>0</v>
      </c>
      <c r="AH215" s="1">
        <v>0</v>
      </c>
      <c r="AI215" s="1" t="s">
        <v>290</v>
      </c>
      <c r="AJ215" s="1" t="s">
        <v>645</v>
      </c>
      <c r="AK215" s="1" t="s">
        <v>17</v>
      </c>
      <c r="AL215" s="1" t="s">
        <v>86</v>
      </c>
      <c r="AM215" s="1" t="s">
        <v>279</v>
      </c>
      <c r="AN215" s="1" t="s">
        <v>21</v>
      </c>
      <c r="AO215" s="1" t="s">
        <v>280</v>
      </c>
      <c r="AP215" s="1" t="s">
        <v>281</v>
      </c>
      <c r="AQ215" s="1" t="s">
        <v>37</v>
      </c>
    </row>
    <row r="216" spans="1:43" x14ac:dyDescent="0.3">
      <c r="A216" s="1">
        <v>24817124</v>
      </c>
      <c r="B216" s="1">
        <v>25656951</v>
      </c>
      <c r="C216" s="1" t="s">
        <v>266</v>
      </c>
      <c r="D216" s="4">
        <v>46198.643009259264</v>
      </c>
      <c r="E216" s="4">
        <v>46206.715682870366</v>
      </c>
      <c r="F216" s="1" t="s">
        <v>22</v>
      </c>
      <c r="G216" s="1" t="s">
        <v>26</v>
      </c>
      <c r="H216" s="1" t="s">
        <v>1057</v>
      </c>
      <c r="I216" s="1" t="s">
        <v>17</v>
      </c>
      <c r="J216" s="1" t="s">
        <v>1058</v>
      </c>
      <c r="K216" s="1" t="s">
        <v>472</v>
      </c>
      <c r="L216" s="1" t="s">
        <v>1059</v>
      </c>
      <c r="M216" s="4">
        <v>46163</v>
      </c>
      <c r="N216" s="1" t="s">
        <v>1057</v>
      </c>
      <c r="O216" s="1" t="s">
        <v>93</v>
      </c>
      <c r="P216" s="1" t="s">
        <v>271</v>
      </c>
      <c r="Q216" s="1" t="s">
        <v>286</v>
      </c>
      <c r="R216" s="1" t="s">
        <v>439</v>
      </c>
      <c r="S216" s="1" t="s">
        <v>7</v>
      </c>
      <c r="T216" s="1" t="s">
        <v>274</v>
      </c>
      <c r="U216" s="1" t="s">
        <v>198</v>
      </c>
      <c r="V216" s="1" t="s">
        <v>1060</v>
      </c>
      <c r="W216" s="1" t="s">
        <v>93</v>
      </c>
      <c r="X216" s="1" t="s">
        <v>1061</v>
      </c>
      <c r="Y216" s="1">
        <v>9552287836</v>
      </c>
      <c r="Z216" s="1" t="s">
        <v>119</v>
      </c>
      <c r="AA216" s="1" t="s">
        <v>93</v>
      </c>
      <c r="AB216" s="1">
        <v>2681.59</v>
      </c>
      <c r="AC216" s="1">
        <v>0</v>
      </c>
      <c r="AD216" s="1">
        <v>268.26</v>
      </c>
      <c r="AE216" s="1">
        <v>0</v>
      </c>
      <c r="AF216" s="1">
        <v>0</v>
      </c>
      <c r="AG216" s="1">
        <v>0</v>
      </c>
      <c r="AH216" s="1">
        <v>0</v>
      </c>
      <c r="AI216" s="1" t="s">
        <v>290</v>
      </c>
      <c r="AJ216" s="1" t="s">
        <v>1062</v>
      </c>
      <c r="AK216" s="1" t="s">
        <v>17</v>
      </c>
      <c r="AL216" s="1" t="s">
        <v>71</v>
      </c>
      <c r="AM216" s="1" t="s">
        <v>337</v>
      </c>
      <c r="AN216" s="1" t="s">
        <v>21</v>
      </c>
      <c r="AO216" s="1" t="s">
        <v>280</v>
      </c>
      <c r="AP216" s="1" t="s">
        <v>324</v>
      </c>
      <c r="AQ216" s="1" t="s">
        <v>27</v>
      </c>
    </row>
    <row r="217" spans="1:43" x14ac:dyDescent="0.3">
      <c r="A217" s="1">
        <v>24818422</v>
      </c>
      <c r="B217" s="1">
        <v>25658297</v>
      </c>
      <c r="C217" s="1" t="s">
        <v>266</v>
      </c>
      <c r="D217" s="4">
        <v>46198.852916666663</v>
      </c>
      <c r="E217" s="4">
        <v>46206.717083333337</v>
      </c>
      <c r="F217" s="1" t="s">
        <v>22</v>
      </c>
      <c r="G217" s="1" t="s">
        <v>26</v>
      </c>
      <c r="H217" s="1" t="s">
        <v>1063</v>
      </c>
      <c r="I217" s="1" t="s">
        <v>17</v>
      </c>
      <c r="J217" s="1" t="s">
        <v>1064</v>
      </c>
      <c r="K217" s="1" t="s">
        <v>1059</v>
      </c>
      <c r="L217" s="1" t="s">
        <v>1059</v>
      </c>
      <c r="M217" s="4">
        <v>46197.589583333327</v>
      </c>
      <c r="N217" s="1" t="s">
        <v>1065</v>
      </c>
      <c r="O217" s="1" t="s">
        <v>93</v>
      </c>
      <c r="P217" s="1" t="s">
        <v>271</v>
      </c>
      <c r="Q217" s="1" t="s">
        <v>286</v>
      </c>
      <c r="R217" s="1" t="s">
        <v>286</v>
      </c>
      <c r="S217" s="1" t="s">
        <v>9</v>
      </c>
      <c r="T217" s="1" t="s">
        <v>365</v>
      </c>
      <c r="U217" s="1" t="s">
        <v>216</v>
      </c>
      <c r="V217" s="1" t="s">
        <v>1066</v>
      </c>
      <c r="W217" s="1" t="s">
        <v>93</v>
      </c>
      <c r="X217" s="1" t="s">
        <v>1067</v>
      </c>
      <c r="Y217" s="1" t="s">
        <v>93</v>
      </c>
      <c r="Z217" s="1" t="s">
        <v>128</v>
      </c>
      <c r="AA217" s="1" t="s">
        <v>93</v>
      </c>
      <c r="AB217" s="1">
        <v>2348</v>
      </c>
      <c r="AC217" s="1">
        <v>116.15</v>
      </c>
      <c r="AD217" s="1">
        <v>0</v>
      </c>
      <c r="AE217" s="1">
        <v>0</v>
      </c>
      <c r="AF217" s="1">
        <v>0</v>
      </c>
      <c r="AG217" s="1">
        <v>0</v>
      </c>
      <c r="AH217" s="1">
        <v>0</v>
      </c>
      <c r="AI217" s="1" t="s">
        <v>290</v>
      </c>
      <c r="AJ217" s="1" t="s">
        <v>707</v>
      </c>
      <c r="AK217" s="1" t="s">
        <v>17</v>
      </c>
      <c r="AL217" s="1" t="s">
        <v>69</v>
      </c>
      <c r="AM217" s="1" t="s">
        <v>337</v>
      </c>
      <c r="AN217" s="1" t="s">
        <v>21</v>
      </c>
      <c r="AO217" s="1" t="s">
        <v>280</v>
      </c>
      <c r="AP217" s="1" t="s">
        <v>324</v>
      </c>
      <c r="AQ217" s="1" t="s">
        <v>27</v>
      </c>
    </row>
    <row r="218" spans="1:43" x14ac:dyDescent="0.3">
      <c r="A218" s="1">
        <v>24821481</v>
      </c>
      <c r="B218" s="1">
        <v>25660647</v>
      </c>
      <c r="C218" s="1" t="s">
        <v>266</v>
      </c>
      <c r="D218" s="4">
        <v>46199.446817129632</v>
      </c>
      <c r="E218" s="4">
        <v>46200.151678240742</v>
      </c>
      <c r="F218" s="1" t="s">
        <v>26</v>
      </c>
      <c r="G218" s="1" t="s">
        <v>26</v>
      </c>
      <c r="H218" s="1">
        <v>23485224</v>
      </c>
      <c r="I218" s="1" t="s">
        <v>14</v>
      </c>
      <c r="J218" s="1" t="s">
        <v>1068</v>
      </c>
      <c r="K218" s="1" t="s">
        <v>547</v>
      </c>
      <c r="L218" s="1" t="s">
        <v>547</v>
      </c>
      <c r="M218" s="4">
        <v>46199.419444444437</v>
      </c>
      <c r="N218" s="1">
        <v>4715437</v>
      </c>
      <c r="O218" s="1" t="s">
        <v>93</v>
      </c>
      <c r="P218" s="1" t="s">
        <v>271</v>
      </c>
      <c r="Q218" s="1" t="s">
        <v>286</v>
      </c>
      <c r="R218" s="1" t="s">
        <v>286</v>
      </c>
      <c r="S218" s="1" t="s">
        <v>9</v>
      </c>
      <c r="T218" s="1" t="s">
        <v>274</v>
      </c>
      <c r="U218" s="1" t="s">
        <v>142</v>
      </c>
      <c r="V218" s="1" t="s">
        <v>1069</v>
      </c>
      <c r="W218" s="1" t="s">
        <v>93</v>
      </c>
      <c r="X218" s="1" t="s">
        <v>1070</v>
      </c>
      <c r="Y218" s="1" t="s">
        <v>93</v>
      </c>
      <c r="Z218" s="1" t="s">
        <v>50</v>
      </c>
      <c r="AA218" s="1" t="s">
        <v>93</v>
      </c>
      <c r="AB218" s="1">
        <v>409</v>
      </c>
      <c r="AC218" s="1">
        <v>20.45</v>
      </c>
      <c r="AD218" s="1">
        <v>0</v>
      </c>
      <c r="AE218" s="1">
        <v>0</v>
      </c>
      <c r="AF218" s="1">
        <v>0</v>
      </c>
      <c r="AG218" s="1">
        <v>0</v>
      </c>
      <c r="AH218" s="1">
        <v>0</v>
      </c>
      <c r="AI218" s="1" t="s">
        <v>1071</v>
      </c>
      <c r="AJ218" s="1" t="s">
        <v>604</v>
      </c>
      <c r="AK218" s="1" t="s">
        <v>14</v>
      </c>
      <c r="AL218" s="1" t="s">
        <v>71</v>
      </c>
      <c r="AM218" s="1" t="s">
        <v>337</v>
      </c>
      <c r="AN218" s="1" t="s">
        <v>21</v>
      </c>
      <c r="AO218" s="1" t="s">
        <v>280</v>
      </c>
      <c r="AP218" s="1" t="s">
        <v>324</v>
      </c>
      <c r="AQ218" s="1" t="s">
        <v>20</v>
      </c>
    </row>
    <row r="219" spans="1:43" x14ac:dyDescent="0.3">
      <c r="A219" s="1">
        <v>24803599</v>
      </c>
      <c r="B219" s="1">
        <v>25644964</v>
      </c>
      <c r="C219" s="1" t="s">
        <v>266</v>
      </c>
      <c r="D219" s="4">
        <v>46196.525196759263</v>
      </c>
      <c r="E219" s="4">
        <v>46206.713090277779</v>
      </c>
      <c r="F219" s="1" t="s">
        <v>22</v>
      </c>
      <c r="G219" s="1" t="s">
        <v>26</v>
      </c>
      <c r="H219" s="1" t="s">
        <v>1072</v>
      </c>
      <c r="I219" s="1" t="s">
        <v>17</v>
      </c>
      <c r="J219" s="1" t="s">
        <v>1073</v>
      </c>
      <c r="K219" s="1" t="s">
        <v>1059</v>
      </c>
      <c r="L219" s="1" t="s">
        <v>1059</v>
      </c>
      <c r="M219" s="4">
        <v>46195.663194444453</v>
      </c>
      <c r="N219" s="1" t="s">
        <v>1074</v>
      </c>
      <c r="O219" s="1" t="s">
        <v>93</v>
      </c>
      <c r="P219" s="1" t="s">
        <v>271</v>
      </c>
      <c r="Q219" s="1" t="s">
        <v>286</v>
      </c>
      <c r="R219" s="1" t="s">
        <v>286</v>
      </c>
      <c r="S219" s="1" t="s">
        <v>9</v>
      </c>
      <c r="T219" s="1" t="s">
        <v>274</v>
      </c>
      <c r="U219" s="1" t="s">
        <v>216</v>
      </c>
      <c r="V219" s="1" t="s">
        <v>1066</v>
      </c>
      <c r="W219" s="1" t="s">
        <v>93</v>
      </c>
      <c r="X219" s="1" t="s">
        <v>1075</v>
      </c>
      <c r="Y219" s="1" t="s">
        <v>93</v>
      </c>
      <c r="Z219" s="1" t="s">
        <v>128</v>
      </c>
      <c r="AA219" s="1" t="s">
        <v>93</v>
      </c>
      <c r="AB219" s="1">
        <v>6705</v>
      </c>
      <c r="AC219" s="1">
        <v>296.75</v>
      </c>
      <c r="AD219" s="1">
        <v>0</v>
      </c>
      <c r="AE219" s="1">
        <v>0</v>
      </c>
      <c r="AF219" s="1">
        <v>0</v>
      </c>
      <c r="AG219" s="1">
        <v>0</v>
      </c>
      <c r="AH219" s="1">
        <v>0</v>
      </c>
      <c r="AI219" s="1" t="s">
        <v>290</v>
      </c>
      <c r="AJ219" s="1" t="s">
        <v>707</v>
      </c>
      <c r="AK219" s="1" t="s">
        <v>17</v>
      </c>
      <c r="AL219" s="1" t="s">
        <v>69</v>
      </c>
      <c r="AM219" s="1" t="s">
        <v>337</v>
      </c>
      <c r="AN219" s="1" t="s">
        <v>21</v>
      </c>
      <c r="AO219" s="1" t="s">
        <v>280</v>
      </c>
      <c r="AP219" s="1" t="s">
        <v>324</v>
      </c>
      <c r="AQ219" s="1" t="s">
        <v>27</v>
      </c>
    </row>
    <row r="220" spans="1:43" x14ac:dyDescent="0.3">
      <c r="A220" s="1">
        <v>24816551</v>
      </c>
      <c r="B220" s="1">
        <v>25656375</v>
      </c>
      <c r="C220" s="1" t="s">
        <v>266</v>
      </c>
      <c r="D220" s="4">
        <v>46198.619479166657</v>
      </c>
      <c r="E220" s="4">
        <v>46202.409930555557</v>
      </c>
      <c r="F220" s="1" t="s">
        <v>24</v>
      </c>
      <c r="G220" s="1" t="s">
        <v>26</v>
      </c>
      <c r="H220" s="1" t="s">
        <v>1076</v>
      </c>
      <c r="I220" s="1" t="s">
        <v>268</v>
      </c>
      <c r="J220" s="1" t="s">
        <v>1077</v>
      </c>
      <c r="K220" s="1" t="s">
        <v>1078</v>
      </c>
      <c r="L220" s="1" t="s">
        <v>1078</v>
      </c>
      <c r="M220" s="4">
        <v>46198.511805555558</v>
      </c>
      <c r="N220" s="1">
        <v>7948</v>
      </c>
      <c r="O220" s="1" t="s">
        <v>93</v>
      </c>
      <c r="P220" s="1" t="s">
        <v>342</v>
      </c>
      <c r="Q220" s="1" t="s">
        <v>303</v>
      </c>
      <c r="R220" s="1" t="s">
        <v>286</v>
      </c>
      <c r="S220" s="1" t="s">
        <v>9</v>
      </c>
      <c r="T220" s="1" t="s">
        <v>274</v>
      </c>
      <c r="U220" s="1" t="s">
        <v>222</v>
      </c>
      <c r="V220" s="1" t="s">
        <v>1079</v>
      </c>
      <c r="W220" s="1" t="s">
        <v>93</v>
      </c>
      <c r="X220" s="1" t="s">
        <v>1080</v>
      </c>
      <c r="Y220" s="1" t="s">
        <v>93</v>
      </c>
      <c r="Z220" s="1" t="s">
        <v>48</v>
      </c>
      <c r="AA220" s="1" t="s">
        <v>93</v>
      </c>
      <c r="AB220" s="1">
        <v>394</v>
      </c>
      <c r="AC220" s="1">
        <v>0</v>
      </c>
      <c r="AD220" s="1">
        <v>0</v>
      </c>
      <c r="AE220" s="1">
        <v>0</v>
      </c>
      <c r="AF220" s="1">
        <v>0</v>
      </c>
      <c r="AG220" s="1">
        <v>0</v>
      </c>
      <c r="AH220" s="1">
        <v>0</v>
      </c>
      <c r="AI220" s="1" t="s">
        <v>1081</v>
      </c>
      <c r="AJ220" s="1" t="s">
        <v>641</v>
      </c>
      <c r="AK220" s="1" t="s">
        <v>13</v>
      </c>
      <c r="AL220" s="1" t="s">
        <v>67</v>
      </c>
      <c r="AM220" s="1" t="s">
        <v>323</v>
      </c>
      <c r="AN220" s="1" t="s">
        <v>21</v>
      </c>
      <c r="AO220" s="1" t="s">
        <v>280</v>
      </c>
      <c r="AP220" s="1" t="s">
        <v>324</v>
      </c>
      <c r="AQ220" s="1" t="s">
        <v>125</v>
      </c>
    </row>
    <row r="221" spans="1:43" x14ac:dyDescent="0.3">
      <c r="A221" s="1">
        <v>24804504</v>
      </c>
      <c r="B221" s="1">
        <v>25645847</v>
      </c>
      <c r="C221" s="1" t="s">
        <v>266</v>
      </c>
      <c r="D221" s="4">
        <v>46196.594351851847</v>
      </c>
      <c r="E221" s="4">
        <v>46196.600416666668</v>
      </c>
      <c r="F221" s="1" t="s">
        <v>26</v>
      </c>
      <c r="G221" s="1" t="s">
        <v>26</v>
      </c>
      <c r="H221" s="1">
        <v>23443978</v>
      </c>
      <c r="I221" s="1" t="s">
        <v>18</v>
      </c>
      <c r="J221" s="1" t="s">
        <v>1082</v>
      </c>
      <c r="K221" s="1" t="s">
        <v>1083</v>
      </c>
      <c r="L221" s="1" t="s">
        <v>1083</v>
      </c>
      <c r="M221" s="4">
        <v>46196.585416666669</v>
      </c>
      <c r="N221" s="1" t="s">
        <v>93</v>
      </c>
      <c r="O221" s="1" t="s">
        <v>93</v>
      </c>
      <c r="P221" s="1" t="s">
        <v>342</v>
      </c>
      <c r="Q221" s="1" t="s">
        <v>303</v>
      </c>
      <c r="R221" s="1" t="s">
        <v>272</v>
      </c>
      <c r="S221" s="1" t="s">
        <v>9</v>
      </c>
      <c r="T221" s="1" t="s">
        <v>274</v>
      </c>
      <c r="U221" s="1" t="s">
        <v>228</v>
      </c>
      <c r="V221" s="1" t="s">
        <v>1084</v>
      </c>
      <c r="W221" s="1" t="s">
        <v>93</v>
      </c>
      <c r="X221" s="1" t="s">
        <v>1085</v>
      </c>
      <c r="Y221" s="1" t="s">
        <v>93</v>
      </c>
      <c r="Z221" s="1" t="s">
        <v>136</v>
      </c>
      <c r="AA221" s="1" t="s">
        <v>93</v>
      </c>
      <c r="AB221" s="1">
        <v>529</v>
      </c>
      <c r="AC221" s="1">
        <v>0</v>
      </c>
      <c r="AD221" s="1">
        <v>0</v>
      </c>
      <c r="AE221" s="1">
        <v>0</v>
      </c>
      <c r="AF221" s="1">
        <v>0</v>
      </c>
      <c r="AG221" s="1">
        <v>0</v>
      </c>
      <c r="AH221" s="1">
        <v>0</v>
      </c>
      <c r="AI221" s="1" t="s">
        <v>1086</v>
      </c>
      <c r="AJ221" s="1" t="s">
        <v>1087</v>
      </c>
      <c r="AK221" s="1" t="s">
        <v>18</v>
      </c>
      <c r="AL221" s="1" t="s">
        <v>71</v>
      </c>
      <c r="AM221" s="1" t="s">
        <v>337</v>
      </c>
      <c r="AN221" s="1" t="s">
        <v>21</v>
      </c>
      <c r="AO221" s="1" t="s">
        <v>280</v>
      </c>
      <c r="AP221" s="1" t="s">
        <v>324</v>
      </c>
      <c r="AQ221" s="1" t="s">
        <v>125</v>
      </c>
    </row>
    <row r="222" spans="1:43" x14ac:dyDescent="0.3">
      <c r="A222" s="1">
        <v>24823747</v>
      </c>
      <c r="B222" s="1">
        <v>25662954</v>
      </c>
      <c r="C222" s="1" t="s">
        <v>266</v>
      </c>
      <c r="D222" s="4">
        <v>46199.703645833331</v>
      </c>
      <c r="E222" s="4">
        <v>46203.365081018521</v>
      </c>
      <c r="F222" s="1" t="s">
        <v>24</v>
      </c>
      <c r="G222" s="1" t="s">
        <v>26</v>
      </c>
      <c r="H222" s="1" t="s">
        <v>1088</v>
      </c>
      <c r="I222" s="1" t="s">
        <v>14</v>
      </c>
      <c r="J222" s="1" t="s">
        <v>1089</v>
      </c>
      <c r="K222" s="1" t="s">
        <v>1015</v>
      </c>
      <c r="L222" s="1" t="s">
        <v>1015</v>
      </c>
      <c r="M222" s="4">
        <v>46199.697916666657</v>
      </c>
      <c r="N222" s="1">
        <v>4715200</v>
      </c>
      <c r="O222" s="1" t="s">
        <v>93</v>
      </c>
      <c r="P222" s="1" t="s">
        <v>342</v>
      </c>
      <c r="Q222" s="1" t="s">
        <v>286</v>
      </c>
      <c r="R222" s="1" t="s">
        <v>286</v>
      </c>
      <c r="S222" s="1" t="s">
        <v>9</v>
      </c>
      <c r="T222" s="1" t="s">
        <v>274</v>
      </c>
      <c r="U222" s="1" t="s">
        <v>189</v>
      </c>
      <c r="V222" s="1" t="s">
        <v>1016</v>
      </c>
      <c r="W222" s="1" t="s">
        <v>288</v>
      </c>
      <c r="X222" s="1" t="s">
        <v>1090</v>
      </c>
      <c r="Y222" s="1" t="s">
        <v>93</v>
      </c>
      <c r="Z222" s="1" t="s">
        <v>109</v>
      </c>
      <c r="AA222" s="1" t="s">
        <v>93</v>
      </c>
      <c r="AB222" s="1">
        <v>424</v>
      </c>
      <c r="AC222" s="1">
        <v>0</v>
      </c>
      <c r="AD222" s="1">
        <v>0</v>
      </c>
      <c r="AE222" s="1">
        <v>0</v>
      </c>
      <c r="AF222" s="1">
        <v>0</v>
      </c>
      <c r="AG222" s="1">
        <v>0</v>
      </c>
      <c r="AH222" s="1">
        <v>34.79</v>
      </c>
      <c r="AI222" s="1" t="s">
        <v>1091</v>
      </c>
      <c r="AJ222" s="1" t="s">
        <v>1092</v>
      </c>
      <c r="AK222" s="1" t="s">
        <v>14</v>
      </c>
      <c r="AL222" s="1" t="s">
        <v>88</v>
      </c>
      <c r="AM222" s="1" t="s">
        <v>513</v>
      </c>
      <c r="AN222" s="1" t="s">
        <v>23</v>
      </c>
      <c r="AO222" s="1" t="s">
        <v>732</v>
      </c>
      <c r="AP222" s="1" t="s">
        <v>324</v>
      </c>
      <c r="AQ222" s="1" t="s">
        <v>27</v>
      </c>
    </row>
    <row r="223" spans="1:43" x14ac:dyDescent="0.3">
      <c r="A223" s="1">
        <v>24813097</v>
      </c>
      <c r="B223" s="1">
        <v>25653676</v>
      </c>
      <c r="C223" s="1" t="s">
        <v>266</v>
      </c>
      <c r="D223" s="4">
        <v>46197.878923611112</v>
      </c>
      <c r="E223" s="4">
        <v>46206.717083333337</v>
      </c>
      <c r="F223" s="1" t="s">
        <v>22</v>
      </c>
      <c r="G223" s="1" t="s">
        <v>26</v>
      </c>
      <c r="H223" s="1" t="s">
        <v>1093</v>
      </c>
      <c r="I223" s="1" t="s">
        <v>17</v>
      </c>
      <c r="J223" s="1" t="s">
        <v>1094</v>
      </c>
      <c r="K223" s="1" t="s">
        <v>505</v>
      </c>
      <c r="L223" s="1" t="s">
        <v>505</v>
      </c>
      <c r="M223" s="4">
        <v>46196.690972222219</v>
      </c>
      <c r="N223" s="1" t="s">
        <v>1095</v>
      </c>
      <c r="O223" s="1" t="s">
        <v>93</v>
      </c>
      <c r="P223" s="1" t="s">
        <v>271</v>
      </c>
      <c r="Q223" s="1" t="s">
        <v>303</v>
      </c>
      <c r="R223" s="1" t="s">
        <v>272</v>
      </c>
      <c r="S223" s="1" t="s">
        <v>9</v>
      </c>
      <c r="T223" s="1" t="s">
        <v>274</v>
      </c>
      <c r="U223" s="1" t="s">
        <v>212</v>
      </c>
      <c r="V223" s="1" t="s">
        <v>1096</v>
      </c>
      <c r="W223" s="1" t="s">
        <v>93</v>
      </c>
      <c r="X223" s="1" t="s">
        <v>1097</v>
      </c>
      <c r="Y223" s="1" t="s">
        <v>93</v>
      </c>
      <c r="Z223" s="1" t="s">
        <v>116</v>
      </c>
      <c r="AA223" s="1" t="s">
        <v>93</v>
      </c>
      <c r="AB223" s="1">
        <v>958.65</v>
      </c>
      <c r="AC223" s="1">
        <v>0</v>
      </c>
      <c r="AD223" s="1">
        <v>0</v>
      </c>
      <c r="AE223" s="1">
        <v>0</v>
      </c>
      <c r="AF223" s="1">
        <v>0</v>
      </c>
      <c r="AG223" s="1">
        <v>0</v>
      </c>
      <c r="AH223" s="1">
        <v>0</v>
      </c>
      <c r="AI223" s="1" t="s">
        <v>290</v>
      </c>
      <c r="AJ223" s="1" t="s">
        <v>1098</v>
      </c>
      <c r="AK223" s="1" t="s">
        <v>17</v>
      </c>
      <c r="AL223" s="1" t="s">
        <v>71</v>
      </c>
      <c r="AM223" s="1" t="s">
        <v>337</v>
      </c>
      <c r="AN223" s="1" t="s">
        <v>21</v>
      </c>
      <c r="AO223" s="1" t="s">
        <v>280</v>
      </c>
      <c r="AP223" s="1" t="s">
        <v>324</v>
      </c>
      <c r="AQ223" s="1" t="s">
        <v>27</v>
      </c>
    </row>
    <row r="224" spans="1:43" x14ac:dyDescent="0.3">
      <c r="A224" s="1">
        <v>24815561</v>
      </c>
      <c r="B224" s="1">
        <v>25655412</v>
      </c>
      <c r="C224" s="1" t="s">
        <v>266</v>
      </c>
      <c r="D224" s="4">
        <v>46198.500150462962</v>
      </c>
      <c r="E224" s="4">
        <v>46198.507141203707</v>
      </c>
      <c r="F224" s="1" t="s">
        <v>26</v>
      </c>
      <c r="G224" s="1" t="s">
        <v>26</v>
      </c>
      <c r="H224" s="1" t="s">
        <v>965</v>
      </c>
      <c r="I224" s="1" t="s">
        <v>17</v>
      </c>
      <c r="J224" s="1" t="s">
        <v>966</v>
      </c>
      <c r="K224" s="1" t="s">
        <v>579</v>
      </c>
      <c r="L224" s="1" t="s">
        <v>579</v>
      </c>
      <c r="M224" s="4">
        <v>46198.387499999997</v>
      </c>
      <c r="N224" s="1" t="s">
        <v>967</v>
      </c>
      <c r="O224" s="1" t="s">
        <v>93</v>
      </c>
      <c r="P224" s="1" t="s">
        <v>342</v>
      </c>
      <c r="Q224" s="1" t="s">
        <v>303</v>
      </c>
      <c r="R224" s="1" t="s">
        <v>272</v>
      </c>
      <c r="S224" s="1" t="s">
        <v>9</v>
      </c>
      <c r="T224" s="1" t="s">
        <v>274</v>
      </c>
      <c r="U224" s="1" t="s">
        <v>141</v>
      </c>
      <c r="V224" s="1" t="s">
        <v>581</v>
      </c>
      <c r="W224" s="1" t="s">
        <v>93</v>
      </c>
      <c r="X224" s="1" t="s">
        <v>1099</v>
      </c>
      <c r="Y224" s="1" t="s">
        <v>93</v>
      </c>
      <c r="Z224" s="1" t="s">
        <v>47</v>
      </c>
      <c r="AA224" s="1" t="s">
        <v>93</v>
      </c>
      <c r="AB224" s="1">
        <v>304.5</v>
      </c>
      <c r="AC224" s="1">
        <v>0</v>
      </c>
      <c r="AD224" s="1">
        <v>0</v>
      </c>
      <c r="AE224" s="1">
        <v>0</v>
      </c>
      <c r="AF224" s="1">
        <v>0</v>
      </c>
      <c r="AG224" s="1">
        <v>0</v>
      </c>
      <c r="AH224" s="1">
        <v>0</v>
      </c>
      <c r="AI224" s="1" t="s">
        <v>290</v>
      </c>
      <c r="AJ224" s="1" t="s">
        <v>291</v>
      </c>
      <c r="AK224" s="1" t="s">
        <v>17</v>
      </c>
      <c r="AL224" s="1" t="s">
        <v>65</v>
      </c>
      <c r="AM224" s="1" t="s">
        <v>292</v>
      </c>
      <c r="AN224" s="1" t="s">
        <v>21</v>
      </c>
      <c r="AO224" s="1" t="s">
        <v>280</v>
      </c>
      <c r="AP224" s="1" t="s">
        <v>324</v>
      </c>
      <c r="AQ224" s="1" t="s">
        <v>20</v>
      </c>
    </row>
    <row r="225" spans="1:43" x14ac:dyDescent="0.3">
      <c r="A225" s="1">
        <v>24818044</v>
      </c>
      <c r="B225" s="1">
        <v>25657973</v>
      </c>
      <c r="C225" s="1" t="s">
        <v>266</v>
      </c>
      <c r="D225" s="4">
        <v>46198.78528935185</v>
      </c>
      <c r="E225" s="4">
        <v>46204.263506944437</v>
      </c>
      <c r="F225" s="1" t="s">
        <v>22</v>
      </c>
      <c r="G225" s="1" t="s">
        <v>26</v>
      </c>
      <c r="H225" s="1" t="s">
        <v>968</v>
      </c>
      <c r="I225" s="1" t="s">
        <v>17</v>
      </c>
      <c r="J225" s="1" t="s">
        <v>969</v>
      </c>
      <c r="K225" s="1" t="s">
        <v>963</v>
      </c>
      <c r="L225" s="1" t="s">
        <v>963</v>
      </c>
      <c r="M225" s="4">
        <v>46198.65347222222</v>
      </c>
      <c r="N225" s="1" t="s">
        <v>970</v>
      </c>
      <c r="O225" s="1" t="s">
        <v>93</v>
      </c>
      <c r="P225" s="1" t="s">
        <v>342</v>
      </c>
      <c r="Q225" s="1" t="s">
        <v>286</v>
      </c>
      <c r="R225" s="1" t="s">
        <v>286</v>
      </c>
      <c r="S225" s="1" t="s">
        <v>9</v>
      </c>
      <c r="T225" s="1" t="s">
        <v>274</v>
      </c>
      <c r="U225" s="1" t="s">
        <v>141</v>
      </c>
      <c r="V225" s="1" t="s">
        <v>581</v>
      </c>
      <c r="W225" s="1" t="s">
        <v>93</v>
      </c>
      <c r="X225" s="1" t="s">
        <v>1100</v>
      </c>
      <c r="Y225" s="1" t="s">
        <v>93</v>
      </c>
      <c r="Z225" s="1" t="s">
        <v>47</v>
      </c>
      <c r="AA225" s="1" t="s">
        <v>93</v>
      </c>
      <c r="AB225" s="1">
        <v>660</v>
      </c>
      <c r="AC225" s="1">
        <v>0</v>
      </c>
      <c r="AD225" s="1">
        <v>0</v>
      </c>
      <c r="AE225" s="1">
        <v>0</v>
      </c>
      <c r="AF225" s="1">
        <v>0</v>
      </c>
      <c r="AG225" s="1">
        <v>0</v>
      </c>
      <c r="AH225" s="1">
        <v>0</v>
      </c>
      <c r="AI225" s="1" t="s">
        <v>290</v>
      </c>
      <c r="AJ225" s="1" t="s">
        <v>291</v>
      </c>
      <c r="AK225" s="1" t="s">
        <v>17</v>
      </c>
      <c r="AL225" s="1" t="s">
        <v>65</v>
      </c>
      <c r="AM225" s="1" t="s">
        <v>292</v>
      </c>
      <c r="AN225" s="1" t="s">
        <v>21</v>
      </c>
      <c r="AO225" s="1" t="s">
        <v>280</v>
      </c>
      <c r="AP225" s="1" t="s">
        <v>324</v>
      </c>
      <c r="AQ225" s="1" t="s">
        <v>20</v>
      </c>
    </row>
    <row r="226" spans="1:43" x14ac:dyDescent="0.3">
      <c r="A226" s="1">
        <v>24828871</v>
      </c>
      <c r="B226" s="1">
        <v>25667418</v>
      </c>
      <c r="C226" s="1" t="s">
        <v>266</v>
      </c>
      <c r="D226" s="4">
        <v>46200.701423611114</v>
      </c>
      <c r="E226" s="4">
        <v>46200.725914351853</v>
      </c>
      <c r="F226" s="1" t="s">
        <v>26</v>
      </c>
      <c r="G226" s="1" t="s">
        <v>26</v>
      </c>
      <c r="H226" s="1" t="s">
        <v>1101</v>
      </c>
      <c r="I226" s="1" t="s">
        <v>16</v>
      </c>
      <c r="J226" s="1" t="s">
        <v>1102</v>
      </c>
      <c r="K226" s="1" t="s">
        <v>619</v>
      </c>
      <c r="L226" s="1" t="s">
        <v>619</v>
      </c>
      <c r="M226" s="4">
        <v>46193.701388888891</v>
      </c>
      <c r="N226" s="1" t="s">
        <v>755</v>
      </c>
      <c r="O226" s="1" t="s">
        <v>1103</v>
      </c>
      <c r="P226" s="1" t="s">
        <v>342</v>
      </c>
      <c r="Q226" s="1" t="s">
        <v>303</v>
      </c>
      <c r="R226" s="1" t="s">
        <v>388</v>
      </c>
      <c r="S226" s="1" t="s">
        <v>8</v>
      </c>
      <c r="T226" s="1" t="s">
        <v>274</v>
      </c>
      <c r="U226" s="1" t="s">
        <v>184</v>
      </c>
      <c r="V226" s="1" t="s">
        <v>1104</v>
      </c>
      <c r="W226" s="1" t="s">
        <v>93</v>
      </c>
      <c r="X226" s="1" t="s">
        <v>1105</v>
      </c>
      <c r="Y226" s="1" t="s">
        <v>93</v>
      </c>
      <c r="Z226" s="1" t="s">
        <v>74</v>
      </c>
      <c r="AA226" s="1" t="s">
        <v>93</v>
      </c>
      <c r="AB226" s="1">
        <v>1245.5</v>
      </c>
      <c r="AC226" s="1">
        <v>1245.3800000000001</v>
      </c>
      <c r="AD226" s="1">
        <v>0</v>
      </c>
      <c r="AE226" s="1">
        <v>0</v>
      </c>
      <c r="AF226" s="1">
        <v>0</v>
      </c>
      <c r="AG226" s="1">
        <v>0</v>
      </c>
      <c r="AH226" s="1">
        <v>0</v>
      </c>
      <c r="AI226" s="1" t="s">
        <v>621</v>
      </c>
      <c r="AJ226" s="1" t="s">
        <v>641</v>
      </c>
      <c r="AK226" s="1" t="s">
        <v>16</v>
      </c>
      <c r="AL226" s="1" t="s">
        <v>67</v>
      </c>
      <c r="AM226" s="1" t="s">
        <v>323</v>
      </c>
      <c r="AN226" s="1" t="s">
        <v>21</v>
      </c>
      <c r="AO226" s="1" t="s">
        <v>280</v>
      </c>
      <c r="AP226" s="1" t="s">
        <v>324</v>
      </c>
      <c r="AQ226" s="1" t="s">
        <v>125</v>
      </c>
    </row>
    <row r="227" spans="1:43" x14ac:dyDescent="0.3">
      <c r="A227" s="1">
        <v>24810378</v>
      </c>
      <c r="B227" s="1">
        <v>25650925</v>
      </c>
      <c r="C227" s="1" t="s">
        <v>266</v>
      </c>
      <c r="D227" s="4">
        <v>46197.602349537039</v>
      </c>
      <c r="E227" s="4">
        <v>46206.712118055562</v>
      </c>
      <c r="F227" s="1" t="s">
        <v>22</v>
      </c>
      <c r="G227" s="1" t="s">
        <v>26</v>
      </c>
      <c r="H227" s="1" t="s">
        <v>1106</v>
      </c>
      <c r="I227" s="1" t="s">
        <v>17</v>
      </c>
      <c r="J227" s="1" t="s">
        <v>1107</v>
      </c>
      <c r="K227" s="1" t="s">
        <v>399</v>
      </c>
      <c r="L227" s="1" t="s">
        <v>399</v>
      </c>
      <c r="M227" s="4">
        <v>46197.375694444447</v>
      </c>
      <c r="N227" s="1" t="s">
        <v>1106</v>
      </c>
      <c r="O227" s="1" t="s">
        <v>93</v>
      </c>
      <c r="P227" s="1" t="s">
        <v>342</v>
      </c>
      <c r="Q227" s="1" t="s">
        <v>303</v>
      </c>
      <c r="R227" s="1" t="s">
        <v>272</v>
      </c>
      <c r="S227" s="1" t="s">
        <v>7</v>
      </c>
      <c r="T227" s="1" t="s">
        <v>274</v>
      </c>
      <c r="U227" s="1" t="s">
        <v>153</v>
      </c>
      <c r="V227" s="1" t="s">
        <v>465</v>
      </c>
      <c r="W227" s="1" t="s">
        <v>93</v>
      </c>
      <c r="X227" s="1" t="s">
        <v>500</v>
      </c>
      <c r="Y227" s="1">
        <v>7700090008</v>
      </c>
      <c r="Z227" s="1" t="s">
        <v>64</v>
      </c>
      <c r="AA227" s="1" t="s">
        <v>93</v>
      </c>
      <c r="AB227" s="1">
        <v>0</v>
      </c>
      <c r="AC227" s="1">
        <v>0</v>
      </c>
      <c r="AD227" s="1">
        <v>0</v>
      </c>
      <c r="AE227" s="1">
        <v>0</v>
      </c>
      <c r="AF227" s="1">
        <v>0</v>
      </c>
      <c r="AG227" s="1">
        <v>0</v>
      </c>
      <c r="AH227" s="1">
        <v>0</v>
      </c>
      <c r="AI227" s="1" t="s">
        <v>290</v>
      </c>
      <c r="AJ227" s="1" t="s">
        <v>462</v>
      </c>
      <c r="AK227" s="1" t="s">
        <v>17</v>
      </c>
      <c r="AL227" s="1" t="s">
        <v>78</v>
      </c>
      <c r="AM227" s="1" t="s">
        <v>337</v>
      </c>
      <c r="AN227" s="1" t="s">
        <v>21</v>
      </c>
      <c r="AO227" s="1" t="s">
        <v>280</v>
      </c>
      <c r="AP227" s="1" t="s">
        <v>324</v>
      </c>
      <c r="AQ227" s="1" t="s">
        <v>27</v>
      </c>
    </row>
    <row r="228" spans="1:43" x14ac:dyDescent="0.3">
      <c r="A228" s="1">
        <v>24809720</v>
      </c>
      <c r="B228" s="1">
        <v>25650282</v>
      </c>
      <c r="C228" s="1" t="s">
        <v>266</v>
      </c>
      <c r="D228" s="4">
        <v>46197.522013888891</v>
      </c>
      <c r="E228" s="4">
        <v>46197.523333333331</v>
      </c>
      <c r="F228" s="1" t="s">
        <v>26</v>
      </c>
      <c r="G228" s="1" t="s">
        <v>26</v>
      </c>
      <c r="H228" s="1" t="s">
        <v>1108</v>
      </c>
      <c r="I228" s="1" t="s">
        <v>1020</v>
      </c>
      <c r="J228" s="1" t="s">
        <v>1109</v>
      </c>
      <c r="K228" s="1" t="s">
        <v>1022</v>
      </c>
      <c r="L228" s="1" t="s">
        <v>1022</v>
      </c>
      <c r="M228" s="4">
        <v>46197.518055555563</v>
      </c>
      <c r="N228" s="1" t="s">
        <v>93</v>
      </c>
      <c r="O228" s="1" t="s">
        <v>93</v>
      </c>
      <c r="P228" s="1" t="s">
        <v>342</v>
      </c>
      <c r="Q228" s="1" t="s">
        <v>303</v>
      </c>
      <c r="R228" s="1" t="s">
        <v>272</v>
      </c>
      <c r="S228" s="1" t="s">
        <v>7</v>
      </c>
      <c r="T228" s="1" t="s">
        <v>274</v>
      </c>
      <c r="U228" s="1" t="s">
        <v>155</v>
      </c>
      <c r="V228" s="1" t="s">
        <v>522</v>
      </c>
      <c r="W228" s="1" t="s">
        <v>93</v>
      </c>
      <c r="X228" s="1" t="s">
        <v>500</v>
      </c>
      <c r="Y228" s="1">
        <v>434361168</v>
      </c>
      <c r="Z228" s="1" t="s">
        <v>43</v>
      </c>
      <c r="AA228" s="1" t="s">
        <v>93</v>
      </c>
      <c r="AB228" s="1">
        <v>1382.8</v>
      </c>
      <c r="AC228" s="1">
        <v>82.27</v>
      </c>
      <c r="AD228" s="1">
        <v>0</v>
      </c>
      <c r="AE228" s="1">
        <v>0</v>
      </c>
      <c r="AF228" s="1">
        <v>0</v>
      </c>
      <c r="AG228" s="1">
        <v>0</v>
      </c>
      <c r="AH228" s="1">
        <v>154.87</v>
      </c>
      <c r="AI228" s="1" t="s">
        <v>1023</v>
      </c>
      <c r="AJ228" s="1" t="s">
        <v>707</v>
      </c>
      <c r="AK228" s="1" t="s">
        <v>43</v>
      </c>
      <c r="AL228" s="1" t="s">
        <v>69</v>
      </c>
      <c r="AM228" s="1" t="s">
        <v>337</v>
      </c>
      <c r="AN228" s="1" t="s">
        <v>21</v>
      </c>
      <c r="AO228" s="1" t="s">
        <v>280</v>
      </c>
      <c r="AP228" s="1" t="s">
        <v>810</v>
      </c>
      <c r="AQ228" s="1" t="s">
        <v>123</v>
      </c>
    </row>
    <row r="229" spans="1:43" x14ac:dyDescent="0.3">
      <c r="A229" s="1">
        <v>24824107</v>
      </c>
      <c r="B229" s="1">
        <v>25663373</v>
      </c>
      <c r="C229" s="1" t="s">
        <v>266</v>
      </c>
      <c r="D229" s="4">
        <v>46199.745613425926</v>
      </c>
      <c r="E229" s="4">
        <v>46199.746828703697</v>
      </c>
      <c r="F229" s="1" t="s">
        <v>26</v>
      </c>
      <c r="G229" s="1" t="s">
        <v>26</v>
      </c>
      <c r="H229" s="1" t="s">
        <v>1110</v>
      </c>
      <c r="I229" s="1" t="s">
        <v>1020</v>
      </c>
      <c r="J229" s="1" t="s">
        <v>1111</v>
      </c>
      <c r="K229" s="1" t="s">
        <v>1022</v>
      </c>
      <c r="L229" s="1" t="s">
        <v>1022</v>
      </c>
      <c r="M229" s="4">
        <v>46199.229166666657</v>
      </c>
      <c r="N229" s="1" t="s">
        <v>93</v>
      </c>
      <c r="O229" s="1" t="s">
        <v>93</v>
      </c>
      <c r="P229" s="1" t="s">
        <v>342</v>
      </c>
      <c r="Q229" s="1" t="s">
        <v>303</v>
      </c>
      <c r="R229" s="1" t="s">
        <v>272</v>
      </c>
      <c r="S229" s="1" t="s">
        <v>7</v>
      </c>
      <c r="T229" s="1" t="s">
        <v>274</v>
      </c>
      <c r="U229" s="1" t="s">
        <v>155</v>
      </c>
      <c r="V229" s="1" t="s">
        <v>522</v>
      </c>
      <c r="W229" s="1" t="s">
        <v>93</v>
      </c>
      <c r="X229" s="1" t="s">
        <v>500</v>
      </c>
      <c r="Y229" s="1">
        <v>615678340</v>
      </c>
      <c r="Z229" s="1" t="s">
        <v>43</v>
      </c>
      <c r="AA229" s="1" t="s">
        <v>93</v>
      </c>
      <c r="AB229" s="1">
        <v>468.9</v>
      </c>
      <c r="AC229" s="1">
        <v>59.46</v>
      </c>
      <c r="AD229" s="1">
        <v>0</v>
      </c>
      <c r="AE229" s="1">
        <v>0</v>
      </c>
      <c r="AF229" s="1">
        <v>0</v>
      </c>
      <c r="AG229" s="1">
        <v>0</v>
      </c>
      <c r="AH229" s="1">
        <v>52.52</v>
      </c>
      <c r="AI229" s="1" t="s">
        <v>1023</v>
      </c>
      <c r="AJ229" s="1" t="s">
        <v>707</v>
      </c>
      <c r="AK229" s="1" t="s">
        <v>43</v>
      </c>
      <c r="AL229" s="1" t="s">
        <v>69</v>
      </c>
      <c r="AM229" s="1" t="s">
        <v>337</v>
      </c>
      <c r="AN229" s="1" t="s">
        <v>21</v>
      </c>
      <c r="AO229" s="1" t="s">
        <v>280</v>
      </c>
      <c r="AP229" s="1" t="s">
        <v>810</v>
      </c>
      <c r="AQ229" s="1" t="s">
        <v>123</v>
      </c>
    </row>
    <row r="230" spans="1:43" x14ac:dyDescent="0.3">
      <c r="A230" s="1">
        <v>24811545</v>
      </c>
      <c r="B230" s="1">
        <v>25652180</v>
      </c>
      <c r="C230" s="1" t="s">
        <v>266</v>
      </c>
      <c r="D230" s="4">
        <v>46197.710902777777</v>
      </c>
      <c r="E230" s="4">
        <v>46197.711412037039</v>
      </c>
      <c r="F230" s="1" t="s">
        <v>26</v>
      </c>
      <c r="G230" s="1" t="s">
        <v>26</v>
      </c>
      <c r="H230" s="1" t="s">
        <v>1112</v>
      </c>
      <c r="I230" s="1" t="s">
        <v>14</v>
      </c>
      <c r="J230" s="1" t="s">
        <v>1113</v>
      </c>
      <c r="K230" s="1" t="s">
        <v>509</v>
      </c>
      <c r="L230" s="1" t="s">
        <v>509</v>
      </c>
      <c r="M230" s="4">
        <v>46197.704861111109</v>
      </c>
      <c r="N230" s="1">
        <v>4714681</v>
      </c>
      <c r="O230" s="1" t="s">
        <v>93</v>
      </c>
      <c r="P230" s="1" t="s">
        <v>271</v>
      </c>
      <c r="Q230" s="1" t="s">
        <v>286</v>
      </c>
      <c r="R230" s="1" t="s">
        <v>286</v>
      </c>
      <c r="S230" s="1" t="s">
        <v>7</v>
      </c>
      <c r="T230" s="1" t="s">
        <v>274</v>
      </c>
      <c r="U230" s="1" t="s">
        <v>220</v>
      </c>
      <c r="V230" s="1" t="s">
        <v>1114</v>
      </c>
      <c r="W230" s="1" t="s">
        <v>93</v>
      </c>
      <c r="X230" s="1" t="s">
        <v>500</v>
      </c>
      <c r="Y230" s="1">
        <v>3025652179</v>
      </c>
      <c r="Z230" s="1" t="s">
        <v>107</v>
      </c>
      <c r="AA230" s="1" t="s">
        <v>93</v>
      </c>
      <c r="AB230" s="1">
        <v>2351.4299999999998</v>
      </c>
      <c r="AC230" s="1">
        <v>78.14</v>
      </c>
      <c r="AD230" s="1">
        <v>0</v>
      </c>
      <c r="AE230" s="1">
        <v>0</v>
      </c>
      <c r="AF230" s="1">
        <v>0</v>
      </c>
      <c r="AG230" s="1">
        <v>0</v>
      </c>
      <c r="AH230" s="1">
        <v>0</v>
      </c>
      <c r="AI230" s="1" t="s">
        <v>1115</v>
      </c>
      <c r="AJ230" s="1" t="s">
        <v>451</v>
      </c>
      <c r="AK230" s="1" t="s">
        <v>14</v>
      </c>
      <c r="AL230" s="1" t="s">
        <v>84</v>
      </c>
      <c r="AM230" s="1" t="s">
        <v>452</v>
      </c>
      <c r="AN230" s="1" t="s">
        <v>21</v>
      </c>
      <c r="AO230" s="1" t="s">
        <v>280</v>
      </c>
      <c r="AP230" s="1" t="s">
        <v>281</v>
      </c>
      <c r="AQ230" s="1" t="s">
        <v>37</v>
      </c>
    </row>
    <row r="231" spans="1:43" x14ac:dyDescent="0.3">
      <c r="A231" s="1">
        <v>24823059</v>
      </c>
      <c r="B231" s="1">
        <v>25662192</v>
      </c>
      <c r="C231" s="1" t="s">
        <v>266</v>
      </c>
      <c r="D231" s="4">
        <v>46199.641712962963</v>
      </c>
      <c r="E231" s="4">
        <v>46199.650046296287</v>
      </c>
      <c r="F231" s="1" t="s">
        <v>26</v>
      </c>
      <c r="G231" s="1" t="s">
        <v>26</v>
      </c>
      <c r="H231" s="1" t="s">
        <v>1116</v>
      </c>
      <c r="I231" s="1" t="s">
        <v>268</v>
      </c>
      <c r="J231" s="1" t="s">
        <v>1117</v>
      </c>
      <c r="K231" s="1" t="s">
        <v>632</v>
      </c>
      <c r="L231" s="1" t="s">
        <v>632</v>
      </c>
      <c r="M231" s="4">
        <v>46199.527777777781</v>
      </c>
      <c r="N231" s="1">
        <v>17930</v>
      </c>
      <c r="O231" s="1" t="s">
        <v>93</v>
      </c>
      <c r="P231" s="1" t="s">
        <v>342</v>
      </c>
      <c r="Q231" s="1" t="s">
        <v>303</v>
      </c>
      <c r="R231" s="1" t="s">
        <v>272</v>
      </c>
      <c r="S231" s="1" t="s">
        <v>7</v>
      </c>
      <c r="T231" s="1" t="s">
        <v>274</v>
      </c>
      <c r="U231" s="1" t="s">
        <v>165</v>
      </c>
      <c r="V231" s="1" t="s">
        <v>1007</v>
      </c>
      <c r="W231" s="1" t="s">
        <v>93</v>
      </c>
      <c r="X231" s="1" t="s">
        <v>500</v>
      </c>
      <c r="Y231" s="1">
        <v>3025662192</v>
      </c>
      <c r="Z231" s="1" t="s">
        <v>79</v>
      </c>
      <c r="AA231" s="1" t="s">
        <v>93</v>
      </c>
      <c r="AB231" s="1">
        <v>0</v>
      </c>
      <c r="AC231" s="1">
        <v>200</v>
      </c>
      <c r="AD231" s="1">
        <v>0</v>
      </c>
      <c r="AE231" s="1">
        <v>0</v>
      </c>
      <c r="AF231" s="1">
        <v>0</v>
      </c>
      <c r="AG231" s="1">
        <v>0</v>
      </c>
      <c r="AH231" s="1">
        <v>0</v>
      </c>
      <c r="AI231" s="1" t="s">
        <v>1118</v>
      </c>
      <c r="AJ231" s="1" t="s">
        <v>403</v>
      </c>
      <c r="AK231" s="1" t="s">
        <v>13</v>
      </c>
      <c r="AL231" s="1" t="s">
        <v>73</v>
      </c>
      <c r="AM231" s="1" t="s">
        <v>337</v>
      </c>
      <c r="AN231" s="1" t="s">
        <v>21</v>
      </c>
      <c r="AO231" s="1" t="s">
        <v>280</v>
      </c>
      <c r="AP231" s="1" t="s">
        <v>324</v>
      </c>
      <c r="AQ231" s="1" t="s">
        <v>125</v>
      </c>
    </row>
    <row r="232" spans="1:43" x14ac:dyDescent="0.3">
      <c r="A232" s="1">
        <v>24823060</v>
      </c>
      <c r="B232" s="1">
        <v>25662193</v>
      </c>
      <c r="C232" s="1" t="s">
        <v>266</v>
      </c>
      <c r="D232" s="4">
        <v>46199.641712962963</v>
      </c>
      <c r="E232" s="4">
        <v>46199.650057870371</v>
      </c>
      <c r="F232" s="1" t="s">
        <v>26</v>
      </c>
      <c r="G232" s="1" t="s">
        <v>26</v>
      </c>
      <c r="H232" s="1" t="s">
        <v>1119</v>
      </c>
      <c r="I232" s="1" t="s">
        <v>268</v>
      </c>
      <c r="J232" s="1" t="s">
        <v>1117</v>
      </c>
      <c r="K232" s="1" t="s">
        <v>632</v>
      </c>
      <c r="L232" s="1" t="s">
        <v>632</v>
      </c>
      <c r="M232" s="4">
        <v>46199.527777777781</v>
      </c>
      <c r="N232" s="1">
        <v>17930</v>
      </c>
      <c r="O232" s="1" t="s">
        <v>93</v>
      </c>
      <c r="P232" s="1" t="s">
        <v>342</v>
      </c>
      <c r="Q232" s="1" t="s">
        <v>303</v>
      </c>
      <c r="R232" s="1" t="s">
        <v>272</v>
      </c>
      <c r="S232" s="1" t="s">
        <v>7</v>
      </c>
      <c r="T232" s="1" t="s">
        <v>274</v>
      </c>
      <c r="U232" s="1" t="s">
        <v>165</v>
      </c>
      <c r="V232" s="1" t="s">
        <v>1007</v>
      </c>
      <c r="W232" s="1" t="s">
        <v>93</v>
      </c>
      <c r="X232" s="1" t="s">
        <v>500</v>
      </c>
      <c r="Y232" s="1">
        <v>3025662193</v>
      </c>
      <c r="Z232" s="1" t="s">
        <v>79</v>
      </c>
      <c r="AA232" s="1" t="s">
        <v>93</v>
      </c>
      <c r="AB232" s="1">
        <v>0</v>
      </c>
      <c r="AC232" s="1">
        <v>200</v>
      </c>
      <c r="AD232" s="1">
        <v>0</v>
      </c>
      <c r="AE232" s="1">
        <v>0</v>
      </c>
      <c r="AF232" s="1">
        <v>0</v>
      </c>
      <c r="AG232" s="1">
        <v>0</v>
      </c>
      <c r="AH232" s="1">
        <v>0</v>
      </c>
      <c r="AI232" s="1" t="s">
        <v>1118</v>
      </c>
      <c r="AJ232" s="1" t="s">
        <v>403</v>
      </c>
      <c r="AK232" s="1" t="s">
        <v>13</v>
      </c>
      <c r="AL232" s="1" t="s">
        <v>73</v>
      </c>
      <c r="AM232" s="1" t="s">
        <v>337</v>
      </c>
      <c r="AN232" s="1" t="s">
        <v>21</v>
      </c>
      <c r="AO232" s="1" t="s">
        <v>280</v>
      </c>
      <c r="AP232" s="1" t="s">
        <v>324</v>
      </c>
      <c r="AQ232" s="1" t="s">
        <v>125</v>
      </c>
    </row>
    <row r="233" spans="1:43" x14ac:dyDescent="0.3">
      <c r="A233" s="1">
        <v>24823061</v>
      </c>
      <c r="B233" s="1">
        <v>25662194</v>
      </c>
      <c r="C233" s="1" t="s">
        <v>266</v>
      </c>
      <c r="D233" s="4">
        <v>46199.641724537039</v>
      </c>
      <c r="E233" s="4">
        <v>46199.650069444448</v>
      </c>
      <c r="F233" s="1" t="s">
        <v>26</v>
      </c>
      <c r="G233" s="1" t="s">
        <v>26</v>
      </c>
      <c r="H233" s="1" t="s">
        <v>1120</v>
      </c>
      <c r="I233" s="1" t="s">
        <v>268</v>
      </c>
      <c r="J233" s="1" t="s">
        <v>1117</v>
      </c>
      <c r="K233" s="1" t="s">
        <v>632</v>
      </c>
      <c r="L233" s="1" t="s">
        <v>632</v>
      </c>
      <c r="M233" s="4">
        <v>46199.527777777781</v>
      </c>
      <c r="N233" s="1">
        <v>17930</v>
      </c>
      <c r="O233" s="1" t="s">
        <v>93</v>
      </c>
      <c r="P233" s="1" t="s">
        <v>342</v>
      </c>
      <c r="Q233" s="1" t="s">
        <v>303</v>
      </c>
      <c r="R233" s="1" t="s">
        <v>272</v>
      </c>
      <c r="S233" s="1" t="s">
        <v>7</v>
      </c>
      <c r="T233" s="1" t="s">
        <v>274</v>
      </c>
      <c r="U233" s="1" t="s">
        <v>165</v>
      </c>
      <c r="V233" s="1" t="s">
        <v>1007</v>
      </c>
      <c r="W233" s="1" t="s">
        <v>93</v>
      </c>
      <c r="X233" s="1" t="s">
        <v>500</v>
      </c>
      <c r="Y233" s="1">
        <v>3025662194</v>
      </c>
      <c r="Z233" s="1" t="s">
        <v>79</v>
      </c>
      <c r="AA233" s="1" t="s">
        <v>93</v>
      </c>
      <c r="AB233" s="1">
        <v>0</v>
      </c>
      <c r="AC233" s="1">
        <v>200</v>
      </c>
      <c r="AD233" s="1">
        <v>0</v>
      </c>
      <c r="AE233" s="1">
        <v>0</v>
      </c>
      <c r="AF233" s="1">
        <v>0</v>
      </c>
      <c r="AG233" s="1">
        <v>0</v>
      </c>
      <c r="AH233" s="1">
        <v>0</v>
      </c>
      <c r="AI233" s="1" t="s">
        <v>1118</v>
      </c>
      <c r="AJ233" s="1" t="s">
        <v>403</v>
      </c>
      <c r="AK233" s="1" t="s">
        <v>13</v>
      </c>
      <c r="AL233" s="1" t="s">
        <v>73</v>
      </c>
      <c r="AM233" s="1" t="s">
        <v>337</v>
      </c>
      <c r="AN233" s="1" t="s">
        <v>21</v>
      </c>
      <c r="AO233" s="1" t="s">
        <v>280</v>
      </c>
      <c r="AP233" s="1" t="s">
        <v>324</v>
      </c>
      <c r="AQ233" s="1" t="s">
        <v>125</v>
      </c>
    </row>
    <row r="234" spans="1:43" x14ac:dyDescent="0.3">
      <c r="A234" s="1">
        <v>24823062</v>
      </c>
      <c r="B234" s="1">
        <v>25662195</v>
      </c>
      <c r="C234" s="1" t="s">
        <v>266</v>
      </c>
      <c r="D234" s="4">
        <v>46199.641724537039</v>
      </c>
      <c r="E234" s="4">
        <v>46199.650081018517</v>
      </c>
      <c r="F234" s="1" t="s">
        <v>26</v>
      </c>
      <c r="G234" s="1" t="s">
        <v>26</v>
      </c>
      <c r="H234" s="1" t="s">
        <v>1121</v>
      </c>
      <c r="I234" s="1" t="s">
        <v>268</v>
      </c>
      <c r="J234" s="1" t="s">
        <v>1117</v>
      </c>
      <c r="K234" s="1" t="s">
        <v>632</v>
      </c>
      <c r="L234" s="1" t="s">
        <v>632</v>
      </c>
      <c r="M234" s="4">
        <v>46199.527777777781</v>
      </c>
      <c r="N234" s="1">
        <v>17930</v>
      </c>
      <c r="O234" s="1" t="s">
        <v>93</v>
      </c>
      <c r="P234" s="1" t="s">
        <v>342</v>
      </c>
      <c r="Q234" s="1" t="s">
        <v>303</v>
      </c>
      <c r="R234" s="1" t="s">
        <v>272</v>
      </c>
      <c r="S234" s="1" t="s">
        <v>7</v>
      </c>
      <c r="T234" s="1" t="s">
        <v>274</v>
      </c>
      <c r="U234" s="1" t="s">
        <v>165</v>
      </c>
      <c r="V234" s="1" t="s">
        <v>1007</v>
      </c>
      <c r="W234" s="1" t="s">
        <v>93</v>
      </c>
      <c r="X234" s="1" t="s">
        <v>500</v>
      </c>
      <c r="Y234" s="1">
        <v>3025662195</v>
      </c>
      <c r="Z234" s="1" t="s">
        <v>79</v>
      </c>
      <c r="AA234" s="1" t="s">
        <v>93</v>
      </c>
      <c r="AB234" s="1">
        <v>0</v>
      </c>
      <c r="AC234" s="1">
        <v>200</v>
      </c>
      <c r="AD234" s="1">
        <v>0</v>
      </c>
      <c r="AE234" s="1">
        <v>0</v>
      </c>
      <c r="AF234" s="1">
        <v>0</v>
      </c>
      <c r="AG234" s="1">
        <v>0</v>
      </c>
      <c r="AH234" s="1">
        <v>0</v>
      </c>
      <c r="AI234" s="1" t="s">
        <v>1118</v>
      </c>
      <c r="AJ234" s="1" t="s">
        <v>403</v>
      </c>
      <c r="AK234" s="1" t="s">
        <v>13</v>
      </c>
      <c r="AL234" s="1" t="s">
        <v>73</v>
      </c>
      <c r="AM234" s="1" t="s">
        <v>337</v>
      </c>
      <c r="AN234" s="1" t="s">
        <v>21</v>
      </c>
      <c r="AO234" s="1" t="s">
        <v>280</v>
      </c>
      <c r="AP234" s="1" t="s">
        <v>324</v>
      </c>
      <c r="AQ234" s="1" t="s">
        <v>125</v>
      </c>
    </row>
    <row r="235" spans="1:43" x14ac:dyDescent="0.3">
      <c r="A235" s="1">
        <v>24823055</v>
      </c>
      <c r="B235" s="1">
        <v>25662188</v>
      </c>
      <c r="C235" s="1" t="s">
        <v>266</v>
      </c>
      <c r="D235" s="4">
        <v>46199.641608796293</v>
      </c>
      <c r="E235" s="4">
        <v>46199.647928240738</v>
      </c>
      <c r="F235" s="1" t="s">
        <v>26</v>
      </c>
      <c r="G235" s="1" t="s">
        <v>26</v>
      </c>
      <c r="H235" s="1" t="s">
        <v>1122</v>
      </c>
      <c r="I235" s="1" t="s">
        <v>268</v>
      </c>
      <c r="J235" s="1" t="s">
        <v>1006</v>
      </c>
      <c r="K235" s="1" t="s">
        <v>632</v>
      </c>
      <c r="L235" s="1" t="s">
        <v>632</v>
      </c>
      <c r="M235" s="4">
        <v>46199.534722222219</v>
      </c>
      <c r="N235" s="1">
        <v>17932</v>
      </c>
      <c r="O235" s="1" t="s">
        <v>93</v>
      </c>
      <c r="P235" s="1" t="s">
        <v>342</v>
      </c>
      <c r="Q235" s="1" t="s">
        <v>303</v>
      </c>
      <c r="R235" s="1" t="s">
        <v>272</v>
      </c>
      <c r="S235" s="1" t="s">
        <v>7</v>
      </c>
      <c r="T235" s="1" t="s">
        <v>274</v>
      </c>
      <c r="U235" s="1" t="s">
        <v>165</v>
      </c>
      <c r="V235" s="1" t="s">
        <v>1007</v>
      </c>
      <c r="W235" s="1" t="s">
        <v>93</v>
      </c>
      <c r="X235" s="1" t="s">
        <v>500</v>
      </c>
      <c r="Y235" s="1">
        <v>3025662188</v>
      </c>
      <c r="Z235" s="1" t="s">
        <v>79</v>
      </c>
      <c r="AA235" s="1" t="s">
        <v>93</v>
      </c>
      <c r="AB235" s="1">
        <v>0</v>
      </c>
      <c r="AC235" s="1">
        <v>175</v>
      </c>
      <c r="AD235" s="1">
        <v>0</v>
      </c>
      <c r="AE235" s="1">
        <v>0</v>
      </c>
      <c r="AF235" s="1">
        <v>0</v>
      </c>
      <c r="AG235" s="1">
        <v>0</v>
      </c>
      <c r="AH235" s="1">
        <v>0</v>
      </c>
      <c r="AI235" s="1" t="s">
        <v>1008</v>
      </c>
      <c r="AJ235" s="1" t="s">
        <v>403</v>
      </c>
      <c r="AK235" s="1" t="s">
        <v>13</v>
      </c>
      <c r="AL235" s="1" t="s">
        <v>73</v>
      </c>
      <c r="AM235" s="1" t="s">
        <v>337</v>
      </c>
      <c r="AN235" s="1" t="s">
        <v>21</v>
      </c>
      <c r="AO235" s="1" t="s">
        <v>280</v>
      </c>
      <c r="AP235" s="1" t="s">
        <v>324</v>
      </c>
      <c r="AQ235" s="1" t="s">
        <v>125</v>
      </c>
    </row>
    <row r="236" spans="1:43" x14ac:dyDescent="0.3">
      <c r="A236" s="1">
        <v>24823056</v>
      </c>
      <c r="B236" s="1">
        <v>25662189</v>
      </c>
      <c r="C236" s="1" t="s">
        <v>266</v>
      </c>
      <c r="D236" s="4">
        <v>46199.64162037037</v>
      </c>
      <c r="E236" s="4">
        <v>46199.647928240738</v>
      </c>
      <c r="F236" s="1" t="s">
        <v>26</v>
      </c>
      <c r="G236" s="1" t="s">
        <v>26</v>
      </c>
      <c r="H236" s="1" t="s">
        <v>1123</v>
      </c>
      <c r="I236" s="1" t="s">
        <v>268</v>
      </c>
      <c r="J236" s="1" t="s">
        <v>1006</v>
      </c>
      <c r="K236" s="1" t="s">
        <v>632</v>
      </c>
      <c r="L236" s="1" t="s">
        <v>632</v>
      </c>
      <c r="M236" s="4">
        <v>46199.534722222219</v>
      </c>
      <c r="N236" s="1">
        <v>17932</v>
      </c>
      <c r="O236" s="1" t="s">
        <v>93</v>
      </c>
      <c r="P236" s="1" t="s">
        <v>342</v>
      </c>
      <c r="Q236" s="1" t="s">
        <v>303</v>
      </c>
      <c r="R236" s="1" t="s">
        <v>272</v>
      </c>
      <c r="S236" s="1" t="s">
        <v>7</v>
      </c>
      <c r="T236" s="1" t="s">
        <v>274</v>
      </c>
      <c r="U236" s="1" t="s">
        <v>165</v>
      </c>
      <c r="V236" s="1" t="s">
        <v>1007</v>
      </c>
      <c r="W236" s="1" t="s">
        <v>93</v>
      </c>
      <c r="X236" s="1" t="s">
        <v>500</v>
      </c>
      <c r="Y236" s="1">
        <v>3025662189</v>
      </c>
      <c r="Z236" s="1" t="s">
        <v>79</v>
      </c>
      <c r="AA236" s="1" t="s">
        <v>93</v>
      </c>
      <c r="AB236" s="1">
        <v>0</v>
      </c>
      <c r="AC236" s="1">
        <v>175</v>
      </c>
      <c r="AD236" s="1">
        <v>0</v>
      </c>
      <c r="AE236" s="1">
        <v>0</v>
      </c>
      <c r="AF236" s="1">
        <v>0</v>
      </c>
      <c r="AG236" s="1">
        <v>0</v>
      </c>
      <c r="AH236" s="1">
        <v>0</v>
      </c>
      <c r="AI236" s="1" t="s">
        <v>1008</v>
      </c>
      <c r="AJ236" s="1" t="s">
        <v>403</v>
      </c>
      <c r="AK236" s="1" t="s">
        <v>13</v>
      </c>
      <c r="AL236" s="1" t="s">
        <v>73</v>
      </c>
      <c r="AM236" s="1" t="s">
        <v>337</v>
      </c>
      <c r="AN236" s="1" t="s">
        <v>21</v>
      </c>
      <c r="AO236" s="1" t="s">
        <v>280</v>
      </c>
      <c r="AP236" s="1" t="s">
        <v>324</v>
      </c>
      <c r="AQ236" s="1" t="s">
        <v>125</v>
      </c>
    </row>
    <row r="237" spans="1:43" x14ac:dyDescent="0.3">
      <c r="A237" s="1">
        <v>24823057</v>
      </c>
      <c r="B237" s="1">
        <v>25662190</v>
      </c>
      <c r="C237" s="1" t="s">
        <v>266</v>
      </c>
      <c r="D237" s="4">
        <v>46199.64162037037</v>
      </c>
      <c r="E237" s="4">
        <v>46199.647928240738</v>
      </c>
      <c r="F237" s="1" t="s">
        <v>26</v>
      </c>
      <c r="G237" s="1" t="s">
        <v>26</v>
      </c>
      <c r="H237" s="1" t="s">
        <v>1124</v>
      </c>
      <c r="I237" s="1" t="s">
        <v>268</v>
      </c>
      <c r="J237" s="1" t="s">
        <v>1006</v>
      </c>
      <c r="K237" s="1" t="s">
        <v>632</v>
      </c>
      <c r="L237" s="1" t="s">
        <v>632</v>
      </c>
      <c r="M237" s="4">
        <v>46199.534722222219</v>
      </c>
      <c r="N237" s="1">
        <v>17932</v>
      </c>
      <c r="O237" s="1" t="s">
        <v>93</v>
      </c>
      <c r="P237" s="1" t="s">
        <v>342</v>
      </c>
      <c r="Q237" s="1" t="s">
        <v>303</v>
      </c>
      <c r="R237" s="1" t="s">
        <v>272</v>
      </c>
      <c r="S237" s="1" t="s">
        <v>7</v>
      </c>
      <c r="T237" s="1" t="s">
        <v>274</v>
      </c>
      <c r="U237" s="1" t="s">
        <v>165</v>
      </c>
      <c r="V237" s="1" t="s">
        <v>1007</v>
      </c>
      <c r="W237" s="1" t="s">
        <v>93</v>
      </c>
      <c r="X237" s="1" t="s">
        <v>500</v>
      </c>
      <c r="Y237" s="1">
        <v>3025662190</v>
      </c>
      <c r="Z237" s="1" t="s">
        <v>79</v>
      </c>
      <c r="AA237" s="1" t="s">
        <v>93</v>
      </c>
      <c r="AB237" s="1">
        <v>0</v>
      </c>
      <c r="AC237" s="1">
        <v>175</v>
      </c>
      <c r="AD237" s="1">
        <v>0</v>
      </c>
      <c r="AE237" s="1">
        <v>0</v>
      </c>
      <c r="AF237" s="1">
        <v>0</v>
      </c>
      <c r="AG237" s="1">
        <v>0</v>
      </c>
      <c r="AH237" s="1">
        <v>0</v>
      </c>
      <c r="AI237" s="1" t="s">
        <v>1008</v>
      </c>
      <c r="AJ237" s="1" t="s">
        <v>403</v>
      </c>
      <c r="AK237" s="1" t="s">
        <v>13</v>
      </c>
      <c r="AL237" s="1" t="s">
        <v>73</v>
      </c>
      <c r="AM237" s="1" t="s">
        <v>337</v>
      </c>
      <c r="AN237" s="1" t="s">
        <v>21</v>
      </c>
      <c r="AO237" s="1" t="s">
        <v>280</v>
      </c>
      <c r="AP237" s="1" t="s">
        <v>324</v>
      </c>
      <c r="AQ237" s="1" t="s">
        <v>125</v>
      </c>
    </row>
    <row r="238" spans="1:43" x14ac:dyDescent="0.3">
      <c r="A238" s="1">
        <v>24823672</v>
      </c>
      <c r="B238" s="1">
        <v>25688227</v>
      </c>
      <c r="C238" s="1" t="s">
        <v>294</v>
      </c>
      <c r="D238" s="4">
        <v>46199.69394675926</v>
      </c>
      <c r="E238" s="4">
        <v>46206.712199074071</v>
      </c>
      <c r="F238" s="1" t="s">
        <v>22</v>
      </c>
      <c r="G238" s="1" t="s">
        <v>26</v>
      </c>
      <c r="H238" s="1" t="s">
        <v>1125</v>
      </c>
      <c r="I238" s="1" t="s">
        <v>17</v>
      </c>
      <c r="J238" s="1" t="s">
        <v>1126</v>
      </c>
      <c r="K238" s="1" t="s">
        <v>472</v>
      </c>
      <c r="L238" s="1" t="s">
        <v>1127</v>
      </c>
      <c r="M238" s="4">
        <v>46199.397916666669</v>
      </c>
      <c r="N238" s="1" t="s">
        <v>1125</v>
      </c>
      <c r="O238" s="1" t="s">
        <v>93</v>
      </c>
      <c r="P238" s="1" t="s">
        <v>271</v>
      </c>
      <c r="Q238" s="1" t="s">
        <v>286</v>
      </c>
      <c r="R238" s="1" t="s">
        <v>439</v>
      </c>
      <c r="S238" s="1" t="s">
        <v>7</v>
      </c>
      <c r="T238" s="1" t="s">
        <v>274</v>
      </c>
      <c r="U238" s="1" t="s">
        <v>153</v>
      </c>
      <c r="V238" s="1" t="s">
        <v>1026</v>
      </c>
      <c r="W238" s="1" t="s">
        <v>288</v>
      </c>
      <c r="X238" s="1" t="s">
        <v>1128</v>
      </c>
      <c r="Y238" s="1" t="s">
        <v>93</v>
      </c>
      <c r="Z238" s="1" t="s">
        <v>64</v>
      </c>
      <c r="AA238" s="1" t="s">
        <v>93</v>
      </c>
      <c r="AB238" s="1">
        <v>23942.959999999999</v>
      </c>
      <c r="AC238" s="1">
        <v>293.66000000000003</v>
      </c>
      <c r="AD238" s="1">
        <v>5816.84</v>
      </c>
      <c r="AE238" s="1">
        <v>0</v>
      </c>
      <c r="AF238" s="1">
        <v>0</v>
      </c>
      <c r="AG238" s="1">
        <v>0</v>
      </c>
      <c r="AH238" s="1">
        <v>19.2</v>
      </c>
      <c r="AI238" s="1" t="s">
        <v>290</v>
      </c>
      <c r="AJ238" s="1" t="s">
        <v>645</v>
      </c>
      <c r="AK238" s="1" t="s">
        <v>17</v>
      </c>
      <c r="AL238" s="1" t="s">
        <v>86</v>
      </c>
      <c r="AM238" s="1" t="s">
        <v>279</v>
      </c>
      <c r="AN238" s="1" t="s">
        <v>21</v>
      </c>
      <c r="AO238" s="1" t="s">
        <v>280</v>
      </c>
      <c r="AP238" s="1" t="s">
        <v>324</v>
      </c>
      <c r="AQ238" s="1" t="s">
        <v>27</v>
      </c>
    </row>
    <row r="239" spans="1:43" x14ac:dyDescent="0.3">
      <c r="A239" s="1">
        <v>24803916</v>
      </c>
      <c r="B239" s="1">
        <v>25645261</v>
      </c>
      <c r="C239" s="1" t="s">
        <v>266</v>
      </c>
      <c r="D239" s="4">
        <v>46196.570300925923</v>
      </c>
      <c r="E239" s="4">
        <v>46206.713113425933</v>
      </c>
      <c r="F239" s="1" t="s">
        <v>22</v>
      </c>
      <c r="G239" s="1" t="s">
        <v>26</v>
      </c>
      <c r="H239" s="1" t="s">
        <v>1129</v>
      </c>
      <c r="I239" s="1" t="s">
        <v>17</v>
      </c>
      <c r="J239" s="1" t="s">
        <v>1130</v>
      </c>
      <c r="K239" s="1" t="s">
        <v>314</v>
      </c>
      <c r="L239" s="1" t="s">
        <v>314</v>
      </c>
      <c r="M239" s="4">
        <v>46196.45416666667</v>
      </c>
      <c r="N239" s="1" t="s">
        <v>1131</v>
      </c>
      <c r="O239" s="1" t="s">
        <v>93</v>
      </c>
      <c r="P239" s="1" t="s">
        <v>271</v>
      </c>
      <c r="Q239" s="1" t="s">
        <v>320</v>
      </c>
      <c r="R239" s="1" t="s">
        <v>320</v>
      </c>
      <c r="S239" s="1" t="s">
        <v>9</v>
      </c>
      <c r="T239" s="1" t="s">
        <v>274</v>
      </c>
      <c r="U239" s="1" t="s">
        <v>145</v>
      </c>
      <c r="V239" s="1" t="s">
        <v>1132</v>
      </c>
      <c r="W239" s="1" t="s">
        <v>93</v>
      </c>
      <c r="X239" s="1" t="s">
        <v>1133</v>
      </c>
      <c r="Y239" s="1" t="s">
        <v>93</v>
      </c>
      <c r="Z239" s="1" t="s">
        <v>55</v>
      </c>
      <c r="AA239" s="1" t="s">
        <v>93</v>
      </c>
      <c r="AB239" s="1">
        <v>472.65</v>
      </c>
      <c r="AC239" s="1">
        <v>0</v>
      </c>
      <c r="AD239" s="1">
        <v>0</v>
      </c>
      <c r="AE239" s="1">
        <v>0</v>
      </c>
      <c r="AF239" s="1">
        <v>0</v>
      </c>
      <c r="AG239" s="1">
        <v>0</v>
      </c>
      <c r="AH239" s="1">
        <v>0</v>
      </c>
      <c r="AI239" s="1" t="s">
        <v>290</v>
      </c>
      <c r="AJ239" s="1" t="s">
        <v>641</v>
      </c>
      <c r="AK239" s="1" t="s">
        <v>17</v>
      </c>
      <c r="AL239" s="1" t="s">
        <v>67</v>
      </c>
      <c r="AM239" s="1" t="s">
        <v>323</v>
      </c>
      <c r="AN239" s="1" t="s">
        <v>21</v>
      </c>
      <c r="AO239" s="1" t="s">
        <v>280</v>
      </c>
      <c r="AP239" s="1" t="s">
        <v>324</v>
      </c>
      <c r="AQ239" s="1" t="s">
        <v>20</v>
      </c>
    </row>
    <row r="240" spans="1:43" x14ac:dyDescent="0.3">
      <c r="A240" s="1">
        <v>24806010</v>
      </c>
      <c r="B240" s="1">
        <v>25647426</v>
      </c>
      <c r="C240" s="1" t="s">
        <v>266</v>
      </c>
      <c r="D240" s="4">
        <v>46196.778437499997</v>
      </c>
      <c r="E240" s="4">
        <v>46206.713136574072</v>
      </c>
      <c r="F240" s="1" t="s">
        <v>22</v>
      </c>
      <c r="G240" s="1" t="s">
        <v>26</v>
      </c>
      <c r="H240" s="1" t="s">
        <v>1134</v>
      </c>
      <c r="I240" s="1" t="s">
        <v>17</v>
      </c>
      <c r="J240" s="1" t="s">
        <v>1135</v>
      </c>
      <c r="K240" s="1" t="s">
        <v>314</v>
      </c>
      <c r="L240" s="1" t="s">
        <v>314</v>
      </c>
      <c r="M240" s="4">
        <v>46184.5</v>
      </c>
      <c r="N240" s="1" t="s">
        <v>1136</v>
      </c>
      <c r="O240" s="1" t="s">
        <v>93</v>
      </c>
      <c r="P240" s="1" t="s">
        <v>271</v>
      </c>
      <c r="Q240" s="1" t="s">
        <v>320</v>
      </c>
      <c r="R240" s="1" t="s">
        <v>320</v>
      </c>
      <c r="S240" s="1" t="s">
        <v>9</v>
      </c>
      <c r="T240" s="1" t="s">
        <v>274</v>
      </c>
      <c r="U240" s="1" t="s">
        <v>145</v>
      </c>
      <c r="V240" s="1" t="s">
        <v>1132</v>
      </c>
      <c r="W240" s="1" t="s">
        <v>93</v>
      </c>
      <c r="X240" s="1" t="s">
        <v>1133</v>
      </c>
      <c r="Y240" s="1" t="s">
        <v>93</v>
      </c>
      <c r="Z240" s="1" t="s">
        <v>55</v>
      </c>
      <c r="AA240" s="1" t="s">
        <v>93</v>
      </c>
      <c r="AB240" s="1">
        <v>472.65</v>
      </c>
      <c r="AC240" s="1">
        <v>0</v>
      </c>
      <c r="AD240" s="1">
        <v>0</v>
      </c>
      <c r="AE240" s="1">
        <v>0</v>
      </c>
      <c r="AF240" s="1">
        <v>0</v>
      </c>
      <c r="AG240" s="1">
        <v>0</v>
      </c>
      <c r="AH240" s="1">
        <v>0</v>
      </c>
      <c r="AI240" s="1" t="s">
        <v>290</v>
      </c>
      <c r="AJ240" s="1" t="s">
        <v>641</v>
      </c>
      <c r="AK240" s="1" t="s">
        <v>17</v>
      </c>
      <c r="AL240" s="1" t="s">
        <v>67</v>
      </c>
      <c r="AM240" s="1" t="s">
        <v>323</v>
      </c>
      <c r="AN240" s="1" t="s">
        <v>21</v>
      </c>
      <c r="AO240" s="1" t="s">
        <v>280</v>
      </c>
      <c r="AP240" s="1" t="s">
        <v>324</v>
      </c>
      <c r="AQ240" s="1" t="s">
        <v>20</v>
      </c>
    </row>
    <row r="241" spans="1:43" x14ac:dyDescent="0.3">
      <c r="A241" s="1">
        <v>24830895</v>
      </c>
      <c r="B241" s="1">
        <v>25668628</v>
      </c>
      <c r="C241" s="1" t="s">
        <v>266</v>
      </c>
      <c r="D241" s="4">
        <v>46201.362881944442</v>
      </c>
      <c r="E241" s="4">
        <v>46206.415358796286</v>
      </c>
      <c r="F241" s="1" t="s">
        <v>22</v>
      </c>
      <c r="G241" s="1" t="s">
        <v>24</v>
      </c>
      <c r="H241" s="1" t="s">
        <v>830</v>
      </c>
      <c r="I241" s="1" t="s">
        <v>14</v>
      </c>
      <c r="J241" s="1" t="s">
        <v>1137</v>
      </c>
      <c r="K241" s="1" t="s">
        <v>547</v>
      </c>
      <c r="L241" s="1" t="s">
        <v>547</v>
      </c>
      <c r="M241" s="4">
        <v>46201</v>
      </c>
      <c r="N241" s="1">
        <v>4713824</v>
      </c>
      <c r="O241" s="1" t="s">
        <v>93</v>
      </c>
      <c r="P241" s="1" t="s">
        <v>342</v>
      </c>
      <c r="Q241" s="1" t="s">
        <v>286</v>
      </c>
      <c r="R241" s="1" t="s">
        <v>286</v>
      </c>
      <c r="S241" s="1" t="s">
        <v>9</v>
      </c>
      <c r="T241" s="1" t="s">
        <v>274</v>
      </c>
      <c r="U241" s="1" t="s">
        <v>167</v>
      </c>
      <c r="V241" s="1" t="s">
        <v>832</v>
      </c>
      <c r="W241" s="1" t="s">
        <v>93</v>
      </c>
      <c r="X241" s="1" t="s">
        <v>1138</v>
      </c>
      <c r="Y241" s="1" t="s">
        <v>93</v>
      </c>
      <c r="Z241" s="1" t="s">
        <v>83</v>
      </c>
      <c r="AA241" s="1" t="s">
        <v>93</v>
      </c>
      <c r="AB241" s="1">
        <v>780</v>
      </c>
      <c r="AC241" s="1">
        <v>0</v>
      </c>
      <c r="AD241" s="1">
        <v>0</v>
      </c>
      <c r="AE241" s="1">
        <v>0</v>
      </c>
      <c r="AF241" s="1">
        <v>0</v>
      </c>
      <c r="AG241" s="1">
        <v>0</v>
      </c>
      <c r="AH241" s="1">
        <v>0</v>
      </c>
      <c r="AI241" s="1" t="s">
        <v>833</v>
      </c>
      <c r="AJ241" s="1" t="s">
        <v>291</v>
      </c>
      <c r="AK241" s="1" t="s">
        <v>14</v>
      </c>
      <c r="AL241" s="1" t="s">
        <v>65</v>
      </c>
      <c r="AM241" s="1" t="s">
        <v>292</v>
      </c>
      <c r="AN241" s="1" t="s">
        <v>21</v>
      </c>
      <c r="AO241" s="1" t="s">
        <v>293</v>
      </c>
      <c r="AP241" s="1" t="s">
        <v>281</v>
      </c>
      <c r="AQ241" s="1" t="s">
        <v>34</v>
      </c>
    </row>
    <row r="242" spans="1:43" x14ac:dyDescent="0.3">
      <c r="A242" s="1">
        <v>24818044</v>
      </c>
      <c r="B242" s="1">
        <v>25657975</v>
      </c>
      <c r="C242" s="1" t="s">
        <v>382</v>
      </c>
      <c r="D242" s="4">
        <v>46198.78528935185</v>
      </c>
      <c r="E242" s="4">
        <v>46204.263506944437</v>
      </c>
      <c r="F242" s="1" t="s">
        <v>22</v>
      </c>
      <c r="G242" s="1" t="s">
        <v>26</v>
      </c>
      <c r="H242" s="1" t="s">
        <v>968</v>
      </c>
      <c r="I242" s="1" t="s">
        <v>17</v>
      </c>
      <c r="J242" s="1" t="s">
        <v>969</v>
      </c>
      <c r="K242" s="1" t="s">
        <v>963</v>
      </c>
      <c r="L242" s="1" t="s">
        <v>963</v>
      </c>
      <c r="M242" s="4">
        <v>46198.65347222222</v>
      </c>
      <c r="N242" s="1" t="s">
        <v>970</v>
      </c>
      <c r="O242" s="1" t="s">
        <v>93</v>
      </c>
      <c r="P242" s="1" t="s">
        <v>342</v>
      </c>
      <c r="Q242" s="1" t="s">
        <v>286</v>
      </c>
      <c r="R242" s="1" t="s">
        <v>286</v>
      </c>
      <c r="S242" s="1" t="s">
        <v>9</v>
      </c>
      <c r="T242" s="1" t="s">
        <v>274</v>
      </c>
      <c r="U242" s="1" t="s">
        <v>141</v>
      </c>
      <c r="V242" s="1" t="s">
        <v>581</v>
      </c>
      <c r="W242" s="1" t="s">
        <v>93</v>
      </c>
      <c r="X242" s="1" t="s">
        <v>1139</v>
      </c>
      <c r="Y242" s="1" t="s">
        <v>93</v>
      </c>
      <c r="Z242" s="1" t="s">
        <v>47</v>
      </c>
      <c r="AA242" s="1" t="s">
        <v>93</v>
      </c>
      <c r="AB242" s="1">
        <v>220</v>
      </c>
      <c r="AC242" s="1">
        <v>0</v>
      </c>
      <c r="AD242" s="1">
        <v>0</v>
      </c>
      <c r="AE242" s="1">
        <v>0</v>
      </c>
      <c r="AF242" s="1">
        <v>0</v>
      </c>
      <c r="AG242" s="1">
        <v>0</v>
      </c>
      <c r="AH242" s="1">
        <v>0</v>
      </c>
      <c r="AI242" s="1" t="s">
        <v>290</v>
      </c>
      <c r="AJ242" s="1" t="s">
        <v>291</v>
      </c>
      <c r="AK242" s="1" t="s">
        <v>17</v>
      </c>
      <c r="AL242" s="1" t="s">
        <v>65</v>
      </c>
      <c r="AM242" s="1" t="s">
        <v>292</v>
      </c>
      <c r="AN242" s="1" t="s">
        <v>21</v>
      </c>
      <c r="AO242" s="1" t="s">
        <v>280</v>
      </c>
      <c r="AP242" s="1" t="s">
        <v>324</v>
      </c>
      <c r="AQ242" s="1" t="s">
        <v>20</v>
      </c>
    </row>
    <row r="243" spans="1:43" x14ac:dyDescent="0.3">
      <c r="A243" s="1">
        <v>24803462</v>
      </c>
      <c r="B243" s="1">
        <v>25644805</v>
      </c>
      <c r="C243" s="1" t="s">
        <v>266</v>
      </c>
      <c r="D243" s="4">
        <v>46196.513553240737</v>
      </c>
      <c r="E243" s="4">
        <v>46206.713090277779</v>
      </c>
      <c r="F243" s="1" t="s">
        <v>22</v>
      </c>
      <c r="G243" s="1" t="s">
        <v>26</v>
      </c>
      <c r="H243" s="1" t="s">
        <v>1140</v>
      </c>
      <c r="I243" s="1" t="s">
        <v>17</v>
      </c>
      <c r="J243" s="1" t="s">
        <v>1037</v>
      </c>
      <c r="K243" s="1" t="s">
        <v>435</v>
      </c>
      <c r="L243" s="1" t="s">
        <v>435</v>
      </c>
      <c r="M243" s="4">
        <v>46191.593055555553</v>
      </c>
      <c r="N243" s="1" t="s">
        <v>1036</v>
      </c>
      <c r="O243" s="1" t="s">
        <v>93</v>
      </c>
      <c r="P243" s="1" t="s">
        <v>271</v>
      </c>
      <c r="Q243" s="1" t="s">
        <v>286</v>
      </c>
      <c r="R243" s="1" t="s">
        <v>286</v>
      </c>
      <c r="S243" s="1" t="s">
        <v>9</v>
      </c>
      <c r="T243" s="1" t="s">
        <v>274</v>
      </c>
      <c r="U243" s="1" t="s">
        <v>148</v>
      </c>
      <c r="V243" s="1" t="s">
        <v>287</v>
      </c>
      <c r="W243" s="1" t="s">
        <v>288</v>
      </c>
      <c r="X243" s="1" t="s">
        <v>706</v>
      </c>
      <c r="Y243" s="1" t="s">
        <v>93</v>
      </c>
      <c r="Z243" s="1" t="s">
        <v>59</v>
      </c>
      <c r="AA243" s="1" t="s">
        <v>93</v>
      </c>
      <c r="AB243" s="1">
        <v>1959.768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  <c r="AH243" s="1">
        <v>13</v>
      </c>
      <c r="AI243" s="1" t="s">
        <v>290</v>
      </c>
      <c r="AJ243" s="1" t="s">
        <v>707</v>
      </c>
      <c r="AK243" s="1" t="s">
        <v>17</v>
      </c>
      <c r="AL243" s="1" t="s">
        <v>69</v>
      </c>
      <c r="AM243" s="1" t="s">
        <v>337</v>
      </c>
      <c r="AN243" s="1" t="s">
        <v>21</v>
      </c>
      <c r="AO243" s="1" t="s">
        <v>280</v>
      </c>
      <c r="AP243" s="1" t="s">
        <v>324</v>
      </c>
      <c r="AQ243" s="1" t="s">
        <v>27</v>
      </c>
    </row>
    <row r="244" spans="1:43" x14ac:dyDescent="0.3">
      <c r="A244" s="1">
        <v>24817135</v>
      </c>
      <c r="B244" s="1">
        <v>25656965</v>
      </c>
      <c r="C244" s="1" t="s">
        <v>266</v>
      </c>
      <c r="D244" s="4">
        <v>46198.644571759258</v>
      </c>
      <c r="E244" s="4">
        <v>46198.65016203704</v>
      </c>
      <c r="F244" s="1" t="s">
        <v>26</v>
      </c>
      <c r="G244" s="1" t="s">
        <v>26</v>
      </c>
      <c r="H244" s="1" t="s">
        <v>983</v>
      </c>
      <c r="I244" s="1" t="s">
        <v>17</v>
      </c>
      <c r="J244" s="1" t="s">
        <v>984</v>
      </c>
      <c r="K244" s="1" t="s">
        <v>963</v>
      </c>
      <c r="L244" s="1" t="s">
        <v>963</v>
      </c>
      <c r="M244" s="4">
        <v>46197.495833333327</v>
      </c>
      <c r="N244" s="1" t="s">
        <v>985</v>
      </c>
      <c r="O244" s="1" t="s">
        <v>93</v>
      </c>
      <c r="P244" s="1" t="s">
        <v>342</v>
      </c>
      <c r="Q244" s="1" t="s">
        <v>286</v>
      </c>
      <c r="R244" s="1" t="s">
        <v>286</v>
      </c>
      <c r="S244" s="1" t="s">
        <v>9</v>
      </c>
      <c r="T244" s="1" t="s">
        <v>274</v>
      </c>
      <c r="U244" s="1" t="s">
        <v>141</v>
      </c>
      <c r="V244" s="1" t="s">
        <v>581</v>
      </c>
      <c r="W244" s="1" t="s">
        <v>93</v>
      </c>
      <c r="X244" s="1" t="s">
        <v>383</v>
      </c>
      <c r="Y244" s="1" t="s">
        <v>93</v>
      </c>
      <c r="Z244" s="1" t="s">
        <v>47</v>
      </c>
      <c r="AA244" s="1" t="s">
        <v>93</v>
      </c>
      <c r="AB244" s="1">
        <v>756</v>
      </c>
      <c r="AC244" s="1">
        <v>0</v>
      </c>
      <c r="AD244" s="1">
        <v>0</v>
      </c>
      <c r="AE244" s="1">
        <v>0</v>
      </c>
      <c r="AF244" s="1">
        <v>0</v>
      </c>
      <c r="AG244" s="1">
        <v>0</v>
      </c>
      <c r="AH244" s="1">
        <v>0</v>
      </c>
      <c r="AI244" s="1" t="s">
        <v>290</v>
      </c>
      <c r="AJ244" s="1" t="s">
        <v>291</v>
      </c>
      <c r="AK244" s="1" t="s">
        <v>17</v>
      </c>
      <c r="AL244" s="1" t="s">
        <v>65</v>
      </c>
      <c r="AM244" s="1" t="s">
        <v>292</v>
      </c>
      <c r="AN244" s="1" t="s">
        <v>21</v>
      </c>
      <c r="AO244" s="1" t="s">
        <v>280</v>
      </c>
      <c r="AP244" s="1" t="s">
        <v>324</v>
      </c>
      <c r="AQ244" s="1" t="s">
        <v>20</v>
      </c>
    </row>
    <row r="245" spans="1:43" x14ac:dyDescent="0.3">
      <c r="A245" s="1">
        <v>24810594</v>
      </c>
      <c r="B245" s="1">
        <v>25651143</v>
      </c>
      <c r="C245" s="1" t="s">
        <v>266</v>
      </c>
      <c r="D245" s="4">
        <v>46197.610960648148</v>
      </c>
      <c r="E245" s="4">
        <v>46197.652499999997</v>
      </c>
      <c r="F245" s="1" t="s">
        <v>26</v>
      </c>
      <c r="G245" s="1" t="s">
        <v>26</v>
      </c>
      <c r="H245" s="1" t="s">
        <v>1141</v>
      </c>
      <c r="I245" s="1" t="s">
        <v>268</v>
      </c>
      <c r="J245" s="1" t="s">
        <v>709</v>
      </c>
      <c r="K245" s="1" t="s">
        <v>270</v>
      </c>
      <c r="L245" s="1" t="s">
        <v>270</v>
      </c>
      <c r="M245" s="4">
        <v>46197.456250000003</v>
      </c>
      <c r="N245" s="1">
        <v>115498</v>
      </c>
      <c r="O245" s="1" t="s">
        <v>93</v>
      </c>
      <c r="P245" s="1" t="s">
        <v>271</v>
      </c>
      <c r="Q245" s="1" t="s">
        <v>286</v>
      </c>
      <c r="R245" s="1" t="s">
        <v>286</v>
      </c>
      <c r="S245" s="1" t="s">
        <v>9</v>
      </c>
      <c r="T245" s="1" t="s">
        <v>274</v>
      </c>
      <c r="U245" s="1" t="s">
        <v>149</v>
      </c>
      <c r="V245" s="1" t="s">
        <v>710</v>
      </c>
      <c r="W245" s="1" t="s">
        <v>93</v>
      </c>
      <c r="X245" s="1" t="s">
        <v>711</v>
      </c>
      <c r="Y245" s="1" t="s">
        <v>93</v>
      </c>
      <c r="Z245" s="1" t="s">
        <v>48</v>
      </c>
      <c r="AA245" s="1" t="s">
        <v>93</v>
      </c>
      <c r="AB245" s="1">
        <v>1232</v>
      </c>
      <c r="AC245" s="1">
        <v>0</v>
      </c>
      <c r="AD245" s="1">
        <v>0</v>
      </c>
      <c r="AE245" s="1">
        <v>0</v>
      </c>
      <c r="AF245" s="1">
        <v>0</v>
      </c>
      <c r="AG245" s="1">
        <v>43.1</v>
      </c>
      <c r="AH245" s="1">
        <v>0</v>
      </c>
      <c r="AI245" s="1" t="s">
        <v>1142</v>
      </c>
      <c r="AJ245" s="1" t="s">
        <v>403</v>
      </c>
      <c r="AK245" s="1" t="s">
        <v>13</v>
      </c>
      <c r="AL245" s="1" t="s">
        <v>73</v>
      </c>
      <c r="AM245" s="1" t="s">
        <v>337</v>
      </c>
      <c r="AN245" s="1" t="s">
        <v>21</v>
      </c>
      <c r="AO245" s="1" t="s">
        <v>280</v>
      </c>
      <c r="AP245" s="1" t="s">
        <v>324</v>
      </c>
      <c r="AQ245" s="1" t="s">
        <v>125</v>
      </c>
    </row>
    <row r="246" spans="1:43" x14ac:dyDescent="0.3">
      <c r="A246" s="1">
        <v>24805408</v>
      </c>
      <c r="B246" s="1">
        <v>25646806</v>
      </c>
      <c r="C246" s="1" t="s">
        <v>266</v>
      </c>
      <c r="D246" s="4">
        <v>46196.690081018518</v>
      </c>
      <c r="E246" s="4">
        <v>46197.156967592593</v>
      </c>
      <c r="F246" s="1" t="s">
        <v>26</v>
      </c>
      <c r="G246" s="1" t="s">
        <v>26</v>
      </c>
      <c r="H246" s="1" t="s">
        <v>1143</v>
      </c>
      <c r="I246" s="1" t="s">
        <v>14</v>
      </c>
      <c r="J246" s="1" t="s">
        <v>717</v>
      </c>
      <c r="K246" s="1" t="s">
        <v>651</v>
      </c>
      <c r="L246" s="1" t="s">
        <v>651</v>
      </c>
      <c r="M246" s="4">
        <v>46196.791666666657</v>
      </c>
      <c r="N246" s="1">
        <v>4714240</v>
      </c>
      <c r="O246" s="1" t="s">
        <v>93</v>
      </c>
      <c r="P246" s="1" t="s">
        <v>342</v>
      </c>
      <c r="Q246" s="1" t="s">
        <v>303</v>
      </c>
      <c r="R246" s="1" t="s">
        <v>272</v>
      </c>
      <c r="S246" s="1" t="s">
        <v>9</v>
      </c>
      <c r="T246" s="1" t="s">
        <v>274</v>
      </c>
      <c r="U246" s="1" t="s">
        <v>142</v>
      </c>
      <c r="V246" s="1" t="s">
        <v>575</v>
      </c>
      <c r="W246" s="1" t="s">
        <v>93</v>
      </c>
      <c r="X246" s="1" t="s">
        <v>1144</v>
      </c>
      <c r="Y246" s="1" t="s">
        <v>93</v>
      </c>
      <c r="Z246" s="1" t="s">
        <v>50</v>
      </c>
      <c r="AA246" s="1" t="s">
        <v>93</v>
      </c>
      <c r="AB246" s="1">
        <v>165</v>
      </c>
      <c r="AC246" s="1">
        <v>0</v>
      </c>
      <c r="AD246" s="1">
        <v>0</v>
      </c>
      <c r="AE246" s="1">
        <v>0</v>
      </c>
      <c r="AF246" s="1">
        <v>0</v>
      </c>
      <c r="AG246" s="1">
        <v>0</v>
      </c>
      <c r="AH246" s="1">
        <v>0</v>
      </c>
      <c r="AI246" s="1" t="s">
        <v>1145</v>
      </c>
      <c r="AJ246" s="1" t="s">
        <v>707</v>
      </c>
      <c r="AK246" s="1" t="s">
        <v>14</v>
      </c>
      <c r="AL246" s="1" t="s">
        <v>69</v>
      </c>
      <c r="AM246" s="1" t="s">
        <v>337</v>
      </c>
      <c r="AN246" s="1" t="s">
        <v>21</v>
      </c>
      <c r="AO246" s="1" t="s">
        <v>280</v>
      </c>
      <c r="AP246" s="1" t="s">
        <v>324</v>
      </c>
      <c r="AQ246" s="1" t="s">
        <v>27</v>
      </c>
    </row>
    <row r="247" spans="1:43" x14ac:dyDescent="0.3">
      <c r="A247" s="1">
        <v>24805408</v>
      </c>
      <c r="B247" s="1">
        <v>25646807</v>
      </c>
      <c r="C247" s="1" t="s">
        <v>294</v>
      </c>
      <c r="D247" s="4">
        <v>46196.690081018518</v>
      </c>
      <c r="E247" s="4">
        <v>46197.156967592593</v>
      </c>
      <c r="F247" s="1" t="s">
        <v>26</v>
      </c>
      <c r="G247" s="1" t="s">
        <v>26</v>
      </c>
      <c r="H247" s="1" t="s">
        <v>1143</v>
      </c>
      <c r="I247" s="1" t="s">
        <v>14</v>
      </c>
      <c r="J247" s="1" t="s">
        <v>1146</v>
      </c>
      <c r="K247" s="1" t="s">
        <v>651</v>
      </c>
      <c r="L247" s="1" t="s">
        <v>651</v>
      </c>
      <c r="M247" s="4">
        <v>46196.791666666657</v>
      </c>
      <c r="N247" s="1">
        <v>4714240</v>
      </c>
      <c r="O247" s="1" t="s">
        <v>93</v>
      </c>
      <c r="P247" s="1" t="s">
        <v>342</v>
      </c>
      <c r="Q247" s="1" t="s">
        <v>303</v>
      </c>
      <c r="R247" s="1" t="s">
        <v>272</v>
      </c>
      <c r="S247" s="1" t="s">
        <v>9</v>
      </c>
      <c r="T247" s="1" t="s">
        <v>274</v>
      </c>
      <c r="U247" s="1" t="s">
        <v>142</v>
      </c>
      <c r="V247" s="1" t="s">
        <v>575</v>
      </c>
      <c r="W247" s="1" t="s">
        <v>93</v>
      </c>
      <c r="X247" s="1" t="s">
        <v>1144</v>
      </c>
      <c r="Y247" s="1" t="s">
        <v>93</v>
      </c>
      <c r="Z247" s="1" t="s">
        <v>50</v>
      </c>
      <c r="AA247" s="1" t="s">
        <v>93</v>
      </c>
      <c r="AB247" s="1">
        <v>165</v>
      </c>
      <c r="AC247" s="1">
        <v>0</v>
      </c>
      <c r="AD247" s="1">
        <v>0</v>
      </c>
      <c r="AE247" s="1">
        <v>0</v>
      </c>
      <c r="AF247" s="1">
        <v>0</v>
      </c>
      <c r="AG247" s="1">
        <v>0</v>
      </c>
      <c r="AH247" s="1">
        <v>0</v>
      </c>
      <c r="AI247" s="1" t="s">
        <v>1145</v>
      </c>
      <c r="AJ247" s="1" t="s">
        <v>707</v>
      </c>
      <c r="AK247" s="1" t="s">
        <v>14</v>
      </c>
      <c r="AL247" s="1" t="s">
        <v>69</v>
      </c>
      <c r="AM247" s="1" t="s">
        <v>337</v>
      </c>
      <c r="AN247" s="1" t="s">
        <v>21</v>
      </c>
      <c r="AO247" s="1" t="s">
        <v>280</v>
      </c>
      <c r="AP247" s="1" t="s">
        <v>324</v>
      </c>
      <c r="AQ247" s="1" t="s">
        <v>27</v>
      </c>
    </row>
    <row r="248" spans="1:43" x14ac:dyDescent="0.3">
      <c r="A248" s="1">
        <v>24817135</v>
      </c>
      <c r="B248" s="1">
        <v>25656967</v>
      </c>
      <c r="C248" s="1" t="s">
        <v>382</v>
      </c>
      <c r="D248" s="4">
        <v>46198.644571759258</v>
      </c>
      <c r="E248" s="4">
        <v>46198.65016203704</v>
      </c>
      <c r="F248" s="1" t="s">
        <v>26</v>
      </c>
      <c r="G248" s="1" t="s">
        <v>26</v>
      </c>
      <c r="H248" s="1" t="s">
        <v>983</v>
      </c>
      <c r="I248" s="1" t="s">
        <v>17</v>
      </c>
      <c r="J248" s="1" t="s">
        <v>984</v>
      </c>
      <c r="K248" s="1" t="s">
        <v>963</v>
      </c>
      <c r="L248" s="1" t="s">
        <v>963</v>
      </c>
      <c r="M248" s="4">
        <v>46197.495833333327</v>
      </c>
      <c r="N248" s="1" t="s">
        <v>985</v>
      </c>
      <c r="O248" s="1" t="s">
        <v>93</v>
      </c>
      <c r="P248" s="1" t="s">
        <v>342</v>
      </c>
      <c r="Q248" s="1" t="s">
        <v>286</v>
      </c>
      <c r="R248" s="1" t="s">
        <v>286</v>
      </c>
      <c r="S248" s="1" t="s">
        <v>9</v>
      </c>
      <c r="T248" s="1" t="s">
        <v>274</v>
      </c>
      <c r="U248" s="1" t="s">
        <v>141</v>
      </c>
      <c r="V248" s="1" t="s">
        <v>581</v>
      </c>
      <c r="W248" s="1" t="s">
        <v>93</v>
      </c>
      <c r="X248" s="1" t="s">
        <v>1147</v>
      </c>
      <c r="Y248" s="1" t="s">
        <v>93</v>
      </c>
      <c r="Z248" s="1" t="s">
        <v>47</v>
      </c>
      <c r="AA248" s="1" t="s">
        <v>93</v>
      </c>
      <c r="AB248" s="1">
        <v>262.5</v>
      </c>
      <c r="AC248" s="1">
        <v>0</v>
      </c>
      <c r="AD248" s="1">
        <v>0</v>
      </c>
      <c r="AE248" s="1">
        <v>0</v>
      </c>
      <c r="AF248" s="1">
        <v>0</v>
      </c>
      <c r="AG248" s="1">
        <v>0</v>
      </c>
      <c r="AH248" s="1">
        <v>0</v>
      </c>
      <c r="AI248" s="1" t="s">
        <v>290</v>
      </c>
      <c r="AJ248" s="1" t="s">
        <v>291</v>
      </c>
      <c r="AK248" s="1" t="s">
        <v>17</v>
      </c>
      <c r="AL248" s="1" t="s">
        <v>65</v>
      </c>
      <c r="AM248" s="1" t="s">
        <v>292</v>
      </c>
      <c r="AN248" s="1" t="s">
        <v>21</v>
      </c>
      <c r="AO248" s="1" t="s">
        <v>280</v>
      </c>
      <c r="AP248" s="1" t="s">
        <v>324</v>
      </c>
      <c r="AQ248" s="1" t="s">
        <v>20</v>
      </c>
    </row>
    <row r="249" spans="1:43" x14ac:dyDescent="0.3">
      <c r="A249" s="1">
        <v>24811643</v>
      </c>
      <c r="B249" s="1">
        <v>25652284</v>
      </c>
      <c r="C249" s="1" t="s">
        <v>266</v>
      </c>
      <c r="D249" s="4">
        <v>46197.717418981483</v>
      </c>
      <c r="E249" s="4">
        <v>46198.170416666668</v>
      </c>
      <c r="F249" s="1" t="s">
        <v>26</v>
      </c>
      <c r="G249" s="1" t="s">
        <v>26</v>
      </c>
      <c r="H249" s="1" t="s">
        <v>1148</v>
      </c>
      <c r="I249" s="1" t="s">
        <v>14</v>
      </c>
      <c r="J249" s="1" t="s">
        <v>717</v>
      </c>
      <c r="K249" s="1" t="s">
        <v>651</v>
      </c>
      <c r="L249" s="1" t="s">
        <v>651</v>
      </c>
      <c r="M249" s="4">
        <v>46172.791666666657</v>
      </c>
      <c r="N249" s="1">
        <v>4705364</v>
      </c>
      <c r="O249" s="1" t="s">
        <v>93</v>
      </c>
      <c r="P249" s="1" t="s">
        <v>342</v>
      </c>
      <c r="Q249" s="1" t="s">
        <v>286</v>
      </c>
      <c r="R249" s="1" t="s">
        <v>286</v>
      </c>
      <c r="S249" s="1" t="s">
        <v>9</v>
      </c>
      <c r="T249" s="1" t="s">
        <v>274</v>
      </c>
      <c r="U249" s="1" t="s">
        <v>142</v>
      </c>
      <c r="V249" s="1" t="s">
        <v>575</v>
      </c>
      <c r="W249" s="1" t="s">
        <v>93</v>
      </c>
      <c r="X249" s="1" t="s">
        <v>735</v>
      </c>
      <c r="Y249" s="1" t="s">
        <v>93</v>
      </c>
      <c r="Z249" s="1" t="s">
        <v>50</v>
      </c>
      <c r="AA249" s="1" t="s">
        <v>93</v>
      </c>
      <c r="AB249" s="1">
        <v>570</v>
      </c>
      <c r="AC249" s="1">
        <v>0</v>
      </c>
      <c r="AD249" s="1">
        <v>0</v>
      </c>
      <c r="AE249" s="1">
        <v>0</v>
      </c>
      <c r="AF249" s="1">
        <v>0</v>
      </c>
      <c r="AG249" s="1">
        <v>0</v>
      </c>
      <c r="AH249" s="1">
        <v>0</v>
      </c>
      <c r="AI249" s="1" t="s">
        <v>1149</v>
      </c>
      <c r="AJ249" s="1" t="s">
        <v>707</v>
      </c>
      <c r="AK249" s="1" t="s">
        <v>14</v>
      </c>
      <c r="AL249" s="1" t="s">
        <v>69</v>
      </c>
      <c r="AM249" s="1" t="s">
        <v>337</v>
      </c>
      <c r="AN249" s="1" t="s">
        <v>21</v>
      </c>
      <c r="AO249" s="1" t="s">
        <v>280</v>
      </c>
      <c r="AP249" s="1" t="s">
        <v>324</v>
      </c>
      <c r="AQ249" s="1" t="s">
        <v>27</v>
      </c>
    </row>
    <row r="250" spans="1:43" x14ac:dyDescent="0.3">
      <c r="A250" s="1">
        <v>24811643</v>
      </c>
      <c r="B250" s="1">
        <v>25652285</v>
      </c>
      <c r="C250" s="1" t="s">
        <v>294</v>
      </c>
      <c r="D250" s="4">
        <v>46197.717418981483</v>
      </c>
      <c r="E250" s="4">
        <v>46198.170416666668</v>
      </c>
      <c r="F250" s="1" t="s">
        <v>26</v>
      </c>
      <c r="G250" s="1" t="s">
        <v>26</v>
      </c>
      <c r="H250" s="1" t="s">
        <v>1148</v>
      </c>
      <c r="I250" s="1" t="s">
        <v>14</v>
      </c>
      <c r="J250" s="1" t="s">
        <v>1150</v>
      </c>
      <c r="K250" s="1" t="s">
        <v>651</v>
      </c>
      <c r="L250" s="1" t="s">
        <v>651</v>
      </c>
      <c r="M250" s="4">
        <v>46172.791666666657</v>
      </c>
      <c r="N250" s="1">
        <v>4705364</v>
      </c>
      <c r="O250" s="1" t="s">
        <v>93</v>
      </c>
      <c r="P250" s="1" t="s">
        <v>342</v>
      </c>
      <c r="Q250" s="1" t="s">
        <v>286</v>
      </c>
      <c r="R250" s="1" t="s">
        <v>286</v>
      </c>
      <c r="S250" s="1" t="s">
        <v>9</v>
      </c>
      <c r="T250" s="1" t="s">
        <v>274</v>
      </c>
      <c r="U250" s="1" t="s">
        <v>142</v>
      </c>
      <c r="V250" s="1" t="s">
        <v>575</v>
      </c>
      <c r="W250" s="1" t="s">
        <v>93</v>
      </c>
      <c r="X250" s="1" t="s">
        <v>735</v>
      </c>
      <c r="Y250" s="1" t="s">
        <v>93</v>
      </c>
      <c r="Z250" s="1" t="s">
        <v>50</v>
      </c>
      <c r="AA250" s="1" t="s">
        <v>93</v>
      </c>
      <c r="AB250" s="1">
        <v>570</v>
      </c>
      <c r="AC250" s="1">
        <v>0</v>
      </c>
      <c r="AD250" s="1">
        <v>0</v>
      </c>
      <c r="AE250" s="1">
        <v>0</v>
      </c>
      <c r="AF250" s="1">
        <v>0</v>
      </c>
      <c r="AG250" s="1">
        <v>0</v>
      </c>
      <c r="AH250" s="1">
        <v>0</v>
      </c>
      <c r="AI250" s="1" t="s">
        <v>1149</v>
      </c>
      <c r="AJ250" s="1" t="s">
        <v>707</v>
      </c>
      <c r="AK250" s="1" t="s">
        <v>14</v>
      </c>
      <c r="AL250" s="1" t="s">
        <v>69</v>
      </c>
      <c r="AM250" s="1" t="s">
        <v>337</v>
      </c>
      <c r="AN250" s="1" t="s">
        <v>21</v>
      </c>
      <c r="AO250" s="1" t="s">
        <v>280</v>
      </c>
      <c r="AP250" s="1" t="s">
        <v>324</v>
      </c>
      <c r="AQ250" s="1" t="s">
        <v>27</v>
      </c>
    </row>
    <row r="251" spans="1:43" x14ac:dyDescent="0.3">
      <c r="A251" s="1">
        <v>24817112</v>
      </c>
      <c r="B251" s="1">
        <v>25656937</v>
      </c>
      <c r="C251" s="1" t="s">
        <v>266</v>
      </c>
      <c r="D251" s="4">
        <v>46198.641192129631</v>
      </c>
      <c r="E251" s="4">
        <v>46199.442256944443</v>
      </c>
      <c r="F251" s="1" t="s">
        <v>26</v>
      </c>
      <c r="G251" s="1" t="s">
        <v>26</v>
      </c>
      <c r="H251" s="1" t="s">
        <v>1151</v>
      </c>
      <c r="I251" s="1" t="s">
        <v>14</v>
      </c>
      <c r="J251" s="1" t="s">
        <v>1152</v>
      </c>
      <c r="K251" s="1" t="s">
        <v>1015</v>
      </c>
      <c r="L251" s="1" t="s">
        <v>1015</v>
      </c>
      <c r="M251" s="4">
        <v>46198.630555555559</v>
      </c>
      <c r="N251" s="1">
        <v>4714986</v>
      </c>
      <c r="O251" s="1" t="s">
        <v>93</v>
      </c>
      <c r="P251" s="1" t="s">
        <v>342</v>
      </c>
      <c r="Q251" s="1" t="s">
        <v>286</v>
      </c>
      <c r="R251" s="1" t="s">
        <v>286</v>
      </c>
      <c r="S251" s="1" t="s">
        <v>9</v>
      </c>
      <c r="T251" s="1" t="s">
        <v>274</v>
      </c>
      <c r="U251" s="1" t="s">
        <v>189</v>
      </c>
      <c r="V251" s="1" t="s">
        <v>1016</v>
      </c>
      <c r="W251" s="1" t="s">
        <v>288</v>
      </c>
      <c r="X251" s="1" t="s">
        <v>1153</v>
      </c>
      <c r="Y251" s="1" t="s">
        <v>93</v>
      </c>
      <c r="Z251" s="1" t="s">
        <v>109</v>
      </c>
      <c r="AA251" s="1" t="s">
        <v>93</v>
      </c>
      <c r="AB251" s="1">
        <v>1215.99</v>
      </c>
      <c r="AC251" s="1">
        <v>0</v>
      </c>
      <c r="AD251" s="1">
        <v>0</v>
      </c>
      <c r="AE251" s="1">
        <v>0</v>
      </c>
      <c r="AF251" s="1">
        <v>0</v>
      </c>
      <c r="AG251" s="1">
        <v>0</v>
      </c>
      <c r="AH251" s="1">
        <v>34.79</v>
      </c>
      <c r="AI251" s="1" t="s">
        <v>1154</v>
      </c>
      <c r="AJ251" s="1" t="s">
        <v>1155</v>
      </c>
      <c r="AK251" s="1" t="s">
        <v>14</v>
      </c>
      <c r="AL251" s="1" t="s">
        <v>88</v>
      </c>
      <c r="AM251" s="1" t="s">
        <v>513</v>
      </c>
      <c r="AN251" s="1" t="s">
        <v>23</v>
      </c>
      <c r="AO251" s="1" t="s">
        <v>732</v>
      </c>
      <c r="AP251" s="1" t="s">
        <v>324</v>
      </c>
      <c r="AQ251" s="1" t="s">
        <v>27</v>
      </c>
    </row>
    <row r="252" spans="1:43" x14ac:dyDescent="0.3">
      <c r="A252" s="1">
        <v>24809434</v>
      </c>
      <c r="B252" s="1">
        <v>25649974</v>
      </c>
      <c r="C252" s="1" t="s">
        <v>266</v>
      </c>
      <c r="D252" s="4">
        <v>46197.46297453704</v>
      </c>
      <c r="E252" s="4">
        <v>46199.2578587963</v>
      </c>
      <c r="F252" s="1" t="s">
        <v>26</v>
      </c>
      <c r="G252" s="1" t="s">
        <v>26</v>
      </c>
      <c r="H252" s="1" t="s">
        <v>858</v>
      </c>
      <c r="I252" s="1" t="s">
        <v>17</v>
      </c>
      <c r="J252" s="1" t="s">
        <v>859</v>
      </c>
      <c r="K252" s="1" t="s">
        <v>744</v>
      </c>
      <c r="L252" s="1" t="s">
        <v>744</v>
      </c>
      <c r="M252" s="4">
        <v>46196.681250000001</v>
      </c>
      <c r="N252" s="1" t="s">
        <v>860</v>
      </c>
      <c r="O252" s="1" t="s">
        <v>93</v>
      </c>
      <c r="P252" s="1" t="s">
        <v>342</v>
      </c>
      <c r="Q252" s="1" t="s">
        <v>303</v>
      </c>
      <c r="R252" s="1" t="s">
        <v>272</v>
      </c>
      <c r="S252" s="1" t="s">
        <v>9</v>
      </c>
      <c r="T252" s="1" t="s">
        <v>274</v>
      </c>
      <c r="U252" s="1" t="s">
        <v>152</v>
      </c>
      <c r="V252" s="1" t="s">
        <v>354</v>
      </c>
      <c r="W252" s="1" t="s">
        <v>93</v>
      </c>
      <c r="X252" s="1" t="s">
        <v>1156</v>
      </c>
      <c r="Y252" s="1" t="s">
        <v>93</v>
      </c>
      <c r="Z252" s="1" t="s">
        <v>53</v>
      </c>
      <c r="AA252" s="1" t="s">
        <v>93</v>
      </c>
      <c r="AB252" s="1">
        <v>210</v>
      </c>
      <c r="AC252" s="1">
        <v>0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 t="s">
        <v>290</v>
      </c>
      <c r="AJ252" s="1" t="s">
        <v>291</v>
      </c>
      <c r="AK252" s="1" t="s">
        <v>17</v>
      </c>
      <c r="AL252" s="1" t="s">
        <v>65</v>
      </c>
      <c r="AM252" s="1" t="s">
        <v>292</v>
      </c>
      <c r="AN252" s="1" t="s">
        <v>21</v>
      </c>
      <c r="AO252" s="1" t="s">
        <v>280</v>
      </c>
      <c r="AP252" s="1" t="s">
        <v>324</v>
      </c>
      <c r="AQ252" s="1" t="s">
        <v>20</v>
      </c>
    </row>
    <row r="253" spans="1:43" x14ac:dyDescent="0.3">
      <c r="A253" s="1">
        <v>24829133</v>
      </c>
      <c r="B253" s="1">
        <v>25667554</v>
      </c>
      <c r="C253" s="1" t="s">
        <v>266</v>
      </c>
      <c r="D253" s="4">
        <v>46200.777060185188</v>
      </c>
      <c r="E253" s="4">
        <v>46206.134872685187</v>
      </c>
      <c r="F253" s="1" t="s">
        <v>22</v>
      </c>
      <c r="G253" s="1" t="s">
        <v>26</v>
      </c>
      <c r="H253" s="1" t="s">
        <v>1157</v>
      </c>
      <c r="I253" s="1" t="s">
        <v>16</v>
      </c>
      <c r="J253" s="1" t="s">
        <v>1158</v>
      </c>
      <c r="K253" s="1" t="s">
        <v>619</v>
      </c>
      <c r="L253" s="1" t="s">
        <v>619</v>
      </c>
      <c r="M253" s="4">
        <v>46186.759027777778</v>
      </c>
      <c r="N253" s="1" t="s">
        <v>1157</v>
      </c>
      <c r="O253" s="1" t="s">
        <v>93</v>
      </c>
      <c r="P253" s="1" t="s">
        <v>342</v>
      </c>
      <c r="Q253" s="1" t="s">
        <v>286</v>
      </c>
      <c r="R253" s="1" t="s">
        <v>286</v>
      </c>
      <c r="S253" s="1" t="s">
        <v>9</v>
      </c>
      <c r="T253" s="1" t="s">
        <v>274</v>
      </c>
      <c r="U253" s="1" t="s">
        <v>175</v>
      </c>
      <c r="V253" s="1" t="s">
        <v>343</v>
      </c>
      <c r="W253" s="1" t="s">
        <v>288</v>
      </c>
      <c r="X253" s="1" t="s">
        <v>1159</v>
      </c>
      <c r="Y253" s="1" t="s">
        <v>93</v>
      </c>
      <c r="Z253" s="1" t="s">
        <v>74</v>
      </c>
      <c r="AA253" s="1" t="s">
        <v>93</v>
      </c>
      <c r="AB253" s="1">
        <v>797.5</v>
      </c>
      <c r="AC253" s="1">
        <v>197.5</v>
      </c>
      <c r="AD253" s="1">
        <v>0</v>
      </c>
      <c r="AE253" s="1">
        <v>0</v>
      </c>
      <c r="AF253" s="1">
        <v>0</v>
      </c>
      <c r="AG253" s="1">
        <v>0</v>
      </c>
      <c r="AH253" s="1">
        <v>72</v>
      </c>
      <c r="AI253" s="1" t="s">
        <v>621</v>
      </c>
      <c r="AJ253" s="1" t="s">
        <v>322</v>
      </c>
      <c r="AK253" s="1" t="s">
        <v>16</v>
      </c>
      <c r="AL253" s="1" t="s">
        <v>67</v>
      </c>
      <c r="AM253" s="1" t="s">
        <v>323</v>
      </c>
      <c r="AN253" s="1" t="s">
        <v>21</v>
      </c>
      <c r="AO253" s="1" t="s">
        <v>280</v>
      </c>
      <c r="AP253" s="1" t="s">
        <v>324</v>
      </c>
      <c r="AQ253" s="1" t="s">
        <v>125</v>
      </c>
    </row>
    <row r="254" spans="1:43" x14ac:dyDescent="0.3">
      <c r="A254" s="1">
        <v>24829133</v>
      </c>
      <c r="B254" s="1">
        <v>25667599</v>
      </c>
      <c r="C254" s="1" t="s">
        <v>294</v>
      </c>
      <c r="D254" s="4">
        <v>46200.777060185188</v>
      </c>
      <c r="E254" s="4">
        <v>46206.134872685187</v>
      </c>
      <c r="F254" s="1" t="s">
        <v>22</v>
      </c>
      <c r="G254" s="1" t="s">
        <v>26</v>
      </c>
      <c r="H254" s="1" t="s">
        <v>1157</v>
      </c>
      <c r="I254" s="1" t="s">
        <v>16</v>
      </c>
      <c r="J254" s="1" t="s">
        <v>1160</v>
      </c>
      <c r="K254" s="1" t="s">
        <v>619</v>
      </c>
      <c r="L254" s="1" t="s">
        <v>619</v>
      </c>
      <c r="M254" s="4">
        <v>46186.759027777778</v>
      </c>
      <c r="N254" s="1" t="s">
        <v>93</v>
      </c>
      <c r="O254" s="1" t="s">
        <v>93</v>
      </c>
      <c r="P254" s="1" t="s">
        <v>342</v>
      </c>
      <c r="Q254" s="1" t="s">
        <v>286</v>
      </c>
      <c r="R254" s="1" t="s">
        <v>388</v>
      </c>
      <c r="S254" s="1" t="s">
        <v>9</v>
      </c>
      <c r="T254" s="1" t="s">
        <v>274</v>
      </c>
      <c r="U254" s="1" t="s">
        <v>175</v>
      </c>
      <c r="V254" s="1" t="s">
        <v>343</v>
      </c>
      <c r="W254" s="1" t="s">
        <v>288</v>
      </c>
      <c r="X254" s="1" t="s">
        <v>1159</v>
      </c>
      <c r="Y254" s="1" t="s">
        <v>93</v>
      </c>
      <c r="Z254" s="1" t="s">
        <v>74</v>
      </c>
      <c r="AA254" s="1" t="s">
        <v>93</v>
      </c>
      <c r="AB254" s="1">
        <v>797.9</v>
      </c>
      <c r="AC254" s="1">
        <v>197.9</v>
      </c>
      <c r="AD254" s="1">
        <v>0</v>
      </c>
      <c r="AE254" s="1">
        <v>0</v>
      </c>
      <c r="AF254" s="1">
        <v>0</v>
      </c>
      <c r="AG254" s="1">
        <v>0</v>
      </c>
      <c r="AH254" s="1">
        <v>0</v>
      </c>
      <c r="AI254" s="1" t="s">
        <v>621</v>
      </c>
      <c r="AJ254" s="1" t="s">
        <v>322</v>
      </c>
      <c r="AK254" s="1" t="s">
        <v>16</v>
      </c>
      <c r="AL254" s="1" t="s">
        <v>67</v>
      </c>
      <c r="AM254" s="1" t="s">
        <v>323</v>
      </c>
      <c r="AN254" s="1" t="s">
        <v>21</v>
      </c>
      <c r="AO254" s="1" t="s">
        <v>280</v>
      </c>
      <c r="AP254" s="1" t="s">
        <v>324</v>
      </c>
      <c r="AQ254" s="1" t="s">
        <v>125</v>
      </c>
    </row>
    <row r="255" spans="1:43" x14ac:dyDescent="0.3">
      <c r="A255" s="1">
        <v>24803461</v>
      </c>
      <c r="B255" s="1">
        <v>25644804</v>
      </c>
      <c r="C255" s="1" t="s">
        <v>294</v>
      </c>
      <c r="D255" s="4">
        <v>46196.513460648152</v>
      </c>
      <c r="E255" s="4">
        <v>46206.71565972222</v>
      </c>
      <c r="F255" s="1" t="s">
        <v>22</v>
      </c>
      <c r="G255" s="1" t="s">
        <v>26</v>
      </c>
      <c r="H255" s="1" t="s">
        <v>1036</v>
      </c>
      <c r="I255" s="1" t="s">
        <v>17</v>
      </c>
      <c r="J255" s="1" t="s">
        <v>1037</v>
      </c>
      <c r="K255" s="1" t="s">
        <v>472</v>
      </c>
      <c r="L255" s="1" t="s">
        <v>435</v>
      </c>
      <c r="M255" s="4">
        <v>46192</v>
      </c>
      <c r="N255" s="1" t="s">
        <v>1036</v>
      </c>
      <c r="O255" s="1" t="s">
        <v>93</v>
      </c>
      <c r="P255" s="1" t="s">
        <v>271</v>
      </c>
      <c r="Q255" s="1" t="s">
        <v>303</v>
      </c>
      <c r="R255" s="1" t="s">
        <v>272</v>
      </c>
      <c r="S255" s="1" t="s">
        <v>7</v>
      </c>
      <c r="T255" s="1" t="s">
        <v>274</v>
      </c>
      <c r="U255" s="1" t="s">
        <v>148</v>
      </c>
      <c r="V255" s="1" t="s">
        <v>287</v>
      </c>
      <c r="W255" s="1" t="s">
        <v>288</v>
      </c>
      <c r="X255" s="1" t="s">
        <v>1161</v>
      </c>
      <c r="Y255" s="1">
        <v>2615548730</v>
      </c>
      <c r="Z255" s="1" t="s">
        <v>59</v>
      </c>
      <c r="AA255" s="1" t="s">
        <v>93</v>
      </c>
      <c r="AB255" s="1">
        <v>1083.8699999999999</v>
      </c>
      <c r="AC255" s="1">
        <v>64.56</v>
      </c>
      <c r="AD255" s="1">
        <v>15.48</v>
      </c>
      <c r="AE255" s="1">
        <v>0</v>
      </c>
      <c r="AF255" s="1">
        <v>64.56</v>
      </c>
      <c r="AG255" s="1">
        <v>0</v>
      </c>
      <c r="AH255" s="1">
        <v>0</v>
      </c>
      <c r="AI255" s="1" t="s">
        <v>290</v>
      </c>
      <c r="AJ255" s="1" t="s">
        <v>1038</v>
      </c>
      <c r="AK255" s="1" t="s">
        <v>17</v>
      </c>
      <c r="AL255" s="1" t="s">
        <v>69</v>
      </c>
      <c r="AM255" s="1" t="s">
        <v>337</v>
      </c>
      <c r="AN255" s="1" t="s">
        <v>21</v>
      </c>
      <c r="AO255" s="1" t="s">
        <v>280</v>
      </c>
      <c r="AP255" s="1" t="s">
        <v>324</v>
      </c>
      <c r="AQ255" s="1" t="s">
        <v>27</v>
      </c>
    </row>
    <row r="256" spans="1:43" x14ac:dyDescent="0.3">
      <c r="A256" s="1">
        <v>24847547</v>
      </c>
      <c r="B256" s="1">
        <v>25684023</v>
      </c>
      <c r="C256" s="1" t="s">
        <v>266</v>
      </c>
      <c r="D256" s="4">
        <v>46204.441307870373</v>
      </c>
      <c r="E256" s="4">
        <v>46204.443402777782</v>
      </c>
      <c r="F256" s="1" t="s">
        <v>22</v>
      </c>
      <c r="G256" s="1" t="s">
        <v>22</v>
      </c>
      <c r="H256" s="1">
        <v>5652969</v>
      </c>
      <c r="I256" s="1" t="s">
        <v>18</v>
      </c>
      <c r="J256" s="1" t="s">
        <v>1162</v>
      </c>
      <c r="K256" s="1" t="s">
        <v>1022</v>
      </c>
      <c r="L256" s="1" t="s">
        <v>1022</v>
      </c>
      <c r="M256" s="4">
        <v>46204.435416666667</v>
      </c>
      <c r="N256" s="1" t="s">
        <v>93</v>
      </c>
      <c r="O256" s="1" t="s">
        <v>93</v>
      </c>
      <c r="P256" s="1" t="s">
        <v>342</v>
      </c>
      <c r="Q256" s="1" t="s">
        <v>320</v>
      </c>
      <c r="R256" s="1" t="s">
        <v>320</v>
      </c>
      <c r="S256" s="1" t="s">
        <v>9</v>
      </c>
      <c r="T256" s="1" t="s">
        <v>274</v>
      </c>
      <c r="U256" s="1" t="s">
        <v>178</v>
      </c>
      <c r="V256" s="1" t="s">
        <v>1163</v>
      </c>
      <c r="W256" s="1" t="s">
        <v>93</v>
      </c>
      <c r="X256" s="1" t="s">
        <v>93</v>
      </c>
      <c r="Y256" s="1" t="s">
        <v>93</v>
      </c>
      <c r="Z256" s="1" t="s">
        <v>43</v>
      </c>
      <c r="AA256" s="1" t="s">
        <v>93</v>
      </c>
      <c r="AB256" s="1">
        <v>797.09</v>
      </c>
      <c r="AC256" s="1">
        <v>0</v>
      </c>
      <c r="AD256" s="1">
        <v>0</v>
      </c>
      <c r="AE256" s="1">
        <v>0</v>
      </c>
      <c r="AF256" s="1">
        <v>0</v>
      </c>
      <c r="AG256" s="1">
        <v>0</v>
      </c>
      <c r="AH256" s="1">
        <v>0</v>
      </c>
      <c r="AI256" s="1" t="s">
        <v>1164</v>
      </c>
      <c r="AJ256" s="1" t="s">
        <v>410</v>
      </c>
      <c r="AK256" s="1" t="s">
        <v>43</v>
      </c>
      <c r="AL256" s="1" t="s">
        <v>65</v>
      </c>
      <c r="AM256" s="1" t="s">
        <v>292</v>
      </c>
      <c r="AN256" s="1" t="s">
        <v>21</v>
      </c>
      <c r="AO256" s="1" t="s">
        <v>280</v>
      </c>
      <c r="AP256" s="1" t="s">
        <v>810</v>
      </c>
      <c r="AQ256" s="1" t="s">
        <v>123</v>
      </c>
    </row>
    <row r="257" spans="1:43" x14ac:dyDescent="0.3">
      <c r="A257" s="1">
        <v>24840910</v>
      </c>
      <c r="B257" s="1">
        <v>25677069</v>
      </c>
      <c r="C257" s="1" t="s">
        <v>266</v>
      </c>
      <c r="D257" s="4">
        <v>46203.418912037043</v>
      </c>
      <c r="E257" s="4">
        <v>46203.421249999999</v>
      </c>
      <c r="F257" s="1" t="s">
        <v>24</v>
      </c>
      <c r="G257" s="1" t="s">
        <v>24</v>
      </c>
      <c r="H257" s="1">
        <v>4715922</v>
      </c>
      <c r="I257" s="1" t="s">
        <v>14</v>
      </c>
      <c r="J257" s="1" t="s">
        <v>1165</v>
      </c>
      <c r="K257" s="1" t="s">
        <v>1166</v>
      </c>
      <c r="L257" s="1" t="s">
        <v>1166</v>
      </c>
      <c r="M257" s="4">
        <v>46203.5</v>
      </c>
      <c r="N257" s="1">
        <v>4715922</v>
      </c>
      <c r="O257" s="1" t="s">
        <v>93</v>
      </c>
      <c r="P257" s="1" t="s">
        <v>342</v>
      </c>
      <c r="Q257" s="1" t="s">
        <v>286</v>
      </c>
      <c r="R257" s="1" t="s">
        <v>286</v>
      </c>
      <c r="S257" s="1" t="s">
        <v>9</v>
      </c>
      <c r="T257" s="1" t="s">
        <v>274</v>
      </c>
      <c r="U257" s="1" t="s">
        <v>184</v>
      </c>
      <c r="V257" s="1" t="s">
        <v>772</v>
      </c>
      <c r="W257" s="1" t="s">
        <v>93</v>
      </c>
      <c r="X257" s="1" t="s">
        <v>93</v>
      </c>
      <c r="Y257" s="1" t="s">
        <v>93</v>
      </c>
      <c r="Z257" s="1" t="s">
        <v>103</v>
      </c>
      <c r="AA257" s="1" t="s">
        <v>93</v>
      </c>
      <c r="AB257" s="1">
        <v>150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 t="s">
        <v>1167</v>
      </c>
      <c r="AJ257" s="1" t="s">
        <v>410</v>
      </c>
      <c r="AK257" s="1" t="s">
        <v>14</v>
      </c>
      <c r="AL257" s="1" t="s">
        <v>65</v>
      </c>
      <c r="AM257" s="1" t="s">
        <v>292</v>
      </c>
      <c r="AN257" s="1" t="s">
        <v>21</v>
      </c>
      <c r="AO257" s="1" t="s">
        <v>293</v>
      </c>
      <c r="AP257" s="1" t="s">
        <v>281</v>
      </c>
      <c r="AQ257" s="1" t="s">
        <v>34</v>
      </c>
    </row>
    <row r="258" spans="1:43" x14ac:dyDescent="0.3">
      <c r="A258" s="1">
        <v>24860181</v>
      </c>
      <c r="B258" s="1">
        <v>25698695</v>
      </c>
      <c r="C258" s="1" t="s">
        <v>266</v>
      </c>
      <c r="D258" s="4">
        <v>46206.38385416667</v>
      </c>
      <c r="E258" s="4">
        <v>46206.386122685188</v>
      </c>
      <c r="F258" s="1" t="s">
        <v>22</v>
      </c>
      <c r="G258" s="1" t="s">
        <v>22</v>
      </c>
      <c r="H258" s="1" t="s">
        <v>1168</v>
      </c>
      <c r="I258" s="1" t="s">
        <v>14</v>
      </c>
      <c r="J258" s="1" t="s">
        <v>1169</v>
      </c>
      <c r="K258" s="1" t="s">
        <v>770</v>
      </c>
      <c r="L258" s="1" t="s">
        <v>770</v>
      </c>
      <c r="M258" s="4">
        <v>46206.380555555559</v>
      </c>
      <c r="N258" s="1">
        <v>4716868</v>
      </c>
      <c r="O258" s="1" t="s">
        <v>1170</v>
      </c>
      <c r="P258" s="1" t="s">
        <v>342</v>
      </c>
      <c r="Q258" s="1" t="s">
        <v>388</v>
      </c>
      <c r="R258" s="1" t="s">
        <v>388</v>
      </c>
      <c r="S258" s="1" t="s">
        <v>8</v>
      </c>
      <c r="T258" s="1" t="s">
        <v>274</v>
      </c>
      <c r="U258" s="1" t="s">
        <v>219</v>
      </c>
      <c r="V258" s="1" t="s">
        <v>1171</v>
      </c>
      <c r="W258" s="1" t="s">
        <v>93</v>
      </c>
      <c r="X258" s="1" t="s">
        <v>93</v>
      </c>
      <c r="Y258" s="1" t="s">
        <v>93</v>
      </c>
      <c r="Z258" s="1" t="s">
        <v>107</v>
      </c>
      <c r="AA258" s="1" t="s">
        <v>93</v>
      </c>
      <c r="AB258" s="1">
        <v>494.55</v>
      </c>
      <c r="AC258" s="1">
        <v>0</v>
      </c>
      <c r="AD258" s="1">
        <v>0</v>
      </c>
      <c r="AE258" s="1">
        <v>0</v>
      </c>
      <c r="AF258" s="1">
        <v>0</v>
      </c>
      <c r="AG258" s="1">
        <v>0</v>
      </c>
      <c r="AH258" s="1">
        <v>0</v>
      </c>
      <c r="AI258" s="1" t="s">
        <v>1172</v>
      </c>
      <c r="AJ258" s="1" t="s">
        <v>410</v>
      </c>
      <c r="AK258" s="1" t="s">
        <v>14</v>
      </c>
      <c r="AL258" s="1" t="s">
        <v>65</v>
      </c>
      <c r="AM258" s="1" t="s">
        <v>292</v>
      </c>
      <c r="AN258" s="1" t="s">
        <v>21</v>
      </c>
      <c r="AO258" s="1" t="s">
        <v>280</v>
      </c>
      <c r="AP258" s="1" t="s">
        <v>324</v>
      </c>
      <c r="AQ258" s="1" t="s">
        <v>20</v>
      </c>
    </row>
    <row r="259" spans="1:43" x14ac:dyDescent="0.3">
      <c r="A259" s="1">
        <v>24857366</v>
      </c>
      <c r="B259" s="1">
        <v>25695372</v>
      </c>
      <c r="C259" s="1" t="s">
        <v>266</v>
      </c>
      <c r="D259" s="4">
        <v>46205.757997685178</v>
      </c>
      <c r="E259" s="4">
        <v>46205.838541666657</v>
      </c>
      <c r="F259" s="1" t="s">
        <v>22</v>
      </c>
      <c r="G259" s="1" t="s">
        <v>22</v>
      </c>
      <c r="H259" s="1" t="s">
        <v>1173</v>
      </c>
      <c r="I259" s="1" t="s">
        <v>268</v>
      </c>
      <c r="J259" s="1" t="s">
        <v>1174</v>
      </c>
      <c r="K259" s="1" t="s">
        <v>270</v>
      </c>
      <c r="L259" s="1" t="s">
        <v>270</v>
      </c>
      <c r="M259" s="4">
        <v>46205.477083333331</v>
      </c>
      <c r="N259" s="1">
        <v>21589</v>
      </c>
      <c r="O259" s="1" t="s">
        <v>782</v>
      </c>
      <c r="P259" s="1" t="s">
        <v>271</v>
      </c>
      <c r="Q259" s="1" t="s">
        <v>303</v>
      </c>
      <c r="R259" s="1" t="s">
        <v>272</v>
      </c>
      <c r="S259" s="1" t="s">
        <v>8</v>
      </c>
      <c r="T259" s="1" t="s">
        <v>274</v>
      </c>
      <c r="U259" s="1" t="s">
        <v>147</v>
      </c>
      <c r="V259" s="1" t="s">
        <v>728</v>
      </c>
      <c r="W259" s="1" t="s">
        <v>93</v>
      </c>
      <c r="X259" s="1" t="s">
        <v>93</v>
      </c>
      <c r="Y259" s="1" t="s">
        <v>93</v>
      </c>
      <c r="Z259" s="1" t="s">
        <v>58</v>
      </c>
      <c r="AA259" s="1" t="s">
        <v>93</v>
      </c>
      <c r="AB259" s="1">
        <v>3563.3393999999998</v>
      </c>
      <c r="AC259" s="1">
        <v>0</v>
      </c>
      <c r="AD259" s="1">
        <v>0</v>
      </c>
      <c r="AE259" s="1">
        <v>0</v>
      </c>
      <c r="AF259" s="1">
        <v>0</v>
      </c>
      <c r="AG259" s="1">
        <v>0</v>
      </c>
      <c r="AH259" s="1">
        <v>0</v>
      </c>
      <c r="AI259" s="1" t="s">
        <v>1175</v>
      </c>
      <c r="AJ259" s="1" t="s">
        <v>410</v>
      </c>
      <c r="AK259" s="1" t="s">
        <v>13</v>
      </c>
      <c r="AL259" s="1" t="s">
        <v>65</v>
      </c>
      <c r="AM259" s="1" t="s">
        <v>292</v>
      </c>
      <c r="AN259" s="1" t="s">
        <v>21</v>
      </c>
      <c r="AO259" s="1" t="s">
        <v>280</v>
      </c>
      <c r="AP259" s="1" t="s">
        <v>324</v>
      </c>
      <c r="AQ259" s="1" t="s">
        <v>20</v>
      </c>
    </row>
    <row r="260" spans="1:43" x14ac:dyDescent="0.3">
      <c r="A260" s="1">
        <v>24861452</v>
      </c>
      <c r="B260" s="1">
        <v>25700248</v>
      </c>
      <c r="C260" s="1" t="s">
        <v>266</v>
      </c>
      <c r="D260" s="4">
        <v>46206.525995370372</v>
      </c>
      <c r="E260" s="4">
        <v>46206.531111111108</v>
      </c>
      <c r="F260" s="1" t="s">
        <v>22</v>
      </c>
      <c r="G260" s="1" t="s">
        <v>22</v>
      </c>
      <c r="H260" s="1" t="s">
        <v>1176</v>
      </c>
      <c r="I260" s="1" t="s">
        <v>268</v>
      </c>
      <c r="J260" s="1" t="s">
        <v>1177</v>
      </c>
      <c r="K260" s="1" t="s">
        <v>270</v>
      </c>
      <c r="L260" s="1" t="s">
        <v>270</v>
      </c>
      <c r="M260" s="4">
        <v>46206.446527777778</v>
      </c>
      <c r="N260" s="1">
        <v>21620</v>
      </c>
      <c r="O260" s="1" t="s">
        <v>1178</v>
      </c>
      <c r="P260" s="1" t="s">
        <v>271</v>
      </c>
      <c r="Q260" s="1" t="s">
        <v>303</v>
      </c>
      <c r="R260" s="1" t="s">
        <v>272</v>
      </c>
      <c r="S260" s="1" t="s">
        <v>8</v>
      </c>
      <c r="T260" s="1" t="s">
        <v>274</v>
      </c>
      <c r="U260" s="1" t="s">
        <v>147</v>
      </c>
      <c r="V260" s="1" t="s">
        <v>728</v>
      </c>
      <c r="W260" s="1" t="s">
        <v>93</v>
      </c>
      <c r="X260" s="1" t="s">
        <v>93</v>
      </c>
      <c r="Y260" s="1" t="s">
        <v>93</v>
      </c>
      <c r="Z260" s="1" t="s">
        <v>58</v>
      </c>
      <c r="AA260" s="1" t="s">
        <v>93</v>
      </c>
      <c r="AB260" s="1">
        <v>170.97</v>
      </c>
      <c r="AC260" s="1">
        <v>0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 t="s">
        <v>1179</v>
      </c>
      <c r="AJ260" s="1" t="s">
        <v>410</v>
      </c>
      <c r="AK260" s="1" t="s">
        <v>13</v>
      </c>
      <c r="AL260" s="1" t="s">
        <v>65</v>
      </c>
      <c r="AM260" s="1" t="s">
        <v>292</v>
      </c>
      <c r="AN260" s="1" t="s">
        <v>21</v>
      </c>
      <c r="AO260" s="1" t="s">
        <v>280</v>
      </c>
      <c r="AP260" s="1" t="s">
        <v>324</v>
      </c>
      <c r="AQ260" s="1" t="s">
        <v>20</v>
      </c>
    </row>
    <row r="261" spans="1:43" x14ac:dyDescent="0.3">
      <c r="A261" s="1">
        <v>24861459</v>
      </c>
      <c r="B261" s="1">
        <v>25700256</v>
      </c>
      <c r="C261" s="1" t="s">
        <v>266</v>
      </c>
      <c r="D261" s="4">
        <v>46206.526331018518</v>
      </c>
      <c r="E261" s="4">
        <v>46206.53334490741</v>
      </c>
      <c r="F261" s="1" t="s">
        <v>22</v>
      </c>
      <c r="G261" s="1" t="s">
        <v>22</v>
      </c>
      <c r="H261" s="1" t="s">
        <v>1180</v>
      </c>
      <c r="I261" s="1" t="s">
        <v>268</v>
      </c>
      <c r="J261" s="1" t="s">
        <v>1181</v>
      </c>
      <c r="K261" s="1" t="s">
        <v>270</v>
      </c>
      <c r="L261" s="1" t="s">
        <v>270</v>
      </c>
      <c r="M261" s="4">
        <v>46206.415972222218</v>
      </c>
      <c r="N261" s="1">
        <v>21616</v>
      </c>
      <c r="O261" s="1" t="s">
        <v>1182</v>
      </c>
      <c r="P261" s="1" t="s">
        <v>271</v>
      </c>
      <c r="Q261" s="1" t="s">
        <v>303</v>
      </c>
      <c r="R261" s="1" t="s">
        <v>272</v>
      </c>
      <c r="S261" s="1" t="s">
        <v>8</v>
      </c>
      <c r="T261" s="1" t="s">
        <v>274</v>
      </c>
      <c r="U261" s="1" t="s">
        <v>147</v>
      </c>
      <c r="V261" s="1" t="s">
        <v>728</v>
      </c>
      <c r="W261" s="1" t="s">
        <v>93</v>
      </c>
      <c r="X261" s="1" t="s">
        <v>93</v>
      </c>
      <c r="Y261" s="1" t="s">
        <v>93</v>
      </c>
      <c r="Z261" s="1" t="s">
        <v>58</v>
      </c>
      <c r="AA261" s="1" t="s">
        <v>93</v>
      </c>
      <c r="AB261" s="1">
        <v>747.23009999999999</v>
      </c>
      <c r="AC261" s="1">
        <v>0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 t="s">
        <v>1183</v>
      </c>
      <c r="AJ261" s="1" t="s">
        <v>410</v>
      </c>
      <c r="AK261" s="1" t="s">
        <v>13</v>
      </c>
      <c r="AL261" s="1" t="s">
        <v>65</v>
      </c>
      <c r="AM261" s="1" t="s">
        <v>292</v>
      </c>
      <c r="AN261" s="1" t="s">
        <v>21</v>
      </c>
      <c r="AO261" s="1" t="s">
        <v>280</v>
      </c>
      <c r="AP261" s="1" t="s">
        <v>324</v>
      </c>
      <c r="AQ261" s="1" t="s">
        <v>20</v>
      </c>
    </row>
    <row r="262" spans="1:43" x14ac:dyDescent="0.3">
      <c r="A262" s="1">
        <v>24861468</v>
      </c>
      <c r="B262" s="1">
        <v>25700266</v>
      </c>
      <c r="C262" s="1" t="s">
        <v>266</v>
      </c>
      <c r="D262" s="4">
        <v>46206.526805555557</v>
      </c>
      <c r="E262" s="4">
        <v>46206.533483796287</v>
      </c>
      <c r="F262" s="1" t="s">
        <v>22</v>
      </c>
      <c r="G262" s="1" t="s">
        <v>22</v>
      </c>
      <c r="H262" s="1" t="s">
        <v>1184</v>
      </c>
      <c r="I262" s="1" t="s">
        <v>268</v>
      </c>
      <c r="J262" s="1" t="s">
        <v>1185</v>
      </c>
      <c r="K262" s="1" t="s">
        <v>727</v>
      </c>
      <c r="L262" s="1" t="s">
        <v>727</v>
      </c>
      <c r="M262" s="4">
        <v>46206.434027777781</v>
      </c>
      <c r="N262" s="1">
        <v>21491</v>
      </c>
      <c r="O262" s="1" t="s">
        <v>93</v>
      </c>
      <c r="P262" s="1" t="s">
        <v>271</v>
      </c>
      <c r="Q262" s="1" t="s">
        <v>286</v>
      </c>
      <c r="R262" s="1" t="s">
        <v>286</v>
      </c>
      <c r="S262" s="1" t="s">
        <v>9</v>
      </c>
      <c r="T262" s="1" t="s">
        <v>274</v>
      </c>
      <c r="U262" s="1" t="s">
        <v>147</v>
      </c>
      <c r="V262" s="1" t="s">
        <v>728</v>
      </c>
      <c r="W262" s="1" t="s">
        <v>93</v>
      </c>
      <c r="X262" s="1" t="s">
        <v>93</v>
      </c>
      <c r="Y262" s="1" t="s">
        <v>93</v>
      </c>
      <c r="Z262" s="1" t="s">
        <v>58</v>
      </c>
      <c r="AA262" s="1" t="s">
        <v>93</v>
      </c>
      <c r="AB262" s="1">
        <v>1747.77</v>
      </c>
      <c r="AC262" s="1">
        <v>0</v>
      </c>
      <c r="AD262" s="1">
        <v>0</v>
      </c>
      <c r="AE262" s="1">
        <v>0</v>
      </c>
      <c r="AF262" s="1">
        <v>0</v>
      </c>
      <c r="AG262" s="1">
        <v>218.5</v>
      </c>
      <c r="AH262" s="1">
        <v>0</v>
      </c>
      <c r="AI262" s="1" t="s">
        <v>1186</v>
      </c>
      <c r="AJ262" s="1" t="s">
        <v>410</v>
      </c>
      <c r="AK262" s="1" t="s">
        <v>13</v>
      </c>
      <c r="AL262" s="1" t="s">
        <v>65</v>
      </c>
      <c r="AM262" s="1" t="s">
        <v>292</v>
      </c>
      <c r="AN262" s="1" t="s">
        <v>21</v>
      </c>
      <c r="AO262" s="1" t="s">
        <v>293</v>
      </c>
      <c r="AP262" s="1" t="s">
        <v>281</v>
      </c>
      <c r="AQ262" s="1" t="s">
        <v>34</v>
      </c>
    </row>
    <row r="263" spans="1:43" x14ac:dyDescent="0.3">
      <c r="A263" s="1">
        <v>24859267</v>
      </c>
      <c r="B263" s="1">
        <v>25697759</v>
      </c>
      <c r="C263" s="1" t="s">
        <v>266</v>
      </c>
      <c r="D263" s="4">
        <v>46205.971608796302</v>
      </c>
      <c r="E263" s="4">
        <v>46205.98542824074</v>
      </c>
      <c r="F263" s="1" t="s">
        <v>22</v>
      </c>
      <c r="G263" s="1" t="s">
        <v>22</v>
      </c>
      <c r="H263" s="1" t="s">
        <v>1187</v>
      </c>
      <c r="I263" s="1" t="s">
        <v>268</v>
      </c>
      <c r="J263" s="1" t="s">
        <v>1188</v>
      </c>
      <c r="K263" s="1" t="s">
        <v>270</v>
      </c>
      <c r="L263" s="1" t="s">
        <v>270</v>
      </c>
      <c r="M263" s="4">
        <v>46205.741666666669</v>
      </c>
      <c r="N263" s="1">
        <v>22655</v>
      </c>
      <c r="O263" s="1" t="s">
        <v>855</v>
      </c>
      <c r="P263" s="1" t="s">
        <v>271</v>
      </c>
      <c r="Q263" s="1" t="s">
        <v>303</v>
      </c>
      <c r="R263" s="1" t="s">
        <v>272</v>
      </c>
      <c r="S263" s="1" t="s">
        <v>8</v>
      </c>
      <c r="T263" s="1" t="s">
        <v>274</v>
      </c>
      <c r="U263" s="1" t="s">
        <v>201</v>
      </c>
      <c r="V263" s="1" t="s">
        <v>1189</v>
      </c>
      <c r="W263" s="1" t="s">
        <v>93</v>
      </c>
      <c r="X263" s="1" t="s">
        <v>93</v>
      </c>
      <c r="Y263" s="1" t="s">
        <v>93</v>
      </c>
      <c r="Z263" s="1" t="s">
        <v>121</v>
      </c>
      <c r="AA263" s="1" t="s">
        <v>93</v>
      </c>
      <c r="AB263" s="1">
        <v>590.11</v>
      </c>
      <c r="AC263" s="1">
        <v>0</v>
      </c>
      <c r="AD263" s="1">
        <v>0</v>
      </c>
      <c r="AE263" s="1">
        <v>0</v>
      </c>
      <c r="AF263" s="1">
        <v>0</v>
      </c>
      <c r="AG263" s="1">
        <v>0</v>
      </c>
      <c r="AH263" s="1">
        <v>0</v>
      </c>
      <c r="AI263" s="1" t="s">
        <v>1190</v>
      </c>
      <c r="AJ263" s="1" t="s">
        <v>410</v>
      </c>
      <c r="AK263" s="1" t="s">
        <v>13</v>
      </c>
      <c r="AL263" s="1" t="s">
        <v>65</v>
      </c>
      <c r="AM263" s="1" t="s">
        <v>292</v>
      </c>
      <c r="AN263" s="1" t="s">
        <v>21</v>
      </c>
      <c r="AO263" s="1" t="s">
        <v>280</v>
      </c>
      <c r="AP263" s="1" t="s">
        <v>324</v>
      </c>
      <c r="AQ263" s="1" t="s">
        <v>20</v>
      </c>
    </row>
    <row r="264" spans="1:43" x14ac:dyDescent="0.3">
      <c r="A264" s="1">
        <v>24849274</v>
      </c>
      <c r="B264" s="1">
        <v>25686024</v>
      </c>
      <c r="C264" s="1" t="s">
        <v>266</v>
      </c>
      <c r="D264" s="4">
        <v>46204.67396990741</v>
      </c>
      <c r="E264" s="4">
        <v>46204.676458333342</v>
      </c>
      <c r="F264" s="1" t="s">
        <v>22</v>
      </c>
      <c r="G264" s="1" t="s">
        <v>22</v>
      </c>
      <c r="H264" s="1" t="s">
        <v>1191</v>
      </c>
      <c r="I264" s="1" t="s">
        <v>18</v>
      </c>
      <c r="J264" s="1" t="s">
        <v>1192</v>
      </c>
      <c r="K264" s="1" t="s">
        <v>807</v>
      </c>
      <c r="L264" s="1" t="s">
        <v>807</v>
      </c>
      <c r="M264" s="4">
        <v>46204.65347222222</v>
      </c>
      <c r="N264" s="1" t="s">
        <v>93</v>
      </c>
      <c r="O264" s="1" t="s">
        <v>93</v>
      </c>
      <c r="P264" s="1" t="s">
        <v>342</v>
      </c>
      <c r="Q264" s="1" t="s">
        <v>320</v>
      </c>
      <c r="R264" s="1" t="s">
        <v>320</v>
      </c>
      <c r="S264" s="1" t="s">
        <v>9</v>
      </c>
      <c r="T264" s="1" t="s">
        <v>274</v>
      </c>
      <c r="U264" s="1" t="s">
        <v>179</v>
      </c>
      <c r="V264" s="1" t="s">
        <v>808</v>
      </c>
      <c r="W264" s="1" t="s">
        <v>93</v>
      </c>
      <c r="X264" s="1" t="s">
        <v>93</v>
      </c>
      <c r="Y264" s="1" t="s">
        <v>93</v>
      </c>
      <c r="Z264" s="1" t="s">
        <v>43</v>
      </c>
      <c r="AA264" s="1" t="s">
        <v>93</v>
      </c>
      <c r="AB264" s="1">
        <v>2997.52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 t="s">
        <v>1193</v>
      </c>
      <c r="AJ264" s="1" t="s">
        <v>410</v>
      </c>
      <c r="AK264" s="1" t="s">
        <v>43</v>
      </c>
      <c r="AL264" s="1" t="s">
        <v>65</v>
      </c>
      <c r="AM264" s="1" t="s">
        <v>292</v>
      </c>
      <c r="AN264" s="1" t="s">
        <v>21</v>
      </c>
      <c r="AO264" s="1" t="s">
        <v>280</v>
      </c>
      <c r="AP264" s="1" t="s">
        <v>810</v>
      </c>
      <c r="AQ264" s="1" t="s">
        <v>123</v>
      </c>
    </row>
    <row r="265" spans="1:43" x14ac:dyDescent="0.3">
      <c r="A265" s="1">
        <v>24860699</v>
      </c>
      <c r="B265" s="1">
        <v>25699390</v>
      </c>
      <c r="C265" s="1" t="s">
        <v>266</v>
      </c>
      <c r="D265" s="4">
        <v>46206.465254629627</v>
      </c>
      <c r="E265" s="4">
        <v>46206.466979166667</v>
      </c>
      <c r="F265" s="1" t="s">
        <v>22</v>
      </c>
      <c r="G265" s="1" t="s">
        <v>22</v>
      </c>
      <c r="H265" s="1">
        <v>2119764990</v>
      </c>
      <c r="I265" s="1" t="s">
        <v>18</v>
      </c>
      <c r="J265" s="1" t="s">
        <v>1194</v>
      </c>
      <c r="K265" s="1" t="s">
        <v>807</v>
      </c>
      <c r="L265" s="1" t="s">
        <v>807</v>
      </c>
      <c r="M265" s="4">
        <v>46206.449305555558</v>
      </c>
      <c r="N265" s="1" t="s">
        <v>93</v>
      </c>
      <c r="O265" s="1" t="s">
        <v>93</v>
      </c>
      <c r="P265" s="1" t="s">
        <v>342</v>
      </c>
      <c r="Q265" s="1" t="s">
        <v>320</v>
      </c>
      <c r="R265" s="1" t="s">
        <v>320</v>
      </c>
      <c r="S265" s="1" t="s">
        <v>9</v>
      </c>
      <c r="T265" s="1" t="s">
        <v>274</v>
      </c>
      <c r="U265" s="1" t="s">
        <v>179</v>
      </c>
      <c r="V265" s="1" t="s">
        <v>808</v>
      </c>
      <c r="W265" s="1" t="s">
        <v>93</v>
      </c>
      <c r="X265" s="1" t="s">
        <v>93</v>
      </c>
      <c r="Y265" s="1" t="s">
        <v>93</v>
      </c>
      <c r="Z265" s="1" t="s">
        <v>43</v>
      </c>
      <c r="AA265" s="1" t="s">
        <v>93</v>
      </c>
      <c r="AB265" s="1">
        <v>844</v>
      </c>
      <c r="AC265" s="1">
        <v>0</v>
      </c>
      <c r="AD265" s="1">
        <v>0</v>
      </c>
      <c r="AE265" s="1">
        <v>0</v>
      </c>
      <c r="AF265" s="1">
        <v>0</v>
      </c>
      <c r="AG265" s="1">
        <v>0</v>
      </c>
      <c r="AH265" s="1">
        <v>0</v>
      </c>
      <c r="AI265" s="1" t="s">
        <v>1195</v>
      </c>
      <c r="AJ265" s="1" t="s">
        <v>410</v>
      </c>
      <c r="AK265" s="1" t="s">
        <v>43</v>
      </c>
      <c r="AL265" s="1" t="s">
        <v>65</v>
      </c>
      <c r="AM265" s="1" t="s">
        <v>292</v>
      </c>
      <c r="AN265" s="1" t="s">
        <v>21</v>
      </c>
      <c r="AO265" s="1" t="s">
        <v>280</v>
      </c>
      <c r="AP265" s="1" t="s">
        <v>810</v>
      </c>
      <c r="AQ265" s="1" t="s">
        <v>123</v>
      </c>
    </row>
    <row r="266" spans="1:43" x14ac:dyDescent="0.3">
      <c r="A266" s="1">
        <v>24845307</v>
      </c>
      <c r="B266" s="1">
        <v>25681706</v>
      </c>
      <c r="C266" s="1" t="s">
        <v>266</v>
      </c>
      <c r="D266" s="4">
        <v>46203.872824074067</v>
      </c>
      <c r="E266" s="4">
        <v>46203.921168981477</v>
      </c>
      <c r="F266" s="1" t="s">
        <v>24</v>
      </c>
      <c r="G266" s="1" t="s">
        <v>24</v>
      </c>
      <c r="H266" s="1" t="s">
        <v>1196</v>
      </c>
      <c r="I266" s="1" t="s">
        <v>17</v>
      </c>
      <c r="J266" s="1" t="s">
        <v>1197</v>
      </c>
      <c r="K266" s="1" t="s">
        <v>764</v>
      </c>
      <c r="L266" s="1" t="s">
        <v>764</v>
      </c>
      <c r="M266" s="4">
        <v>46202.45208333333</v>
      </c>
      <c r="N266" s="1" t="s">
        <v>1198</v>
      </c>
      <c r="O266" s="1" t="s">
        <v>1199</v>
      </c>
      <c r="P266" s="1" t="s">
        <v>271</v>
      </c>
      <c r="Q266" s="1" t="s">
        <v>303</v>
      </c>
      <c r="R266" s="1" t="s">
        <v>272</v>
      </c>
      <c r="S266" s="1" t="s">
        <v>8</v>
      </c>
      <c r="T266" s="1" t="s">
        <v>274</v>
      </c>
      <c r="U266" s="1" t="s">
        <v>182</v>
      </c>
      <c r="V266" s="1" t="s">
        <v>1200</v>
      </c>
      <c r="W266" s="1" t="s">
        <v>93</v>
      </c>
      <c r="X266" s="1" t="s">
        <v>93</v>
      </c>
      <c r="Y266" s="1" t="s">
        <v>93</v>
      </c>
      <c r="Z266" s="1" t="s">
        <v>53</v>
      </c>
      <c r="AA266" s="1" t="s">
        <v>93</v>
      </c>
      <c r="AB266" s="1">
        <v>421.84</v>
      </c>
      <c r="AC266" s="1">
        <v>39.81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 t="s">
        <v>290</v>
      </c>
      <c r="AJ266" s="1" t="s">
        <v>1098</v>
      </c>
      <c r="AK266" s="1" t="s">
        <v>17</v>
      </c>
      <c r="AL266" s="1" t="s">
        <v>71</v>
      </c>
      <c r="AM266" s="1" t="s">
        <v>337</v>
      </c>
      <c r="AN266" s="1" t="s">
        <v>21</v>
      </c>
      <c r="AO266" s="1" t="s">
        <v>280</v>
      </c>
      <c r="AP266" s="1" t="s">
        <v>324</v>
      </c>
      <c r="AQ266" s="1" t="s">
        <v>27</v>
      </c>
    </row>
    <row r="267" spans="1:43" x14ac:dyDescent="0.3">
      <c r="A267" s="1">
        <v>24848454</v>
      </c>
      <c r="B267" s="1">
        <v>25685062</v>
      </c>
      <c r="C267" s="1" t="s">
        <v>266</v>
      </c>
      <c r="D267" s="4">
        <v>46204.54996527778</v>
      </c>
      <c r="E267" s="4">
        <v>46204.550219907411</v>
      </c>
      <c r="F267" s="1" t="s">
        <v>22</v>
      </c>
      <c r="G267" s="1" t="s">
        <v>22</v>
      </c>
      <c r="H267" s="1" t="s">
        <v>1201</v>
      </c>
      <c r="I267" s="1" t="s">
        <v>17</v>
      </c>
      <c r="J267" s="1" t="s">
        <v>1202</v>
      </c>
      <c r="K267" s="1" t="s">
        <v>764</v>
      </c>
      <c r="L267" s="1" t="s">
        <v>764</v>
      </c>
      <c r="M267" s="4">
        <v>46204.433333333327</v>
      </c>
      <c r="N267" s="1" t="s">
        <v>1203</v>
      </c>
      <c r="O267" s="1" t="s">
        <v>93</v>
      </c>
      <c r="P267" s="1" t="s">
        <v>342</v>
      </c>
      <c r="Q267" s="1" t="s">
        <v>303</v>
      </c>
      <c r="R267" s="1" t="s">
        <v>272</v>
      </c>
      <c r="S267" s="1" t="s">
        <v>9</v>
      </c>
      <c r="T267" s="1" t="s">
        <v>274</v>
      </c>
      <c r="U267" s="1" t="s">
        <v>182</v>
      </c>
      <c r="V267" s="1" t="s">
        <v>1200</v>
      </c>
      <c r="W267" s="1" t="s">
        <v>93</v>
      </c>
      <c r="X267" s="1" t="s">
        <v>93</v>
      </c>
      <c r="Y267" s="1" t="s">
        <v>93</v>
      </c>
      <c r="Z267" s="1" t="s">
        <v>53</v>
      </c>
      <c r="AA267" s="1" t="s">
        <v>93</v>
      </c>
      <c r="AB267" s="1">
        <v>456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 t="s">
        <v>290</v>
      </c>
      <c r="AJ267" s="1" t="s">
        <v>410</v>
      </c>
      <c r="AK267" s="1" t="s">
        <v>17</v>
      </c>
      <c r="AL267" s="1" t="s">
        <v>65</v>
      </c>
      <c r="AM267" s="1" t="s">
        <v>292</v>
      </c>
      <c r="AN267" s="1" t="s">
        <v>21</v>
      </c>
      <c r="AO267" s="1" t="s">
        <v>280</v>
      </c>
      <c r="AP267" s="1" t="s">
        <v>324</v>
      </c>
      <c r="AQ267" s="1" t="s">
        <v>20</v>
      </c>
    </row>
    <row r="268" spans="1:43" x14ac:dyDescent="0.3">
      <c r="A268" s="1">
        <v>24860634</v>
      </c>
      <c r="B268" s="1">
        <v>25699292</v>
      </c>
      <c r="C268" s="1" t="s">
        <v>266</v>
      </c>
      <c r="D268" s="4">
        <v>46206.46</v>
      </c>
      <c r="E268" s="4">
        <v>46206.46334490741</v>
      </c>
      <c r="F268" s="1" t="s">
        <v>22</v>
      </c>
      <c r="G268" s="1" t="s">
        <v>22</v>
      </c>
      <c r="H268" s="1" t="s">
        <v>1204</v>
      </c>
      <c r="I268" s="1" t="s">
        <v>17</v>
      </c>
      <c r="J268" s="1" t="s">
        <v>1205</v>
      </c>
      <c r="K268" s="1" t="s">
        <v>764</v>
      </c>
      <c r="L268" s="1" t="s">
        <v>764</v>
      </c>
      <c r="M268" s="4">
        <v>46206.368750000001</v>
      </c>
      <c r="N268" s="1" t="s">
        <v>1206</v>
      </c>
      <c r="O268" s="1" t="s">
        <v>93</v>
      </c>
      <c r="P268" s="1" t="s">
        <v>342</v>
      </c>
      <c r="Q268" s="1" t="s">
        <v>303</v>
      </c>
      <c r="R268" s="1" t="s">
        <v>272</v>
      </c>
      <c r="S268" s="1" t="s">
        <v>9</v>
      </c>
      <c r="T268" s="1" t="s">
        <v>274</v>
      </c>
      <c r="U268" s="1" t="s">
        <v>182</v>
      </c>
      <c r="V268" s="1" t="s">
        <v>1200</v>
      </c>
      <c r="W268" s="1" t="s">
        <v>93</v>
      </c>
      <c r="X268" s="1" t="s">
        <v>93</v>
      </c>
      <c r="Y268" s="1" t="s">
        <v>93</v>
      </c>
      <c r="Z268" s="1" t="s">
        <v>53</v>
      </c>
      <c r="AA268" s="1" t="s">
        <v>93</v>
      </c>
      <c r="AB268" s="1">
        <v>252</v>
      </c>
      <c r="AC268" s="1">
        <v>0</v>
      </c>
      <c r="AD268" s="1">
        <v>0</v>
      </c>
      <c r="AE268" s="1">
        <v>0</v>
      </c>
      <c r="AF268" s="1">
        <v>0</v>
      </c>
      <c r="AG268" s="1">
        <v>0</v>
      </c>
      <c r="AH268" s="1">
        <v>0</v>
      </c>
      <c r="AI268" s="1" t="s">
        <v>290</v>
      </c>
      <c r="AJ268" s="1" t="s">
        <v>410</v>
      </c>
      <c r="AK268" s="1" t="s">
        <v>17</v>
      </c>
      <c r="AL268" s="1" t="s">
        <v>65</v>
      </c>
      <c r="AM268" s="1" t="s">
        <v>292</v>
      </c>
      <c r="AN268" s="1" t="s">
        <v>21</v>
      </c>
      <c r="AO268" s="1" t="s">
        <v>280</v>
      </c>
      <c r="AP268" s="1" t="s">
        <v>324</v>
      </c>
      <c r="AQ268" s="1" t="s">
        <v>20</v>
      </c>
    </row>
    <row r="269" spans="1:43" x14ac:dyDescent="0.3">
      <c r="A269" s="1">
        <v>24860746</v>
      </c>
      <c r="B269" s="1">
        <v>25699444</v>
      </c>
      <c r="C269" s="1" t="s">
        <v>266</v>
      </c>
      <c r="D269" s="4">
        <v>46206.46775462963</v>
      </c>
      <c r="E269" s="4">
        <v>46206.477002314823</v>
      </c>
      <c r="F269" s="1" t="s">
        <v>22</v>
      </c>
      <c r="G269" s="1" t="s">
        <v>22</v>
      </c>
      <c r="H269" s="1" t="s">
        <v>1207</v>
      </c>
      <c r="I269" s="1" t="s">
        <v>268</v>
      </c>
      <c r="J269" s="1" t="s">
        <v>430</v>
      </c>
      <c r="K269" s="1" t="s">
        <v>419</v>
      </c>
      <c r="L269" s="1" t="s">
        <v>419</v>
      </c>
      <c r="M269" s="4">
        <v>46206.447222222218</v>
      </c>
      <c r="N269" s="1">
        <v>331637</v>
      </c>
      <c r="O269" s="1" t="s">
        <v>93</v>
      </c>
      <c r="P269" s="1" t="s">
        <v>342</v>
      </c>
      <c r="Q269" s="1" t="s">
        <v>286</v>
      </c>
      <c r="R269" s="1" t="s">
        <v>286</v>
      </c>
      <c r="S269" s="1" t="s">
        <v>9</v>
      </c>
      <c r="T269" s="1" t="s">
        <v>274</v>
      </c>
      <c r="U269" s="1" t="s">
        <v>151</v>
      </c>
      <c r="V269" s="1" t="s">
        <v>415</v>
      </c>
      <c r="W269" s="1" t="s">
        <v>93</v>
      </c>
      <c r="X269" s="1" t="s">
        <v>93</v>
      </c>
      <c r="Y269" s="1" t="s">
        <v>93</v>
      </c>
      <c r="Z269" s="1" t="s">
        <v>63</v>
      </c>
      <c r="AA269" s="1" t="s">
        <v>93</v>
      </c>
      <c r="AB269" s="1">
        <v>1504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0</v>
      </c>
      <c r="AI269" s="1" t="s">
        <v>1208</v>
      </c>
      <c r="AJ269" s="1" t="s">
        <v>410</v>
      </c>
      <c r="AK269" s="1" t="s">
        <v>13</v>
      </c>
      <c r="AL269" s="1" t="s">
        <v>65</v>
      </c>
      <c r="AM269" s="1" t="s">
        <v>292</v>
      </c>
      <c r="AN269" s="1" t="s">
        <v>21</v>
      </c>
      <c r="AO269" s="1" t="s">
        <v>280</v>
      </c>
      <c r="AP269" s="1" t="s">
        <v>324</v>
      </c>
      <c r="AQ269" s="1" t="s">
        <v>20</v>
      </c>
    </row>
    <row r="270" spans="1:43" x14ac:dyDescent="0.3">
      <c r="A270" s="1">
        <v>24836428</v>
      </c>
      <c r="B270" s="1">
        <v>25673101</v>
      </c>
      <c r="C270" s="1" t="s">
        <v>266</v>
      </c>
      <c r="D270" s="4">
        <v>46202.609826388893</v>
      </c>
      <c r="E270" s="4">
        <v>46206.12599537037</v>
      </c>
      <c r="F270" s="1" t="s">
        <v>22</v>
      </c>
      <c r="G270" s="1" t="s">
        <v>24</v>
      </c>
      <c r="H270" s="1" t="s">
        <v>1209</v>
      </c>
      <c r="I270" s="1" t="s">
        <v>17</v>
      </c>
      <c r="J270" s="1" t="s">
        <v>1210</v>
      </c>
      <c r="K270" s="1" t="s">
        <v>473</v>
      </c>
      <c r="L270" s="1" t="s">
        <v>473</v>
      </c>
      <c r="M270" s="4">
        <v>46198.524305555547</v>
      </c>
      <c r="N270" s="1" t="s">
        <v>1211</v>
      </c>
      <c r="O270" s="1" t="s">
        <v>93</v>
      </c>
      <c r="P270" s="1" t="s">
        <v>342</v>
      </c>
      <c r="Q270" s="1" t="s">
        <v>286</v>
      </c>
      <c r="R270" s="1" t="s">
        <v>286</v>
      </c>
      <c r="S270" s="1" t="s">
        <v>9</v>
      </c>
      <c r="T270" s="1" t="s">
        <v>274</v>
      </c>
      <c r="U270" s="1" t="s">
        <v>175</v>
      </c>
      <c r="V270" s="1" t="s">
        <v>343</v>
      </c>
      <c r="W270" s="1" t="s">
        <v>288</v>
      </c>
      <c r="X270" s="1" t="s">
        <v>93</v>
      </c>
      <c r="Y270" s="1" t="s">
        <v>93</v>
      </c>
      <c r="Z270" s="1" t="s">
        <v>91</v>
      </c>
      <c r="AA270" s="1" t="s">
        <v>93</v>
      </c>
      <c r="AB270" s="1">
        <v>780</v>
      </c>
      <c r="AC270" s="1">
        <v>42</v>
      </c>
      <c r="AD270" s="1">
        <v>0</v>
      </c>
      <c r="AE270" s="1">
        <v>0</v>
      </c>
      <c r="AF270" s="1">
        <v>0</v>
      </c>
      <c r="AG270" s="1">
        <v>0</v>
      </c>
      <c r="AH270" s="1">
        <v>0</v>
      </c>
      <c r="AI270" s="1" t="s">
        <v>290</v>
      </c>
      <c r="AJ270" s="1" t="s">
        <v>403</v>
      </c>
      <c r="AK270" s="1" t="s">
        <v>17</v>
      </c>
      <c r="AL270" s="1" t="s">
        <v>73</v>
      </c>
      <c r="AM270" s="1" t="s">
        <v>337</v>
      </c>
      <c r="AN270" s="1" t="s">
        <v>21</v>
      </c>
      <c r="AO270" s="1" t="s">
        <v>280</v>
      </c>
      <c r="AP270" s="1" t="s">
        <v>324</v>
      </c>
      <c r="AQ270" s="1" t="s">
        <v>27</v>
      </c>
    </row>
    <row r="271" spans="1:43" x14ac:dyDescent="0.3">
      <c r="A271" s="1">
        <v>24860196</v>
      </c>
      <c r="B271" s="1">
        <v>25698710</v>
      </c>
      <c r="C271" s="1" t="s">
        <v>266</v>
      </c>
      <c r="D271" s="4">
        <v>46206.383981481478</v>
      </c>
      <c r="E271" s="4">
        <v>46206.387372685182</v>
      </c>
      <c r="F271" s="1" t="s">
        <v>22</v>
      </c>
      <c r="G271" s="1" t="s">
        <v>22</v>
      </c>
      <c r="H271" s="1">
        <v>23556988</v>
      </c>
      <c r="I271" s="1" t="s">
        <v>14</v>
      </c>
      <c r="J271" s="1" t="s">
        <v>1212</v>
      </c>
      <c r="K271" s="1" t="s">
        <v>547</v>
      </c>
      <c r="L271" s="1" t="s">
        <v>547</v>
      </c>
      <c r="M271" s="4">
        <v>46205.481249999997</v>
      </c>
      <c r="N271" s="1">
        <v>4717746</v>
      </c>
      <c r="O271" s="1" t="s">
        <v>93</v>
      </c>
      <c r="P271" s="1" t="s">
        <v>271</v>
      </c>
      <c r="Q271" s="1" t="s">
        <v>286</v>
      </c>
      <c r="R271" s="1" t="s">
        <v>286</v>
      </c>
      <c r="S271" s="1" t="s">
        <v>9</v>
      </c>
      <c r="T271" s="1" t="s">
        <v>274</v>
      </c>
      <c r="U271" s="1" t="s">
        <v>167</v>
      </c>
      <c r="V271" s="1" t="s">
        <v>1213</v>
      </c>
      <c r="W271" s="1" t="s">
        <v>93</v>
      </c>
      <c r="X271" s="1" t="s">
        <v>93</v>
      </c>
      <c r="Y271" s="1" t="s">
        <v>93</v>
      </c>
      <c r="Z271" s="1" t="s">
        <v>83</v>
      </c>
      <c r="AA271" s="1" t="s">
        <v>93</v>
      </c>
      <c r="AB271" s="1">
        <v>853</v>
      </c>
      <c r="AC271" s="1">
        <v>0</v>
      </c>
      <c r="AD271" s="1">
        <v>0</v>
      </c>
      <c r="AE271" s="1">
        <v>0</v>
      </c>
      <c r="AF271" s="1">
        <v>0</v>
      </c>
      <c r="AG271" s="1">
        <v>0</v>
      </c>
      <c r="AH271" s="1">
        <v>0</v>
      </c>
      <c r="AI271" s="1" t="s">
        <v>1214</v>
      </c>
      <c r="AJ271" s="1" t="s">
        <v>410</v>
      </c>
      <c r="AK271" s="1" t="s">
        <v>14</v>
      </c>
      <c r="AL271" s="1" t="s">
        <v>65</v>
      </c>
      <c r="AM271" s="1" t="s">
        <v>292</v>
      </c>
      <c r="AN271" s="1" t="s">
        <v>21</v>
      </c>
      <c r="AO271" s="1" t="s">
        <v>293</v>
      </c>
      <c r="AP271" s="1" t="s">
        <v>281</v>
      </c>
      <c r="AQ271" s="1" t="s">
        <v>34</v>
      </c>
    </row>
    <row r="272" spans="1:43" x14ac:dyDescent="0.3">
      <c r="A272" s="1">
        <v>24860197</v>
      </c>
      <c r="B272" s="1">
        <v>25698711</v>
      </c>
      <c r="C272" s="1" t="s">
        <v>266</v>
      </c>
      <c r="D272" s="4">
        <v>46206.383993055562</v>
      </c>
      <c r="E272" s="4">
        <v>46206.387372685182</v>
      </c>
      <c r="F272" s="1" t="s">
        <v>22</v>
      </c>
      <c r="G272" s="1" t="s">
        <v>22</v>
      </c>
      <c r="H272" s="1">
        <v>23557027</v>
      </c>
      <c r="I272" s="1" t="s">
        <v>14</v>
      </c>
      <c r="J272" s="1" t="s">
        <v>1215</v>
      </c>
      <c r="K272" s="1" t="s">
        <v>547</v>
      </c>
      <c r="L272" s="1" t="s">
        <v>547</v>
      </c>
      <c r="M272" s="4">
        <v>46205.482638888891</v>
      </c>
      <c r="N272" s="1">
        <v>4717749</v>
      </c>
      <c r="O272" s="1" t="s">
        <v>93</v>
      </c>
      <c r="P272" s="1" t="s">
        <v>271</v>
      </c>
      <c r="Q272" s="1" t="s">
        <v>286</v>
      </c>
      <c r="R272" s="1" t="s">
        <v>286</v>
      </c>
      <c r="S272" s="1" t="s">
        <v>9</v>
      </c>
      <c r="T272" s="1" t="s">
        <v>274</v>
      </c>
      <c r="U272" s="1" t="s">
        <v>167</v>
      </c>
      <c r="V272" s="1" t="s">
        <v>1213</v>
      </c>
      <c r="W272" s="1" t="s">
        <v>93</v>
      </c>
      <c r="X272" s="1" t="s">
        <v>93</v>
      </c>
      <c r="Y272" s="1" t="s">
        <v>93</v>
      </c>
      <c r="Z272" s="1" t="s">
        <v>83</v>
      </c>
      <c r="AA272" s="1" t="s">
        <v>93</v>
      </c>
      <c r="AB272" s="1">
        <v>974.2</v>
      </c>
      <c r="AC272" s="1">
        <v>0</v>
      </c>
      <c r="AD272" s="1">
        <v>0</v>
      </c>
      <c r="AE272" s="1">
        <v>0</v>
      </c>
      <c r="AF272" s="1">
        <v>0</v>
      </c>
      <c r="AG272" s="1">
        <v>0</v>
      </c>
      <c r="AH272" s="1">
        <v>0</v>
      </c>
      <c r="AI272" s="1" t="s">
        <v>1216</v>
      </c>
      <c r="AJ272" s="1" t="s">
        <v>410</v>
      </c>
      <c r="AK272" s="1" t="s">
        <v>14</v>
      </c>
      <c r="AL272" s="1" t="s">
        <v>65</v>
      </c>
      <c r="AM272" s="1" t="s">
        <v>292</v>
      </c>
      <c r="AN272" s="1" t="s">
        <v>21</v>
      </c>
      <c r="AO272" s="1" t="s">
        <v>293</v>
      </c>
      <c r="AP272" s="1" t="s">
        <v>281</v>
      </c>
      <c r="AQ272" s="1" t="s">
        <v>34</v>
      </c>
    </row>
    <row r="273" spans="1:43" x14ac:dyDescent="0.3">
      <c r="A273" s="1">
        <v>24860206</v>
      </c>
      <c r="B273" s="1">
        <v>25698720</v>
      </c>
      <c r="C273" s="1" t="s">
        <v>266</v>
      </c>
      <c r="D273" s="4">
        <v>46206.384062500001</v>
      </c>
      <c r="E273" s="4">
        <v>46206.389652777783</v>
      </c>
      <c r="F273" s="1" t="s">
        <v>22</v>
      </c>
      <c r="G273" s="1" t="s">
        <v>22</v>
      </c>
      <c r="H273" s="1">
        <v>23561071</v>
      </c>
      <c r="I273" s="1" t="s">
        <v>14</v>
      </c>
      <c r="J273" s="1" t="s">
        <v>1217</v>
      </c>
      <c r="K273" s="1" t="s">
        <v>547</v>
      </c>
      <c r="L273" s="1" t="s">
        <v>547</v>
      </c>
      <c r="M273" s="4">
        <v>46205.615972222222</v>
      </c>
      <c r="N273" s="1">
        <v>4717901</v>
      </c>
      <c r="O273" s="1" t="s">
        <v>93</v>
      </c>
      <c r="P273" s="1" t="s">
        <v>271</v>
      </c>
      <c r="Q273" s="1" t="s">
        <v>286</v>
      </c>
      <c r="R273" s="1" t="s">
        <v>286</v>
      </c>
      <c r="S273" s="1" t="s">
        <v>9</v>
      </c>
      <c r="T273" s="1" t="s">
        <v>274</v>
      </c>
      <c r="U273" s="1" t="s">
        <v>167</v>
      </c>
      <c r="V273" s="1" t="s">
        <v>1213</v>
      </c>
      <c r="W273" s="1" t="s">
        <v>93</v>
      </c>
      <c r="X273" s="1" t="s">
        <v>93</v>
      </c>
      <c r="Y273" s="1" t="s">
        <v>93</v>
      </c>
      <c r="Z273" s="1" t="s">
        <v>83</v>
      </c>
      <c r="AA273" s="1" t="s">
        <v>93</v>
      </c>
      <c r="AB273" s="1">
        <v>138.88</v>
      </c>
      <c r="AC273" s="1">
        <v>0</v>
      </c>
      <c r="AD273" s="1">
        <v>0</v>
      </c>
      <c r="AE273" s="1">
        <v>0</v>
      </c>
      <c r="AF273" s="1">
        <v>0</v>
      </c>
      <c r="AG273" s="1">
        <v>0</v>
      </c>
      <c r="AH273" s="1">
        <v>0</v>
      </c>
      <c r="AI273" s="1" t="s">
        <v>1218</v>
      </c>
      <c r="AJ273" s="1" t="s">
        <v>410</v>
      </c>
      <c r="AK273" s="1" t="s">
        <v>14</v>
      </c>
      <c r="AL273" s="1" t="s">
        <v>65</v>
      </c>
      <c r="AM273" s="1" t="s">
        <v>292</v>
      </c>
      <c r="AN273" s="1" t="s">
        <v>21</v>
      </c>
      <c r="AO273" s="1" t="s">
        <v>293</v>
      </c>
      <c r="AP273" s="1" t="s">
        <v>281</v>
      </c>
      <c r="AQ273" s="1" t="s">
        <v>34</v>
      </c>
    </row>
    <row r="274" spans="1:43" x14ac:dyDescent="0.3">
      <c r="A274" s="1">
        <v>24860207</v>
      </c>
      <c r="B274" s="1">
        <v>25698721</v>
      </c>
      <c r="C274" s="1" t="s">
        <v>266</v>
      </c>
      <c r="D274" s="4">
        <v>46206.384074074071</v>
      </c>
      <c r="E274" s="4">
        <v>46206.389664351853</v>
      </c>
      <c r="F274" s="1" t="s">
        <v>22</v>
      </c>
      <c r="G274" s="1" t="s">
        <v>22</v>
      </c>
      <c r="H274" s="1">
        <v>23561106</v>
      </c>
      <c r="I274" s="1" t="s">
        <v>14</v>
      </c>
      <c r="J274" s="1" t="s">
        <v>1219</v>
      </c>
      <c r="K274" s="1" t="s">
        <v>547</v>
      </c>
      <c r="L274" s="1" t="s">
        <v>547</v>
      </c>
      <c r="M274" s="4">
        <v>46205.616666666669</v>
      </c>
      <c r="N274" s="1">
        <v>4717903</v>
      </c>
      <c r="O274" s="1" t="s">
        <v>93</v>
      </c>
      <c r="P274" s="1" t="s">
        <v>271</v>
      </c>
      <c r="Q274" s="1" t="s">
        <v>286</v>
      </c>
      <c r="R274" s="1" t="s">
        <v>286</v>
      </c>
      <c r="S274" s="1" t="s">
        <v>9</v>
      </c>
      <c r="T274" s="1" t="s">
        <v>274</v>
      </c>
      <c r="U274" s="1" t="s">
        <v>167</v>
      </c>
      <c r="V274" s="1" t="s">
        <v>1213</v>
      </c>
      <c r="W274" s="1" t="s">
        <v>93</v>
      </c>
      <c r="X274" s="1" t="s">
        <v>93</v>
      </c>
      <c r="Y274" s="1" t="s">
        <v>93</v>
      </c>
      <c r="Z274" s="1" t="s">
        <v>83</v>
      </c>
      <c r="AA274" s="1" t="s">
        <v>93</v>
      </c>
      <c r="AB274" s="1">
        <v>138.88</v>
      </c>
      <c r="AC274" s="1">
        <v>0</v>
      </c>
      <c r="AD274" s="1">
        <v>0</v>
      </c>
      <c r="AE274" s="1">
        <v>0</v>
      </c>
      <c r="AF274" s="1">
        <v>0</v>
      </c>
      <c r="AG274" s="1">
        <v>0</v>
      </c>
      <c r="AH274" s="1">
        <v>0</v>
      </c>
      <c r="AI274" s="1" t="s">
        <v>1220</v>
      </c>
      <c r="AJ274" s="1" t="s">
        <v>410</v>
      </c>
      <c r="AK274" s="1" t="s">
        <v>14</v>
      </c>
      <c r="AL274" s="1" t="s">
        <v>65</v>
      </c>
      <c r="AM274" s="1" t="s">
        <v>292</v>
      </c>
      <c r="AN274" s="1" t="s">
        <v>21</v>
      </c>
      <c r="AO274" s="1" t="s">
        <v>293</v>
      </c>
      <c r="AP274" s="1" t="s">
        <v>281</v>
      </c>
      <c r="AQ274" s="1" t="s">
        <v>34</v>
      </c>
    </row>
    <row r="275" spans="1:43" x14ac:dyDescent="0.3">
      <c r="A275" s="1">
        <v>24860208</v>
      </c>
      <c r="B275" s="1">
        <v>25698722</v>
      </c>
      <c r="C275" s="1" t="s">
        <v>266</v>
      </c>
      <c r="D275" s="4">
        <v>46206.384074074071</v>
      </c>
      <c r="E275" s="4">
        <v>46206.389664351853</v>
      </c>
      <c r="F275" s="1" t="s">
        <v>22</v>
      </c>
      <c r="G275" s="1" t="s">
        <v>22</v>
      </c>
      <c r="H275" s="1">
        <v>23561261</v>
      </c>
      <c r="I275" s="1" t="s">
        <v>14</v>
      </c>
      <c r="J275" s="1" t="s">
        <v>1221</v>
      </c>
      <c r="K275" s="1" t="s">
        <v>547</v>
      </c>
      <c r="L275" s="1" t="s">
        <v>547</v>
      </c>
      <c r="M275" s="4">
        <v>46205.619444444441</v>
      </c>
      <c r="N275" s="1">
        <v>4717909</v>
      </c>
      <c r="O275" s="1" t="s">
        <v>93</v>
      </c>
      <c r="P275" s="1" t="s">
        <v>271</v>
      </c>
      <c r="Q275" s="1" t="s">
        <v>286</v>
      </c>
      <c r="R275" s="1" t="s">
        <v>286</v>
      </c>
      <c r="S275" s="1" t="s">
        <v>9</v>
      </c>
      <c r="T275" s="1" t="s">
        <v>274</v>
      </c>
      <c r="U275" s="1" t="s">
        <v>167</v>
      </c>
      <c r="V275" s="1" t="s">
        <v>1213</v>
      </c>
      <c r="W275" s="1" t="s">
        <v>93</v>
      </c>
      <c r="X275" s="1" t="s">
        <v>93</v>
      </c>
      <c r="Y275" s="1" t="s">
        <v>93</v>
      </c>
      <c r="Z275" s="1" t="s">
        <v>83</v>
      </c>
      <c r="AA275" s="1" t="s">
        <v>93</v>
      </c>
      <c r="AB275" s="1">
        <v>224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 t="s">
        <v>1222</v>
      </c>
      <c r="AJ275" s="1" t="s">
        <v>410</v>
      </c>
      <c r="AK275" s="1" t="s">
        <v>14</v>
      </c>
      <c r="AL275" s="1" t="s">
        <v>65</v>
      </c>
      <c r="AM275" s="1" t="s">
        <v>292</v>
      </c>
      <c r="AN275" s="1" t="s">
        <v>21</v>
      </c>
      <c r="AO275" s="1" t="s">
        <v>293</v>
      </c>
      <c r="AP275" s="1" t="s">
        <v>281</v>
      </c>
      <c r="AQ275" s="1" t="s">
        <v>34</v>
      </c>
    </row>
    <row r="276" spans="1:43" x14ac:dyDescent="0.3">
      <c r="A276" s="1">
        <v>24860209</v>
      </c>
      <c r="B276" s="1">
        <v>25698723</v>
      </c>
      <c r="C276" s="1" t="s">
        <v>266</v>
      </c>
      <c r="D276" s="4">
        <v>46206.384085648147</v>
      </c>
      <c r="E276" s="4">
        <v>46206.389664351853</v>
      </c>
      <c r="F276" s="1" t="s">
        <v>22</v>
      </c>
      <c r="G276" s="1" t="s">
        <v>22</v>
      </c>
      <c r="H276" s="1">
        <v>23561348</v>
      </c>
      <c r="I276" s="1" t="s">
        <v>14</v>
      </c>
      <c r="J276" s="1" t="s">
        <v>1223</v>
      </c>
      <c r="K276" s="1" t="s">
        <v>547</v>
      </c>
      <c r="L276" s="1" t="s">
        <v>547</v>
      </c>
      <c r="M276" s="4">
        <v>46205.621527777781</v>
      </c>
      <c r="N276" s="1">
        <v>4717916</v>
      </c>
      <c r="O276" s="1" t="s">
        <v>93</v>
      </c>
      <c r="P276" s="1" t="s">
        <v>271</v>
      </c>
      <c r="Q276" s="1" t="s">
        <v>286</v>
      </c>
      <c r="R276" s="1" t="s">
        <v>286</v>
      </c>
      <c r="S276" s="1" t="s">
        <v>9</v>
      </c>
      <c r="T276" s="1" t="s">
        <v>274</v>
      </c>
      <c r="U276" s="1" t="s">
        <v>167</v>
      </c>
      <c r="V276" s="1" t="s">
        <v>1213</v>
      </c>
      <c r="W276" s="1" t="s">
        <v>93</v>
      </c>
      <c r="X276" s="1" t="s">
        <v>93</v>
      </c>
      <c r="Y276" s="1" t="s">
        <v>93</v>
      </c>
      <c r="Z276" s="1" t="s">
        <v>83</v>
      </c>
      <c r="AA276" s="1" t="s">
        <v>93</v>
      </c>
      <c r="AB276" s="1">
        <v>355</v>
      </c>
      <c r="AC276" s="1">
        <v>0</v>
      </c>
      <c r="AD276" s="1">
        <v>0</v>
      </c>
      <c r="AE276" s="1">
        <v>0</v>
      </c>
      <c r="AF276" s="1">
        <v>0</v>
      </c>
      <c r="AG276" s="1">
        <v>0</v>
      </c>
      <c r="AH276" s="1">
        <v>0</v>
      </c>
      <c r="AI276" s="1" t="s">
        <v>1224</v>
      </c>
      <c r="AJ276" s="1" t="s">
        <v>410</v>
      </c>
      <c r="AK276" s="1" t="s">
        <v>14</v>
      </c>
      <c r="AL276" s="1" t="s">
        <v>65</v>
      </c>
      <c r="AM276" s="1" t="s">
        <v>292</v>
      </c>
      <c r="AN276" s="1" t="s">
        <v>21</v>
      </c>
      <c r="AO276" s="1" t="s">
        <v>293</v>
      </c>
      <c r="AP276" s="1" t="s">
        <v>281</v>
      </c>
      <c r="AQ276" s="1" t="s">
        <v>34</v>
      </c>
    </row>
    <row r="277" spans="1:43" x14ac:dyDescent="0.3">
      <c r="A277" s="1">
        <v>24860104</v>
      </c>
      <c r="B277" s="1">
        <v>25698610</v>
      </c>
      <c r="C277" s="1" t="s">
        <v>266</v>
      </c>
      <c r="D277" s="4">
        <v>46206.370208333326</v>
      </c>
      <c r="E277" s="4">
        <v>46206.372094907398</v>
      </c>
      <c r="F277" s="1" t="s">
        <v>22</v>
      </c>
      <c r="G277" s="1" t="s">
        <v>22</v>
      </c>
      <c r="H277" s="1">
        <v>23561162</v>
      </c>
      <c r="I277" s="1" t="s">
        <v>14</v>
      </c>
      <c r="J277" s="1" t="s">
        <v>1225</v>
      </c>
      <c r="K277" s="1" t="s">
        <v>547</v>
      </c>
      <c r="L277" s="1" t="s">
        <v>547</v>
      </c>
      <c r="M277" s="4">
        <v>46205.618750000001</v>
      </c>
      <c r="N277" s="1">
        <v>4717905</v>
      </c>
      <c r="O277" s="1" t="s">
        <v>93</v>
      </c>
      <c r="P277" s="1" t="s">
        <v>271</v>
      </c>
      <c r="Q277" s="1" t="s">
        <v>286</v>
      </c>
      <c r="R277" s="1" t="s">
        <v>286</v>
      </c>
      <c r="S277" s="1" t="s">
        <v>9</v>
      </c>
      <c r="T277" s="1" t="s">
        <v>274</v>
      </c>
      <c r="U277" s="1" t="s">
        <v>167</v>
      </c>
      <c r="V277" s="1" t="s">
        <v>1213</v>
      </c>
      <c r="W277" s="1" t="s">
        <v>93</v>
      </c>
      <c r="X277" s="1" t="s">
        <v>93</v>
      </c>
      <c r="Y277" s="1" t="s">
        <v>93</v>
      </c>
      <c r="Z277" s="1" t="s">
        <v>83</v>
      </c>
      <c r="AA277" s="1" t="s">
        <v>93</v>
      </c>
      <c r="AB277" s="1">
        <v>224</v>
      </c>
      <c r="AC277" s="1">
        <v>0</v>
      </c>
      <c r="AD277" s="1">
        <v>0</v>
      </c>
      <c r="AE277" s="1">
        <v>0</v>
      </c>
      <c r="AF277" s="1">
        <v>0</v>
      </c>
      <c r="AG277" s="1">
        <v>0</v>
      </c>
      <c r="AH277" s="1">
        <v>0</v>
      </c>
      <c r="AI277" s="1" t="s">
        <v>1226</v>
      </c>
      <c r="AJ277" s="1" t="s">
        <v>410</v>
      </c>
      <c r="AK277" s="1" t="s">
        <v>14</v>
      </c>
      <c r="AL277" s="1" t="s">
        <v>65</v>
      </c>
      <c r="AM277" s="1" t="s">
        <v>292</v>
      </c>
      <c r="AN277" s="1" t="s">
        <v>21</v>
      </c>
      <c r="AO277" s="1" t="s">
        <v>293</v>
      </c>
      <c r="AP277" s="1" t="s">
        <v>281</v>
      </c>
      <c r="AQ277" s="1" t="s">
        <v>34</v>
      </c>
    </row>
    <row r="278" spans="1:43" x14ac:dyDescent="0.3">
      <c r="A278" s="1">
        <v>24835944</v>
      </c>
      <c r="B278" s="1">
        <v>25672688</v>
      </c>
      <c r="C278" s="1" t="s">
        <v>266</v>
      </c>
      <c r="D278" s="4">
        <v>46202.5153587963</v>
      </c>
      <c r="E278" s="4">
        <v>46202.542164351849</v>
      </c>
      <c r="F278" s="1" t="s">
        <v>24</v>
      </c>
      <c r="G278" s="1" t="s">
        <v>24</v>
      </c>
      <c r="H278" s="1" t="s">
        <v>1227</v>
      </c>
      <c r="I278" s="1" t="s">
        <v>17</v>
      </c>
      <c r="J278" s="1" t="s">
        <v>1228</v>
      </c>
      <c r="K278" s="1" t="s">
        <v>284</v>
      </c>
      <c r="L278" s="1" t="s">
        <v>284</v>
      </c>
      <c r="M278" s="4">
        <v>46202.335416666669</v>
      </c>
      <c r="N278" s="1" t="s">
        <v>1229</v>
      </c>
      <c r="O278" s="1" t="s">
        <v>1230</v>
      </c>
      <c r="P278" s="1" t="s">
        <v>271</v>
      </c>
      <c r="Q278" s="1" t="s">
        <v>303</v>
      </c>
      <c r="R278" s="1" t="s">
        <v>272</v>
      </c>
      <c r="S278" s="1" t="s">
        <v>8</v>
      </c>
      <c r="T278" s="1" t="s">
        <v>274</v>
      </c>
      <c r="U278" s="1" t="s">
        <v>191</v>
      </c>
      <c r="V278" s="1" t="s">
        <v>1231</v>
      </c>
      <c r="W278" s="1" t="s">
        <v>288</v>
      </c>
      <c r="X278" s="1" t="s">
        <v>93</v>
      </c>
      <c r="Y278" s="1" t="s">
        <v>93</v>
      </c>
      <c r="Z278" s="1" t="s">
        <v>53</v>
      </c>
      <c r="AA278" s="1" t="s">
        <v>93</v>
      </c>
      <c r="AB278" s="1">
        <v>0</v>
      </c>
      <c r="AC278" s="1">
        <v>0</v>
      </c>
      <c r="AD278" s="1">
        <v>0</v>
      </c>
      <c r="AE278" s="1">
        <v>0</v>
      </c>
      <c r="AF278" s="1">
        <v>0</v>
      </c>
      <c r="AG278" s="1">
        <v>0</v>
      </c>
      <c r="AH278" s="1">
        <v>0</v>
      </c>
      <c r="AI278" s="1" t="s">
        <v>290</v>
      </c>
      <c r="AJ278" s="1" t="s">
        <v>410</v>
      </c>
      <c r="AK278" s="1" t="s">
        <v>17</v>
      </c>
      <c r="AL278" s="1" t="s">
        <v>65</v>
      </c>
      <c r="AM278" s="1" t="s">
        <v>292</v>
      </c>
      <c r="AN278" s="1" t="s">
        <v>21</v>
      </c>
      <c r="AO278" s="1" t="s">
        <v>280</v>
      </c>
      <c r="AP278" s="1" t="s">
        <v>324</v>
      </c>
      <c r="AQ278" s="1" t="s">
        <v>20</v>
      </c>
    </row>
    <row r="279" spans="1:43" x14ac:dyDescent="0.3">
      <c r="A279" s="1">
        <v>24861030</v>
      </c>
      <c r="B279" s="1">
        <v>25699751</v>
      </c>
      <c r="C279" s="1" t="s">
        <v>266</v>
      </c>
      <c r="D279" s="4">
        <v>46206.481053240743</v>
      </c>
      <c r="E279" s="4">
        <v>46206.512256944443</v>
      </c>
      <c r="F279" s="1" t="s">
        <v>22</v>
      </c>
      <c r="G279" s="1" t="s">
        <v>22</v>
      </c>
      <c r="H279" s="1" t="s">
        <v>1232</v>
      </c>
      <c r="I279" s="1" t="s">
        <v>268</v>
      </c>
      <c r="J279" s="1" t="s">
        <v>1233</v>
      </c>
      <c r="K279" s="1" t="s">
        <v>270</v>
      </c>
      <c r="L279" s="1" t="s">
        <v>270</v>
      </c>
      <c r="M279" s="4">
        <v>46206.459722222222</v>
      </c>
      <c r="N279" s="1">
        <v>116438</v>
      </c>
      <c r="O279" s="1" t="s">
        <v>1234</v>
      </c>
      <c r="P279" s="1" t="s">
        <v>271</v>
      </c>
      <c r="Q279" s="1" t="s">
        <v>303</v>
      </c>
      <c r="R279" s="1" t="s">
        <v>272</v>
      </c>
      <c r="S279" s="1" t="s">
        <v>8</v>
      </c>
      <c r="T279" s="1" t="s">
        <v>274</v>
      </c>
      <c r="U279" s="1" t="s">
        <v>149</v>
      </c>
      <c r="V279" s="1" t="s">
        <v>837</v>
      </c>
      <c r="W279" s="1" t="s">
        <v>93</v>
      </c>
      <c r="X279" s="1" t="s">
        <v>93</v>
      </c>
      <c r="Y279" s="1" t="s">
        <v>93</v>
      </c>
      <c r="Z279" s="1" t="s">
        <v>48</v>
      </c>
      <c r="AA279" s="1" t="s">
        <v>93</v>
      </c>
      <c r="AB279" s="1">
        <v>1036.18</v>
      </c>
      <c r="AC279" s="1">
        <v>0</v>
      </c>
      <c r="AD279" s="1">
        <v>0</v>
      </c>
      <c r="AE279" s="1">
        <v>0</v>
      </c>
      <c r="AF279" s="1">
        <v>0</v>
      </c>
      <c r="AG279" s="1">
        <v>0</v>
      </c>
      <c r="AH279" s="1">
        <v>0</v>
      </c>
      <c r="AI279" s="1" t="s">
        <v>1235</v>
      </c>
      <c r="AJ279" s="1" t="s">
        <v>410</v>
      </c>
      <c r="AK279" s="1" t="s">
        <v>13</v>
      </c>
      <c r="AL279" s="1" t="s">
        <v>65</v>
      </c>
      <c r="AM279" s="1" t="s">
        <v>292</v>
      </c>
      <c r="AN279" s="1" t="s">
        <v>21</v>
      </c>
      <c r="AO279" s="1" t="s">
        <v>280</v>
      </c>
      <c r="AP279" s="1" t="s">
        <v>324</v>
      </c>
      <c r="AQ279" s="1" t="s">
        <v>20</v>
      </c>
    </row>
    <row r="280" spans="1:43" x14ac:dyDescent="0.3">
      <c r="A280" s="1">
        <v>24870430</v>
      </c>
      <c r="B280" s="1">
        <v>25710568</v>
      </c>
      <c r="C280" s="1" t="s">
        <v>266</v>
      </c>
      <c r="D280" s="4">
        <v>46208.495740740742</v>
      </c>
      <c r="E280" s="4">
        <v>46208.504016203697</v>
      </c>
      <c r="F280" s="1" t="s">
        <v>19</v>
      </c>
      <c r="G280" s="1" t="s">
        <v>19</v>
      </c>
      <c r="H280" s="1" t="s">
        <v>1236</v>
      </c>
      <c r="I280" s="1" t="s">
        <v>268</v>
      </c>
      <c r="J280" s="1" t="s">
        <v>1237</v>
      </c>
      <c r="K280" s="1" t="s">
        <v>270</v>
      </c>
      <c r="L280" s="1" t="s">
        <v>270</v>
      </c>
      <c r="M280" s="4">
        <v>46208.386805555558</v>
      </c>
      <c r="N280" s="1">
        <v>116668</v>
      </c>
      <c r="O280" s="1" t="s">
        <v>1238</v>
      </c>
      <c r="P280" s="1" t="s">
        <v>271</v>
      </c>
      <c r="Q280" s="1" t="s">
        <v>303</v>
      </c>
      <c r="R280" s="1" t="s">
        <v>272</v>
      </c>
      <c r="S280" s="1" t="s">
        <v>8</v>
      </c>
      <c r="T280" s="1" t="s">
        <v>274</v>
      </c>
      <c r="U280" s="1" t="s">
        <v>149</v>
      </c>
      <c r="V280" s="1" t="s">
        <v>837</v>
      </c>
      <c r="W280" s="1" t="s">
        <v>93</v>
      </c>
      <c r="X280" s="1" t="s">
        <v>93</v>
      </c>
      <c r="Y280" s="1" t="s">
        <v>93</v>
      </c>
      <c r="Z280" s="1" t="s">
        <v>48</v>
      </c>
      <c r="AA280" s="1" t="s">
        <v>93</v>
      </c>
      <c r="AB280" s="1">
        <v>518.09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  <c r="AH280" s="1">
        <v>0</v>
      </c>
      <c r="AI280" s="1" t="s">
        <v>1239</v>
      </c>
      <c r="AJ280" s="1" t="s">
        <v>410</v>
      </c>
      <c r="AK280" s="1" t="s">
        <v>13</v>
      </c>
      <c r="AL280" s="1" t="s">
        <v>65</v>
      </c>
      <c r="AM280" s="1" t="s">
        <v>292</v>
      </c>
      <c r="AN280" s="1" t="s">
        <v>21</v>
      </c>
      <c r="AO280" s="1" t="s">
        <v>280</v>
      </c>
      <c r="AP280" s="1" t="s">
        <v>324</v>
      </c>
      <c r="AQ280" s="1" t="s">
        <v>20</v>
      </c>
    </row>
    <row r="281" spans="1:43" x14ac:dyDescent="0.3">
      <c r="A281" s="1">
        <v>24858249</v>
      </c>
      <c r="B281" s="1">
        <v>25696503</v>
      </c>
      <c r="C281" s="1" t="s">
        <v>266</v>
      </c>
      <c r="D281" s="4">
        <v>46205.869386574072</v>
      </c>
      <c r="E281" s="4">
        <v>46206.721238425933</v>
      </c>
      <c r="F281" s="1" t="s">
        <v>22</v>
      </c>
      <c r="G281" s="1" t="s">
        <v>22</v>
      </c>
      <c r="H281" s="1" t="s">
        <v>1240</v>
      </c>
      <c r="I281" s="1" t="s">
        <v>17</v>
      </c>
      <c r="J281" s="1" t="s">
        <v>1241</v>
      </c>
      <c r="K281" s="1" t="s">
        <v>314</v>
      </c>
      <c r="L281" s="1" t="s">
        <v>314</v>
      </c>
      <c r="M281" s="4">
        <v>46205.663888888892</v>
      </c>
      <c r="N281" s="1" t="s">
        <v>1242</v>
      </c>
      <c r="O281" s="1" t="s">
        <v>1243</v>
      </c>
      <c r="P281" s="1" t="s">
        <v>271</v>
      </c>
      <c r="Q281" s="1" t="s">
        <v>303</v>
      </c>
      <c r="R281" s="1" t="s">
        <v>272</v>
      </c>
      <c r="S281" s="1" t="s">
        <v>8</v>
      </c>
      <c r="T281" s="1" t="s">
        <v>274</v>
      </c>
      <c r="U281" s="1" t="s">
        <v>145</v>
      </c>
      <c r="V281" s="1" t="s">
        <v>1244</v>
      </c>
      <c r="W281" s="1" t="s">
        <v>93</v>
      </c>
      <c r="X281" s="1" t="s">
        <v>93</v>
      </c>
      <c r="Y281" s="1" t="s">
        <v>93</v>
      </c>
      <c r="Z281" s="1" t="s">
        <v>55</v>
      </c>
      <c r="AA281" s="1" t="s">
        <v>93</v>
      </c>
      <c r="AB281" s="1">
        <v>469.98</v>
      </c>
      <c r="AC281" s="1">
        <v>78.33</v>
      </c>
      <c r="AD281" s="1">
        <v>0</v>
      </c>
      <c r="AE281" s="1">
        <v>0</v>
      </c>
      <c r="AF281" s="1">
        <v>0</v>
      </c>
      <c r="AG281" s="1">
        <v>0</v>
      </c>
      <c r="AH281" s="1">
        <v>0</v>
      </c>
      <c r="AI281" s="1" t="s">
        <v>290</v>
      </c>
      <c r="AJ281" s="1" t="s">
        <v>410</v>
      </c>
      <c r="AK281" s="1" t="s">
        <v>17</v>
      </c>
      <c r="AL281" s="1" t="s">
        <v>65</v>
      </c>
      <c r="AM281" s="1" t="s">
        <v>292</v>
      </c>
      <c r="AN281" s="1" t="s">
        <v>21</v>
      </c>
      <c r="AO281" s="1" t="s">
        <v>280</v>
      </c>
      <c r="AP281" s="1" t="s">
        <v>324</v>
      </c>
      <c r="AQ281" s="1" t="s">
        <v>20</v>
      </c>
    </row>
    <row r="282" spans="1:43" x14ac:dyDescent="0.3">
      <c r="A282" s="1">
        <v>24861772</v>
      </c>
      <c r="B282" s="1">
        <v>25700617</v>
      </c>
      <c r="C282" s="1" t="s">
        <v>266</v>
      </c>
      <c r="D282" s="4">
        <v>46206.570243055547</v>
      </c>
      <c r="E282" s="4">
        <v>46206.721250000002</v>
      </c>
      <c r="F282" s="1" t="s">
        <v>22</v>
      </c>
      <c r="G282" s="1" t="s">
        <v>22</v>
      </c>
      <c r="H282" s="1" t="s">
        <v>1245</v>
      </c>
      <c r="I282" s="1" t="s">
        <v>17</v>
      </c>
      <c r="J282" s="1" t="s">
        <v>1246</v>
      </c>
      <c r="K282" s="1" t="s">
        <v>314</v>
      </c>
      <c r="L282" s="1" t="s">
        <v>314</v>
      </c>
      <c r="M282" s="4">
        <v>46206.424305555563</v>
      </c>
      <c r="N282" s="1" t="s">
        <v>1247</v>
      </c>
      <c r="O282" s="1" t="s">
        <v>93</v>
      </c>
      <c r="P282" s="1" t="s">
        <v>271</v>
      </c>
      <c r="Q282" s="1" t="s">
        <v>388</v>
      </c>
      <c r="R282" s="1" t="s">
        <v>388</v>
      </c>
      <c r="S282" s="1" t="s">
        <v>9</v>
      </c>
      <c r="T282" s="1" t="s">
        <v>274</v>
      </c>
      <c r="U282" s="1" t="s">
        <v>145</v>
      </c>
      <c r="V282" s="1" t="s">
        <v>561</v>
      </c>
      <c r="W282" s="1" t="s">
        <v>93</v>
      </c>
      <c r="X282" s="1" t="s">
        <v>93</v>
      </c>
      <c r="Y282" s="1" t="s">
        <v>93</v>
      </c>
      <c r="Z282" s="1" t="s">
        <v>55</v>
      </c>
      <c r="AA282" s="1" t="s">
        <v>93</v>
      </c>
      <c r="AB282" s="1">
        <v>283</v>
      </c>
      <c r="AC282" s="1">
        <v>0</v>
      </c>
      <c r="AD282" s="1">
        <v>0</v>
      </c>
      <c r="AE282" s="1">
        <v>0</v>
      </c>
      <c r="AF282" s="1">
        <v>0</v>
      </c>
      <c r="AG282" s="1">
        <v>0</v>
      </c>
      <c r="AH282" s="1">
        <v>0</v>
      </c>
      <c r="AI282" s="1" t="s">
        <v>290</v>
      </c>
      <c r="AJ282" s="1" t="s">
        <v>410</v>
      </c>
      <c r="AK282" s="1" t="s">
        <v>17</v>
      </c>
      <c r="AL282" s="1" t="s">
        <v>65</v>
      </c>
      <c r="AM282" s="1" t="s">
        <v>292</v>
      </c>
      <c r="AN282" s="1" t="s">
        <v>21</v>
      </c>
      <c r="AO282" s="1" t="s">
        <v>293</v>
      </c>
      <c r="AP282" s="1" t="s">
        <v>281</v>
      </c>
      <c r="AQ282" s="1" t="s">
        <v>34</v>
      </c>
    </row>
    <row r="283" spans="1:43" x14ac:dyDescent="0.3">
      <c r="A283" s="1">
        <v>24857656</v>
      </c>
      <c r="B283" s="1">
        <v>25695722</v>
      </c>
      <c r="C283" s="1" t="s">
        <v>266</v>
      </c>
      <c r="D283" s="4">
        <v>46205.794247685182</v>
      </c>
      <c r="E283" s="4">
        <v>46205.796724537038</v>
      </c>
      <c r="F283" s="1" t="s">
        <v>22</v>
      </c>
      <c r="G283" s="1" t="s">
        <v>22</v>
      </c>
      <c r="H283" s="1" t="s">
        <v>1248</v>
      </c>
      <c r="I283" s="1" t="s">
        <v>15</v>
      </c>
      <c r="J283" s="1" t="s">
        <v>1249</v>
      </c>
      <c r="K283" s="1" t="s">
        <v>911</v>
      </c>
      <c r="L283" s="1" t="s">
        <v>911</v>
      </c>
      <c r="M283" s="4">
        <v>46204.552777777782</v>
      </c>
      <c r="N283" s="1">
        <v>19583130</v>
      </c>
      <c r="O283" s="1" t="s">
        <v>93</v>
      </c>
      <c r="P283" s="1" t="s">
        <v>342</v>
      </c>
      <c r="Q283" s="1" t="s">
        <v>303</v>
      </c>
      <c r="R283" s="1" t="s">
        <v>272</v>
      </c>
      <c r="S283" s="1" t="s">
        <v>3</v>
      </c>
      <c r="T283" s="1" t="s">
        <v>274</v>
      </c>
      <c r="U283" s="1" t="s">
        <v>171</v>
      </c>
      <c r="V283" s="1" t="s">
        <v>912</v>
      </c>
      <c r="W283" s="1" t="s">
        <v>93</v>
      </c>
      <c r="X283" s="1" t="s">
        <v>93</v>
      </c>
      <c r="Y283" s="1" t="s">
        <v>93</v>
      </c>
      <c r="Z283" s="1" t="s">
        <v>76</v>
      </c>
      <c r="AA283" s="1" t="s">
        <v>93</v>
      </c>
      <c r="AB283" s="1">
        <v>1100</v>
      </c>
      <c r="AC283" s="1">
        <v>0</v>
      </c>
      <c r="AD283" s="1">
        <v>0</v>
      </c>
      <c r="AE283" s="1">
        <v>0</v>
      </c>
      <c r="AF283" s="1">
        <v>0</v>
      </c>
      <c r="AG283" s="1">
        <v>0</v>
      </c>
      <c r="AH283" s="1">
        <v>0</v>
      </c>
      <c r="AI283" s="1" t="s">
        <v>1250</v>
      </c>
      <c r="AJ283" s="1" t="s">
        <v>410</v>
      </c>
      <c r="AK283" s="1" t="s">
        <v>15</v>
      </c>
      <c r="AL283" s="1" t="s">
        <v>65</v>
      </c>
      <c r="AM283" s="1" t="s">
        <v>292</v>
      </c>
      <c r="AN283" s="1" t="s">
        <v>21</v>
      </c>
      <c r="AO283" s="1" t="s">
        <v>280</v>
      </c>
      <c r="AP283" s="1" t="s">
        <v>324</v>
      </c>
      <c r="AQ283" s="1" t="s">
        <v>20</v>
      </c>
    </row>
    <row r="284" spans="1:43" x14ac:dyDescent="0.3">
      <c r="A284" s="1">
        <v>24857262</v>
      </c>
      <c r="B284" s="1">
        <v>25695258</v>
      </c>
      <c r="C284" s="1" t="s">
        <v>266</v>
      </c>
      <c r="D284" s="4">
        <v>46205.753541666672</v>
      </c>
      <c r="E284" s="4">
        <v>46208.313125000001</v>
      </c>
      <c r="F284" s="1" t="s">
        <v>19</v>
      </c>
      <c r="G284" s="1" t="s">
        <v>22</v>
      </c>
      <c r="H284" s="1" t="s">
        <v>1251</v>
      </c>
      <c r="I284" s="1" t="s">
        <v>15</v>
      </c>
      <c r="J284" s="1" t="s">
        <v>1252</v>
      </c>
      <c r="K284" s="1" t="s">
        <v>1253</v>
      </c>
      <c r="L284" s="1" t="s">
        <v>1253</v>
      </c>
      <c r="M284" s="4">
        <v>46205.630555555559</v>
      </c>
      <c r="N284" s="1">
        <v>19593800</v>
      </c>
      <c r="O284" s="1" t="s">
        <v>93</v>
      </c>
      <c r="P284" s="1" t="s">
        <v>342</v>
      </c>
      <c r="Q284" s="1" t="s">
        <v>303</v>
      </c>
      <c r="R284" s="1" t="s">
        <v>272</v>
      </c>
      <c r="S284" s="1" t="s">
        <v>3</v>
      </c>
      <c r="T284" s="1" t="s">
        <v>274</v>
      </c>
      <c r="U284" s="1" t="s">
        <v>171</v>
      </c>
      <c r="V284" s="1" t="s">
        <v>912</v>
      </c>
      <c r="W284" s="1" t="s">
        <v>93</v>
      </c>
      <c r="X284" s="1" t="s">
        <v>93</v>
      </c>
      <c r="Y284" s="1" t="s">
        <v>93</v>
      </c>
      <c r="Z284" s="1" t="s">
        <v>76</v>
      </c>
      <c r="AA284" s="1" t="s">
        <v>93</v>
      </c>
      <c r="AB284" s="1">
        <v>270.69</v>
      </c>
      <c r="AC284" s="1">
        <v>48.72</v>
      </c>
      <c r="AD284" s="1">
        <v>9.9499999999999993</v>
      </c>
      <c r="AE284" s="1">
        <v>0</v>
      </c>
      <c r="AF284" s="1">
        <v>0</v>
      </c>
      <c r="AG284" s="1">
        <v>0</v>
      </c>
      <c r="AH284" s="1">
        <v>0</v>
      </c>
      <c r="AI284" s="1" t="s">
        <v>1254</v>
      </c>
      <c r="AJ284" s="1" t="s">
        <v>410</v>
      </c>
      <c r="AK284" s="1" t="s">
        <v>15</v>
      </c>
      <c r="AL284" s="1" t="s">
        <v>65</v>
      </c>
      <c r="AM284" s="1" t="s">
        <v>292</v>
      </c>
      <c r="AN284" s="1" t="s">
        <v>21</v>
      </c>
      <c r="AO284" s="1" t="s">
        <v>280</v>
      </c>
      <c r="AP284" s="1" t="s">
        <v>324</v>
      </c>
      <c r="AQ284" s="1" t="s">
        <v>20</v>
      </c>
    </row>
    <row r="285" spans="1:43" x14ac:dyDescent="0.3">
      <c r="A285" s="1">
        <v>24857265</v>
      </c>
      <c r="B285" s="1">
        <v>25695261</v>
      </c>
      <c r="C285" s="1" t="s">
        <v>266</v>
      </c>
      <c r="D285" s="4">
        <v>46205.753553240742</v>
      </c>
      <c r="E285" s="4">
        <v>46208.313125000001</v>
      </c>
      <c r="F285" s="1" t="s">
        <v>19</v>
      </c>
      <c r="G285" s="1" t="s">
        <v>22</v>
      </c>
      <c r="H285" s="1" t="s">
        <v>1255</v>
      </c>
      <c r="I285" s="1" t="s">
        <v>15</v>
      </c>
      <c r="J285" s="1" t="s">
        <v>1256</v>
      </c>
      <c r="K285" s="1" t="s">
        <v>1253</v>
      </c>
      <c r="L285" s="1" t="s">
        <v>1253</v>
      </c>
      <c r="M285" s="4">
        <v>46205.656944444447</v>
      </c>
      <c r="N285" s="1">
        <v>19593801</v>
      </c>
      <c r="O285" s="1" t="s">
        <v>93</v>
      </c>
      <c r="P285" s="1" t="s">
        <v>342</v>
      </c>
      <c r="Q285" s="1" t="s">
        <v>303</v>
      </c>
      <c r="R285" s="1" t="s">
        <v>272</v>
      </c>
      <c r="S285" s="1" t="s">
        <v>3</v>
      </c>
      <c r="T285" s="1" t="s">
        <v>274</v>
      </c>
      <c r="U285" s="1" t="s">
        <v>171</v>
      </c>
      <c r="V285" s="1" t="s">
        <v>912</v>
      </c>
      <c r="W285" s="1" t="s">
        <v>93</v>
      </c>
      <c r="X285" s="1" t="s">
        <v>93</v>
      </c>
      <c r="Y285" s="1" t="s">
        <v>93</v>
      </c>
      <c r="Z285" s="1" t="s">
        <v>76</v>
      </c>
      <c r="AA285" s="1" t="s">
        <v>93</v>
      </c>
      <c r="AB285" s="1">
        <v>270.69</v>
      </c>
      <c r="AC285" s="1">
        <v>48.72</v>
      </c>
      <c r="AD285" s="1">
        <v>9.9499999999999993</v>
      </c>
      <c r="AE285" s="1">
        <v>0</v>
      </c>
      <c r="AF285" s="1">
        <v>0</v>
      </c>
      <c r="AG285" s="1">
        <v>0</v>
      </c>
      <c r="AH285" s="1">
        <v>0</v>
      </c>
      <c r="AI285" s="1" t="s">
        <v>1257</v>
      </c>
      <c r="AJ285" s="1" t="s">
        <v>410</v>
      </c>
      <c r="AK285" s="1" t="s">
        <v>15</v>
      </c>
      <c r="AL285" s="1" t="s">
        <v>65</v>
      </c>
      <c r="AM285" s="1" t="s">
        <v>292</v>
      </c>
      <c r="AN285" s="1" t="s">
        <v>21</v>
      </c>
      <c r="AO285" s="1" t="s">
        <v>280</v>
      </c>
      <c r="AP285" s="1" t="s">
        <v>324</v>
      </c>
      <c r="AQ285" s="1" t="s">
        <v>20</v>
      </c>
    </row>
    <row r="286" spans="1:43" x14ac:dyDescent="0.3">
      <c r="A286" s="1">
        <v>24848659</v>
      </c>
      <c r="B286" s="1">
        <v>25685295</v>
      </c>
      <c r="C286" s="1" t="s">
        <v>266</v>
      </c>
      <c r="D286" s="4">
        <v>46204.585057870368</v>
      </c>
      <c r="E286" s="4">
        <v>46204.588530092587</v>
      </c>
      <c r="F286" s="1" t="s">
        <v>22</v>
      </c>
      <c r="G286" s="1" t="s">
        <v>22</v>
      </c>
      <c r="H286" s="1" t="s">
        <v>1258</v>
      </c>
      <c r="I286" s="1" t="s">
        <v>15</v>
      </c>
      <c r="J286" s="1" t="s">
        <v>1259</v>
      </c>
      <c r="K286" s="1" t="s">
        <v>911</v>
      </c>
      <c r="L286" s="1" t="s">
        <v>911</v>
      </c>
      <c r="M286" s="4">
        <v>46203.432638888888</v>
      </c>
      <c r="N286" s="1">
        <v>19570794</v>
      </c>
      <c r="O286" s="1" t="s">
        <v>93</v>
      </c>
      <c r="P286" s="1" t="s">
        <v>342</v>
      </c>
      <c r="Q286" s="1" t="s">
        <v>303</v>
      </c>
      <c r="R286" s="1" t="s">
        <v>272</v>
      </c>
      <c r="S286" s="1" t="s">
        <v>3</v>
      </c>
      <c r="T286" s="1" t="s">
        <v>274</v>
      </c>
      <c r="U286" s="1" t="s">
        <v>171</v>
      </c>
      <c r="V286" s="1" t="s">
        <v>912</v>
      </c>
      <c r="W286" s="1" t="s">
        <v>93</v>
      </c>
      <c r="X286" s="1" t="s">
        <v>93</v>
      </c>
      <c r="Y286" s="1" t="s">
        <v>93</v>
      </c>
      <c r="Z286" s="1" t="s">
        <v>76</v>
      </c>
      <c r="AA286" s="1" t="s">
        <v>93</v>
      </c>
      <c r="AB286" s="1">
        <v>1144</v>
      </c>
      <c r="AC286" s="1">
        <v>0</v>
      </c>
      <c r="AD286" s="1">
        <v>0</v>
      </c>
      <c r="AE286" s="1">
        <v>0</v>
      </c>
      <c r="AF286" s="1">
        <v>0</v>
      </c>
      <c r="AG286" s="1">
        <v>0</v>
      </c>
      <c r="AH286" s="1">
        <v>0</v>
      </c>
      <c r="AI286" s="1" t="s">
        <v>1260</v>
      </c>
      <c r="AJ286" s="1" t="s">
        <v>410</v>
      </c>
      <c r="AK286" s="1" t="s">
        <v>15</v>
      </c>
      <c r="AL286" s="1" t="s">
        <v>65</v>
      </c>
      <c r="AM286" s="1" t="s">
        <v>292</v>
      </c>
      <c r="AN286" s="1" t="s">
        <v>21</v>
      </c>
      <c r="AO286" s="1" t="s">
        <v>280</v>
      </c>
      <c r="AP286" s="1" t="s">
        <v>324</v>
      </c>
      <c r="AQ286" s="1" t="s">
        <v>20</v>
      </c>
    </row>
    <row r="287" spans="1:43" x14ac:dyDescent="0.3">
      <c r="A287" s="1">
        <v>24850763</v>
      </c>
      <c r="B287" s="1">
        <v>25687626</v>
      </c>
      <c r="C287" s="1" t="s">
        <v>266</v>
      </c>
      <c r="D287" s="4">
        <v>46204.793865740743</v>
      </c>
      <c r="E287" s="4">
        <v>46204.796666666669</v>
      </c>
      <c r="F287" s="1" t="s">
        <v>22</v>
      </c>
      <c r="G287" s="1" t="s">
        <v>22</v>
      </c>
      <c r="H287" s="1" t="s">
        <v>1261</v>
      </c>
      <c r="I287" s="1" t="s">
        <v>15</v>
      </c>
      <c r="J287" s="1" t="s">
        <v>1262</v>
      </c>
      <c r="K287" s="1" t="s">
        <v>911</v>
      </c>
      <c r="L287" s="1" t="s">
        <v>911</v>
      </c>
      <c r="M287" s="4">
        <v>46203.682638888888</v>
      </c>
      <c r="N287" s="1">
        <v>19576817</v>
      </c>
      <c r="O287" s="1" t="s">
        <v>93</v>
      </c>
      <c r="P287" s="1" t="s">
        <v>342</v>
      </c>
      <c r="Q287" s="1" t="s">
        <v>303</v>
      </c>
      <c r="R287" s="1" t="s">
        <v>272</v>
      </c>
      <c r="S287" s="1" t="s">
        <v>3</v>
      </c>
      <c r="T287" s="1" t="s">
        <v>274</v>
      </c>
      <c r="U287" s="1" t="s">
        <v>171</v>
      </c>
      <c r="V287" s="1" t="s">
        <v>912</v>
      </c>
      <c r="W287" s="1" t="s">
        <v>93</v>
      </c>
      <c r="X287" s="1" t="s">
        <v>93</v>
      </c>
      <c r="Y287" s="1" t="s">
        <v>93</v>
      </c>
      <c r="Z287" s="1" t="s">
        <v>76</v>
      </c>
      <c r="AA287" s="1" t="s">
        <v>93</v>
      </c>
      <c r="AB287" s="1">
        <v>1950</v>
      </c>
      <c r="AC287" s="1">
        <v>0</v>
      </c>
      <c r="AD287" s="1">
        <v>0</v>
      </c>
      <c r="AE287" s="1">
        <v>0</v>
      </c>
      <c r="AF287" s="1">
        <v>0</v>
      </c>
      <c r="AG287" s="1">
        <v>0</v>
      </c>
      <c r="AH287" s="1">
        <v>0</v>
      </c>
      <c r="AI287" s="1" t="s">
        <v>1263</v>
      </c>
      <c r="AJ287" s="1" t="s">
        <v>410</v>
      </c>
      <c r="AK287" s="1" t="s">
        <v>15</v>
      </c>
      <c r="AL287" s="1" t="s">
        <v>65</v>
      </c>
      <c r="AM287" s="1" t="s">
        <v>292</v>
      </c>
      <c r="AN287" s="1" t="s">
        <v>21</v>
      </c>
      <c r="AO287" s="1" t="s">
        <v>280</v>
      </c>
      <c r="AP287" s="1" t="s">
        <v>324</v>
      </c>
      <c r="AQ287" s="1" t="s">
        <v>20</v>
      </c>
    </row>
    <row r="288" spans="1:43" x14ac:dyDescent="0.3">
      <c r="A288" s="1">
        <v>24841656</v>
      </c>
      <c r="B288" s="1">
        <v>25677912</v>
      </c>
      <c r="C288" s="1" t="s">
        <v>266</v>
      </c>
      <c r="D288" s="4">
        <v>46203.501018518517</v>
      </c>
      <c r="E288" s="4">
        <v>46203.504733796297</v>
      </c>
      <c r="F288" s="1" t="s">
        <v>24</v>
      </c>
      <c r="G288" s="1" t="s">
        <v>24</v>
      </c>
      <c r="H288" s="1" t="s">
        <v>1264</v>
      </c>
      <c r="I288" s="1" t="s">
        <v>15</v>
      </c>
      <c r="J288" s="1" t="s">
        <v>1265</v>
      </c>
      <c r="K288" s="1" t="s">
        <v>1266</v>
      </c>
      <c r="L288" s="1" t="s">
        <v>1266</v>
      </c>
      <c r="M288" s="4">
        <v>46202.76458333333</v>
      </c>
      <c r="N288" s="1">
        <v>19563131</v>
      </c>
      <c r="O288" s="1" t="s">
        <v>1267</v>
      </c>
      <c r="P288" s="1" t="s">
        <v>342</v>
      </c>
      <c r="Q288" s="1" t="s">
        <v>303</v>
      </c>
      <c r="R288" s="1" t="s">
        <v>272</v>
      </c>
      <c r="S288" s="1" t="s">
        <v>8</v>
      </c>
      <c r="T288" s="1" t="s">
        <v>274</v>
      </c>
      <c r="U288" s="1" t="s">
        <v>171</v>
      </c>
      <c r="V288" s="1" t="s">
        <v>912</v>
      </c>
      <c r="W288" s="1" t="s">
        <v>93</v>
      </c>
      <c r="X288" s="1" t="s">
        <v>93</v>
      </c>
      <c r="Y288" s="1" t="s">
        <v>93</v>
      </c>
      <c r="Z288" s="1" t="s">
        <v>76</v>
      </c>
      <c r="AA288" s="1" t="s">
        <v>93</v>
      </c>
      <c r="AB288" s="1">
        <v>455.45</v>
      </c>
      <c r="AC288" s="1">
        <v>92.87</v>
      </c>
      <c r="AD288" s="1">
        <v>227.4</v>
      </c>
      <c r="AE288" s="1">
        <v>0</v>
      </c>
      <c r="AF288" s="1">
        <v>0</v>
      </c>
      <c r="AG288" s="1">
        <v>0</v>
      </c>
      <c r="AH288" s="1">
        <v>0</v>
      </c>
      <c r="AI288" s="1" t="s">
        <v>1268</v>
      </c>
      <c r="AJ288" s="1" t="s">
        <v>410</v>
      </c>
      <c r="AK288" s="1" t="s">
        <v>15</v>
      </c>
      <c r="AL288" s="1" t="s">
        <v>65</v>
      </c>
      <c r="AM288" s="1" t="s">
        <v>292</v>
      </c>
      <c r="AN288" s="1" t="s">
        <v>21</v>
      </c>
      <c r="AO288" s="1" t="s">
        <v>280</v>
      </c>
      <c r="AP288" s="1" t="s">
        <v>324</v>
      </c>
      <c r="AQ288" s="1" t="s">
        <v>20</v>
      </c>
    </row>
    <row r="289" spans="1:43" x14ac:dyDescent="0.3">
      <c r="A289" s="1">
        <v>24861916</v>
      </c>
      <c r="B289" s="1">
        <v>25700788</v>
      </c>
      <c r="C289" s="1" t="s">
        <v>266</v>
      </c>
      <c r="D289" s="4">
        <v>46206.586111111108</v>
      </c>
      <c r="E289" s="4">
        <v>46208.313125000001</v>
      </c>
      <c r="F289" s="1" t="s">
        <v>19</v>
      </c>
      <c r="G289" s="1" t="s">
        <v>22</v>
      </c>
      <c r="H289" s="1" t="s">
        <v>1269</v>
      </c>
      <c r="I289" s="1" t="s">
        <v>15</v>
      </c>
      <c r="J289" s="1" t="s">
        <v>1270</v>
      </c>
      <c r="K289" s="1" t="s">
        <v>1271</v>
      </c>
      <c r="L289" s="1" t="s">
        <v>1271</v>
      </c>
      <c r="M289" s="4">
        <v>46205.792361111111</v>
      </c>
      <c r="N289" s="1">
        <v>19598005</v>
      </c>
      <c r="O289" s="1" t="s">
        <v>93</v>
      </c>
      <c r="P289" s="1" t="s">
        <v>342</v>
      </c>
      <c r="Q289" s="1" t="s">
        <v>303</v>
      </c>
      <c r="R289" s="1" t="s">
        <v>272</v>
      </c>
      <c r="S289" s="1" t="s">
        <v>3</v>
      </c>
      <c r="T289" s="1" t="s">
        <v>274</v>
      </c>
      <c r="U289" s="1" t="s">
        <v>171</v>
      </c>
      <c r="V289" s="1" t="s">
        <v>912</v>
      </c>
      <c r="W289" s="1" t="s">
        <v>93</v>
      </c>
      <c r="X289" s="1" t="s">
        <v>93</v>
      </c>
      <c r="Y289" s="1" t="s">
        <v>93</v>
      </c>
      <c r="Z289" s="1" t="s">
        <v>76</v>
      </c>
      <c r="AA289" s="1" t="s">
        <v>93</v>
      </c>
      <c r="AB289" s="1">
        <v>75.81</v>
      </c>
      <c r="AC289" s="1">
        <v>13.64</v>
      </c>
      <c r="AD289" s="1">
        <v>9.9499999999999993</v>
      </c>
      <c r="AE289" s="1">
        <v>0</v>
      </c>
      <c r="AF289" s="1">
        <v>0</v>
      </c>
      <c r="AG289" s="1">
        <v>0</v>
      </c>
      <c r="AH289" s="1">
        <v>0</v>
      </c>
      <c r="AI289" s="1" t="s">
        <v>1272</v>
      </c>
      <c r="AJ289" s="1" t="s">
        <v>410</v>
      </c>
      <c r="AK289" s="1" t="s">
        <v>15</v>
      </c>
      <c r="AL289" s="1" t="s">
        <v>65</v>
      </c>
      <c r="AM289" s="1" t="s">
        <v>292</v>
      </c>
      <c r="AN289" s="1" t="s">
        <v>21</v>
      </c>
      <c r="AO289" s="1" t="s">
        <v>280</v>
      </c>
      <c r="AP289" s="1" t="s">
        <v>324</v>
      </c>
      <c r="AQ289" s="1" t="s">
        <v>20</v>
      </c>
    </row>
    <row r="290" spans="1:43" x14ac:dyDescent="0.3">
      <c r="A290" s="1">
        <v>24861923</v>
      </c>
      <c r="B290" s="1">
        <v>25700795</v>
      </c>
      <c r="C290" s="1" t="s">
        <v>266</v>
      </c>
      <c r="D290" s="4">
        <v>46206.586388888893</v>
      </c>
      <c r="E290" s="4">
        <v>46206.589699074073</v>
      </c>
      <c r="F290" s="1" t="s">
        <v>22</v>
      </c>
      <c r="G290" s="1" t="s">
        <v>22</v>
      </c>
      <c r="H290" s="1" t="s">
        <v>1273</v>
      </c>
      <c r="I290" s="1" t="s">
        <v>15</v>
      </c>
      <c r="J290" s="1" t="s">
        <v>1274</v>
      </c>
      <c r="K290" s="1" t="s">
        <v>1271</v>
      </c>
      <c r="L290" s="1" t="s">
        <v>1271</v>
      </c>
      <c r="M290" s="4">
        <v>46206.468055555553</v>
      </c>
      <c r="N290" s="1">
        <v>19602242</v>
      </c>
      <c r="O290" s="1" t="s">
        <v>1275</v>
      </c>
      <c r="P290" s="1" t="s">
        <v>342</v>
      </c>
      <c r="Q290" s="1" t="s">
        <v>303</v>
      </c>
      <c r="R290" s="1" t="s">
        <v>272</v>
      </c>
      <c r="S290" s="1" t="s">
        <v>8</v>
      </c>
      <c r="T290" s="1" t="s">
        <v>274</v>
      </c>
      <c r="U290" s="1" t="s">
        <v>171</v>
      </c>
      <c r="V290" s="1" t="s">
        <v>912</v>
      </c>
      <c r="W290" s="1" t="s">
        <v>93</v>
      </c>
      <c r="X290" s="1" t="s">
        <v>93</v>
      </c>
      <c r="Y290" s="1" t="s">
        <v>93</v>
      </c>
      <c r="Z290" s="1" t="s">
        <v>76</v>
      </c>
      <c r="AA290" s="1" t="s">
        <v>93</v>
      </c>
      <c r="AB290" s="1">
        <v>1345.32</v>
      </c>
      <c r="AC290" s="1">
        <v>0</v>
      </c>
      <c r="AD290" s="1">
        <v>0</v>
      </c>
      <c r="AE290" s="1">
        <v>0</v>
      </c>
      <c r="AF290" s="1">
        <v>0</v>
      </c>
      <c r="AG290" s="1">
        <v>0</v>
      </c>
      <c r="AH290" s="1">
        <v>0</v>
      </c>
      <c r="AI290" s="1" t="s">
        <v>1276</v>
      </c>
      <c r="AJ290" s="1" t="s">
        <v>410</v>
      </c>
      <c r="AK290" s="1" t="s">
        <v>15</v>
      </c>
      <c r="AL290" s="1" t="s">
        <v>65</v>
      </c>
      <c r="AM290" s="1" t="s">
        <v>292</v>
      </c>
      <c r="AN290" s="1" t="s">
        <v>21</v>
      </c>
      <c r="AO290" s="1" t="s">
        <v>280</v>
      </c>
      <c r="AP290" s="1" t="s">
        <v>324</v>
      </c>
      <c r="AQ290" s="1" t="s">
        <v>20</v>
      </c>
    </row>
    <row r="291" spans="1:43" x14ac:dyDescent="0.3">
      <c r="A291" s="1">
        <v>24849098</v>
      </c>
      <c r="B291" s="1">
        <v>25685817</v>
      </c>
      <c r="C291" s="1" t="s">
        <v>266</v>
      </c>
      <c r="D291" s="4">
        <v>46204.64775462963</v>
      </c>
      <c r="E291" s="4">
        <v>46206.718182870369</v>
      </c>
      <c r="F291" s="1" t="s">
        <v>22</v>
      </c>
      <c r="G291" s="1" t="s">
        <v>22</v>
      </c>
      <c r="H291" s="1" t="s">
        <v>1277</v>
      </c>
      <c r="I291" s="1" t="s">
        <v>17</v>
      </c>
      <c r="J291" s="1" t="s">
        <v>1278</v>
      </c>
      <c r="K291" s="1" t="s">
        <v>1279</v>
      </c>
      <c r="L291" s="1" t="s">
        <v>1279</v>
      </c>
      <c r="M291" s="4">
        <v>46204.530555555553</v>
      </c>
      <c r="N291" s="1" t="s">
        <v>755</v>
      </c>
      <c r="O291" s="1" t="s">
        <v>93</v>
      </c>
      <c r="P291" s="1" t="s">
        <v>342</v>
      </c>
      <c r="Q291" s="1" t="s">
        <v>388</v>
      </c>
      <c r="R291" s="1" t="s">
        <v>388</v>
      </c>
      <c r="S291" s="1" t="s">
        <v>9</v>
      </c>
      <c r="T291" s="1" t="s">
        <v>274</v>
      </c>
      <c r="U291" s="1" t="s">
        <v>187</v>
      </c>
      <c r="V291" s="1" t="s">
        <v>1280</v>
      </c>
      <c r="W291" s="1" t="s">
        <v>93</v>
      </c>
      <c r="X291" s="1" t="s">
        <v>93</v>
      </c>
      <c r="Y291" s="1" t="s">
        <v>93</v>
      </c>
      <c r="Z291" s="1" t="s">
        <v>105</v>
      </c>
      <c r="AA291" s="1" t="s">
        <v>93</v>
      </c>
      <c r="AB291" s="1">
        <v>21044.935799999999</v>
      </c>
      <c r="AC291" s="1">
        <v>492.58</v>
      </c>
      <c r="AD291" s="1">
        <v>0</v>
      </c>
      <c r="AE291" s="1">
        <v>0</v>
      </c>
      <c r="AF291" s="1">
        <v>0</v>
      </c>
      <c r="AG291" s="1">
        <v>0</v>
      </c>
      <c r="AH291" s="1">
        <v>0</v>
      </c>
      <c r="AI291" s="1" t="s">
        <v>290</v>
      </c>
      <c r="AJ291" s="1" t="s">
        <v>410</v>
      </c>
      <c r="AK291" s="1" t="s">
        <v>17</v>
      </c>
      <c r="AL291" s="1" t="s">
        <v>65</v>
      </c>
      <c r="AM291" s="1" t="s">
        <v>292</v>
      </c>
      <c r="AN291" s="1" t="s">
        <v>21</v>
      </c>
      <c r="AO291" s="1" t="s">
        <v>280</v>
      </c>
      <c r="AP291" s="1" t="s">
        <v>324</v>
      </c>
      <c r="AQ291" s="1" t="s">
        <v>20</v>
      </c>
    </row>
    <row r="292" spans="1:43" x14ac:dyDescent="0.3">
      <c r="A292" s="1">
        <v>24848598</v>
      </c>
      <c r="B292" s="1">
        <v>25685227</v>
      </c>
      <c r="C292" s="1" t="s">
        <v>266</v>
      </c>
      <c r="D292" s="4">
        <v>46204.574756944443</v>
      </c>
      <c r="E292" s="4">
        <v>46206.718182870369</v>
      </c>
      <c r="F292" s="1" t="s">
        <v>22</v>
      </c>
      <c r="G292" s="1" t="s">
        <v>22</v>
      </c>
      <c r="H292" s="1" t="s">
        <v>1281</v>
      </c>
      <c r="I292" s="1" t="s">
        <v>17</v>
      </c>
      <c r="J292" s="1" t="s">
        <v>1282</v>
      </c>
      <c r="K292" s="1" t="s">
        <v>1279</v>
      </c>
      <c r="L292" s="1" t="s">
        <v>1279</v>
      </c>
      <c r="M292" s="4">
        <v>46204.404166666667</v>
      </c>
      <c r="N292" s="1" t="s">
        <v>755</v>
      </c>
      <c r="O292" s="1" t="s">
        <v>93</v>
      </c>
      <c r="P292" s="1" t="s">
        <v>342</v>
      </c>
      <c r="Q292" s="1" t="s">
        <v>388</v>
      </c>
      <c r="R292" s="1" t="s">
        <v>388</v>
      </c>
      <c r="S292" s="1" t="s">
        <v>9</v>
      </c>
      <c r="T292" s="1" t="s">
        <v>274</v>
      </c>
      <c r="U292" s="1" t="s">
        <v>187</v>
      </c>
      <c r="V292" s="1" t="s">
        <v>1280</v>
      </c>
      <c r="W292" s="1" t="s">
        <v>93</v>
      </c>
      <c r="X292" s="1" t="s">
        <v>93</v>
      </c>
      <c r="Y292" s="1" t="s">
        <v>93</v>
      </c>
      <c r="Z292" s="1" t="s">
        <v>105</v>
      </c>
      <c r="AA292" s="1" t="s">
        <v>93</v>
      </c>
      <c r="AB292" s="1">
        <v>702.90599999999995</v>
      </c>
      <c r="AC292" s="1">
        <v>29.8</v>
      </c>
      <c r="AD292" s="1">
        <v>0</v>
      </c>
      <c r="AE292" s="1">
        <v>0</v>
      </c>
      <c r="AF292" s="1">
        <v>0</v>
      </c>
      <c r="AG292" s="1">
        <v>0</v>
      </c>
      <c r="AH292" s="1">
        <v>0</v>
      </c>
      <c r="AI292" s="1" t="s">
        <v>290</v>
      </c>
      <c r="AJ292" s="1" t="s">
        <v>410</v>
      </c>
      <c r="AK292" s="1" t="s">
        <v>17</v>
      </c>
      <c r="AL292" s="1" t="s">
        <v>65</v>
      </c>
      <c r="AM292" s="1" t="s">
        <v>292</v>
      </c>
      <c r="AN292" s="1" t="s">
        <v>21</v>
      </c>
      <c r="AO292" s="1" t="s">
        <v>280</v>
      </c>
      <c r="AP292" s="1" t="s">
        <v>324</v>
      </c>
      <c r="AQ292" s="1" t="s">
        <v>20</v>
      </c>
    </row>
    <row r="293" spans="1:43" x14ac:dyDescent="0.3">
      <c r="A293" s="1">
        <v>24858460</v>
      </c>
      <c r="B293" s="1">
        <v>25696772</v>
      </c>
      <c r="C293" s="1" t="s">
        <v>266</v>
      </c>
      <c r="D293" s="4">
        <v>46205.895266203697</v>
      </c>
      <c r="E293" s="4">
        <v>46206.721250000002</v>
      </c>
      <c r="F293" s="1" t="s">
        <v>22</v>
      </c>
      <c r="G293" s="1" t="s">
        <v>22</v>
      </c>
      <c r="H293" s="1" t="s">
        <v>1283</v>
      </c>
      <c r="I293" s="1" t="s">
        <v>17</v>
      </c>
      <c r="J293" s="1" t="s">
        <v>1284</v>
      </c>
      <c r="K293" s="1" t="s">
        <v>1279</v>
      </c>
      <c r="L293" s="1" t="s">
        <v>1279</v>
      </c>
      <c r="M293" s="4">
        <v>46205.69027777778</v>
      </c>
      <c r="N293" s="1" t="s">
        <v>1285</v>
      </c>
      <c r="O293" s="1" t="s">
        <v>93</v>
      </c>
      <c r="P293" s="1" t="s">
        <v>342</v>
      </c>
      <c r="Q293" s="1" t="s">
        <v>388</v>
      </c>
      <c r="R293" s="1" t="s">
        <v>388</v>
      </c>
      <c r="S293" s="1" t="s">
        <v>9</v>
      </c>
      <c r="T293" s="1" t="s">
        <v>274</v>
      </c>
      <c r="U293" s="1" t="s">
        <v>187</v>
      </c>
      <c r="V293" s="1" t="s">
        <v>1280</v>
      </c>
      <c r="W293" s="1" t="s">
        <v>93</v>
      </c>
      <c r="X293" s="1" t="s">
        <v>93</v>
      </c>
      <c r="Y293" s="1" t="s">
        <v>93</v>
      </c>
      <c r="Z293" s="1" t="s">
        <v>105</v>
      </c>
      <c r="AA293" s="1" t="s">
        <v>93</v>
      </c>
      <c r="AB293" s="1">
        <v>890.1</v>
      </c>
      <c r="AC293" s="1">
        <v>115.71</v>
      </c>
      <c r="AD293" s="1">
        <v>0</v>
      </c>
      <c r="AE293" s="1">
        <v>0</v>
      </c>
      <c r="AF293" s="1">
        <v>0</v>
      </c>
      <c r="AG293" s="1">
        <v>0</v>
      </c>
      <c r="AH293" s="1">
        <v>0</v>
      </c>
      <c r="AI293" s="1" t="s">
        <v>290</v>
      </c>
      <c r="AJ293" s="1" t="s">
        <v>410</v>
      </c>
      <c r="AK293" s="1" t="s">
        <v>17</v>
      </c>
      <c r="AL293" s="1" t="s">
        <v>65</v>
      </c>
      <c r="AM293" s="1" t="s">
        <v>292</v>
      </c>
      <c r="AN293" s="1" t="s">
        <v>21</v>
      </c>
      <c r="AO293" s="1" t="s">
        <v>280</v>
      </c>
      <c r="AP293" s="1" t="s">
        <v>324</v>
      </c>
      <c r="AQ293" s="1" t="s">
        <v>20</v>
      </c>
    </row>
    <row r="294" spans="1:43" x14ac:dyDescent="0.3">
      <c r="A294" s="1">
        <v>24858468</v>
      </c>
      <c r="B294" s="1">
        <v>25696778</v>
      </c>
      <c r="C294" s="1" t="s">
        <v>266</v>
      </c>
      <c r="D294" s="4">
        <v>46205.895312499997</v>
      </c>
      <c r="E294" s="4">
        <v>46206.721250000002</v>
      </c>
      <c r="F294" s="1" t="s">
        <v>22</v>
      </c>
      <c r="G294" s="1" t="s">
        <v>22</v>
      </c>
      <c r="H294" s="1" t="s">
        <v>1286</v>
      </c>
      <c r="I294" s="1" t="s">
        <v>17</v>
      </c>
      <c r="J294" s="1" t="s">
        <v>1287</v>
      </c>
      <c r="K294" s="1" t="s">
        <v>1279</v>
      </c>
      <c r="L294" s="1" t="s">
        <v>1279</v>
      </c>
      <c r="M294" s="4">
        <v>46205.688194444447</v>
      </c>
      <c r="N294" s="1" t="s">
        <v>1285</v>
      </c>
      <c r="O294" s="1" t="s">
        <v>93</v>
      </c>
      <c r="P294" s="1" t="s">
        <v>342</v>
      </c>
      <c r="Q294" s="1" t="s">
        <v>388</v>
      </c>
      <c r="R294" s="1" t="s">
        <v>388</v>
      </c>
      <c r="S294" s="1" t="s">
        <v>9</v>
      </c>
      <c r="T294" s="1" t="s">
        <v>274</v>
      </c>
      <c r="U294" s="1" t="s">
        <v>187</v>
      </c>
      <c r="V294" s="1" t="s">
        <v>1280</v>
      </c>
      <c r="W294" s="1" t="s">
        <v>93</v>
      </c>
      <c r="X294" s="1" t="s">
        <v>93</v>
      </c>
      <c r="Y294" s="1" t="s">
        <v>93</v>
      </c>
      <c r="Z294" s="1" t="s">
        <v>105</v>
      </c>
      <c r="AA294" s="1" t="s">
        <v>93</v>
      </c>
      <c r="AB294" s="1">
        <v>890.1</v>
      </c>
      <c r="AC294" s="1">
        <v>115.71</v>
      </c>
      <c r="AD294" s="1">
        <v>0</v>
      </c>
      <c r="AE294" s="1">
        <v>0</v>
      </c>
      <c r="AF294" s="1">
        <v>0</v>
      </c>
      <c r="AG294" s="1">
        <v>0</v>
      </c>
      <c r="AH294" s="1">
        <v>0</v>
      </c>
      <c r="AI294" s="1" t="s">
        <v>290</v>
      </c>
      <c r="AJ294" s="1" t="s">
        <v>410</v>
      </c>
      <c r="AK294" s="1" t="s">
        <v>17</v>
      </c>
      <c r="AL294" s="1" t="s">
        <v>65</v>
      </c>
      <c r="AM294" s="1" t="s">
        <v>292</v>
      </c>
      <c r="AN294" s="1" t="s">
        <v>21</v>
      </c>
      <c r="AO294" s="1" t="s">
        <v>280</v>
      </c>
      <c r="AP294" s="1" t="s">
        <v>324</v>
      </c>
      <c r="AQ294" s="1" t="s">
        <v>20</v>
      </c>
    </row>
    <row r="295" spans="1:43" x14ac:dyDescent="0.3">
      <c r="A295" s="1">
        <v>24836966</v>
      </c>
      <c r="B295" s="1">
        <v>25673614</v>
      </c>
      <c r="C295" s="1" t="s">
        <v>266</v>
      </c>
      <c r="D295" s="4">
        <v>46202.674641203703</v>
      </c>
      <c r="E295" s="4">
        <v>46202.698576388888</v>
      </c>
      <c r="F295" s="1" t="s">
        <v>24</v>
      </c>
      <c r="G295" s="1" t="s">
        <v>24</v>
      </c>
      <c r="H295" s="1" t="s">
        <v>1288</v>
      </c>
      <c r="I295" s="1" t="s">
        <v>268</v>
      </c>
      <c r="J295" s="1" t="s">
        <v>1289</v>
      </c>
      <c r="K295" s="1" t="s">
        <v>270</v>
      </c>
      <c r="L295" s="1" t="s">
        <v>270</v>
      </c>
      <c r="M295" s="4">
        <v>46202.456944444442</v>
      </c>
      <c r="N295" s="1">
        <v>35281</v>
      </c>
      <c r="O295" s="1" t="s">
        <v>855</v>
      </c>
      <c r="P295" s="1" t="s">
        <v>271</v>
      </c>
      <c r="Q295" s="1" t="s">
        <v>303</v>
      </c>
      <c r="R295" s="1" t="s">
        <v>272</v>
      </c>
      <c r="S295" s="1" t="s">
        <v>8</v>
      </c>
      <c r="T295" s="1" t="s">
        <v>274</v>
      </c>
      <c r="U295" s="1" t="s">
        <v>157</v>
      </c>
      <c r="V295" s="1" t="s">
        <v>1290</v>
      </c>
      <c r="W295" s="1" t="s">
        <v>93</v>
      </c>
      <c r="X295" s="1" t="s">
        <v>93</v>
      </c>
      <c r="Y295" s="1" t="s">
        <v>93</v>
      </c>
      <c r="Z295" s="1" t="s">
        <v>68</v>
      </c>
      <c r="AA295" s="1" t="s">
        <v>93</v>
      </c>
      <c r="AB295" s="1">
        <v>202.63</v>
      </c>
      <c r="AC295" s="1">
        <v>0</v>
      </c>
      <c r="AD295" s="1">
        <v>0</v>
      </c>
      <c r="AE295" s="1">
        <v>0</v>
      </c>
      <c r="AF295" s="1">
        <v>0</v>
      </c>
      <c r="AG295" s="1">
        <v>0</v>
      </c>
      <c r="AH295" s="1">
        <v>0</v>
      </c>
      <c r="AI295" s="1" t="s">
        <v>1291</v>
      </c>
      <c r="AJ295" s="1" t="s">
        <v>410</v>
      </c>
      <c r="AK295" s="1" t="s">
        <v>13</v>
      </c>
      <c r="AL295" s="1" t="s">
        <v>65</v>
      </c>
      <c r="AM295" s="1" t="s">
        <v>292</v>
      </c>
      <c r="AN295" s="1" t="s">
        <v>21</v>
      </c>
      <c r="AO295" s="1" t="s">
        <v>280</v>
      </c>
      <c r="AP295" s="1" t="s">
        <v>324</v>
      </c>
      <c r="AQ295" s="1" t="s">
        <v>20</v>
      </c>
    </row>
    <row r="296" spans="1:43" x14ac:dyDescent="0.3">
      <c r="A296" s="1">
        <v>24859100</v>
      </c>
      <c r="B296" s="1">
        <v>25697583</v>
      </c>
      <c r="C296" s="1" t="s">
        <v>266</v>
      </c>
      <c r="D296" s="4">
        <v>46205.966168981482</v>
      </c>
      <c r="E296" s="4">
        <v>46205.976041666669</v>
      </c>
      <c r="F296" s="1" t="s">
        <v>22</v>
      </c>
      <c r="G296" s="1" t="s">
        <v>22</v>
      </c>
      <c r="H296" s="1" t="s">
        <v>1292</v>
      </c>
      <c r="I296" s="1" t="s">
        <v>268</v>
      </c>
      <c r="J296" s="1" t="s">
        <v>1293</v>
      </c>
      <c r="K296" s="1" t="s">
        <v>1294</v>
      </c>
      <c r="L296" s="1" t="s">
        <v>1294</v>
      </c>
      <c r="M296" s="4">
        <v>46205.724999999999</v>
      </c>
      <c r="N296" s="1">
        <v>35329</v>
      </c>
      <c r="O296" s="1" t="s">
        <v>93</v>
      </c>
      <c r="P296" s="1" t="s">
        <v>342</v>
      </c>
      <c r="Q296" s="1" t="s">
        <v>286</v>
      </c>
      <c r="R296" s="1" t="s">
        <v>286</v>
      </c>
      <c r="S296" s="1" t="s">
        <v>3</v>
      </c>
      <c r="T296" s="1" t="s">
        <v>274</v>
      </c>
      <c r="U296" s="1" t="s">
        <v>157</v>
      </c>
      <c r="V296" s="1" t="s">
        <v>1290</v>
      </c>
      <c r="W296" s="1" t="s">
        <v>93</v>
      </c>
      <c r="X296" s="1" t="s">
        <v>93</v>
      </c>
      <c r="Y296" s="1" t="s">
        <v>93</v>
      </c>
      <c r="Z296" s="1" t="s">
        <v>68</v>
      </c>
      <c r="AA296" s="1" t="s">
        <v>93</v>
      </c>
      <c r="AB296" s="1">
        <v>100</v>
      </c>
      <c r="AC296" s="1">
        <v>0</v>
      </c>
      <c r="AD296" s="1">
        <v>0</v>
      </c>
      <c r="AE296" s="1">
        <v>0</v>
      </c>
      <c r="AF296" s="1">
        <v>0</v>
      </c>
      <c r="AG296" s="1">
        <v>0</v>
      </c>
      <c r="AH296" s="1">
        <v>0</v>
      </c>
      <c r="AI296" s="1" t="s">
        <v>1295</v>
      </c>
      <c r="AJ296" s="1" t="s">
        <v>410</v>
      </c>
      <c r="AK296" s="1" t="s">
        <v>13</v>
      </c>
      <c r="AL296" s="1" t="s">
        <v>65</v>
      </c>
      <c r="AM296" s="1" t="s">
        <v>292</v>
      </c>
      <c r="AN296" s="1" t="s">
        <v>21</v>
      </c>
      <c r="AO296" s="1" t="s">
        <v>280</v>
      </c>
      <c r="AP296" s="1" t="s">
        <v>324</v>
      </c>
      <c r="AQ296" s="1" t="s">
        <v>20</v>
      </c>
    </row>
    <row r="297" spans="1:43" x14ac:dyDescent="0.3">
      <c r="A297" s="1">
        <v>24859102</v>
      </c>
      <c r="B297" s="1">
        <v>25697585</v>
      </c>
      <c r="C297" s="1" t="s">
        <v>266</v>
      </c>
      <c r="D297" s="4">
        <v>46205.966238425928</v>
      </c>
      <c r="E297" s="4">
        <v>46205.976168981477</v>
      </c>
      <c r="F297" s="1" t="s">
        <v>22</v>
      </c>
      <c r="G297" s="1" t="s">
        <v>22</v>
      </c>
      <c r="H297" s="1" t="s">
        <v>1296</v>
      </c>
      <c r="I297" s="1" t="s">
        <v>268</v>
      </c>
      <c r="J297" s="1" t="s">
        <v>1297</v>
      </c>
      <c r="K297" s="1" t="s">
        <v>1294</v>
      </c>
      <c r="L297" s="1" t="s">
        <v>1294</v>
      </c>
      <c r="M297" s="4">
        <v>46205.720833333333</v>
      </c>
      <c r="N297" s="1">
        <v>35328</v>
      </c>
      <c r="O297" s="1" t="s">
        <v>93</v>
      </c>
      <c r="P297" s="1" t="s">
        <v>342</v>
      </c>
      <c r="Q297" s="1" t="s">
        <v>286</v>
      </c>
      <c r="R297" s="1" t="s">
        <v>286</v>
      </c>
      <c r="S297" s="1" t="s">
        <v>3</v>
      </c>
      <c r="T297" s="1" t="s">
        <v>274</v>
      </c>
      <c r="U297" s="1" t="s">
        <v>157</v>
      </c>
      <c r="V297" s="1" t="s">
        <v>1290</v>
      </c>
      <c r="W297" s="1" t="s">
        <v>93</v>
      </c>
      <c r="X297" s="1" t="s">
        <v>93</v>
      </c>
      <c r="Y297" s="1" t="s">
        <v>93</v>
      </c>
      <c r="Z297" s="1" t="s">
        <v>68</v>
      </c>
      <c r="AA297" s="1" t="s">
        <v>93</v>
      </c>
      <c r="AB297" s="1">
        <v>100</v>
      </c>
      <c r="AC297" s="1">
        <v>0</v>
      </c>
      <c r="AD297" s="1">
        <v>0</v>
      </c>
      <c r="AE297" s="1">
        <v>0</v>
      </c>
      <c r="AF297" s="1">
        <v>0</v>
      </c>
      <c r="AG297" s="1">
        <v>0</v>
      </c>
      <c r="AH297" s="1">
        <v>0</v>
      </c>
      <c r="AI297" s="1" t="s">
        <v>1298</v>
      </c>
      <c r="AJ297" s="1" t="s">
        <v>410</v>
      </c>
      <c r="AK297" s="1" t="s">
        <v>13</v>
      </c>
      <c r="AL297" s="1" t="s">
        <v>65</v>
      </c>
      <c r="AM297" s="1" t="s">
        <v>292</v>
      </c>
      <c r="AN297" s="1" t="s">
        <v>21</v>
      </c>
      <c r="AO297" s="1" t="s">
        <v>280</v>
      </c>
      <c r="AP297" s="1" t="s">
        <v>324</v>
      </c>
      <c r="AQ297" s="1" t="s">
        <v>20</v>
      </c>
    </row>
    <row r="298" spans="1:43" x14ac:dyDescent="0.3">
      <c r="A298" s="1">
        <v>24860878</v>
      </c>
      <c r="B298" s="1">
        <v>25699594</v>
      </c>
      <c r="C298" s="1" t="s">
        <v>266</v>
      </c>
      <c r="D298" s="4">
        <v>46206.473263888889</v>
      </c>
      <c r="E298" s="4">
        <v>46206.490763888891</v>
      </c>
      <c r="F298" s="1" t="s">
        <v>22</v>
      </c>
      <c r="G298" s="1" t="s">
        <v>22</v>
      </c>
      <c r="H298" s="1" t="s">
        <v>1299</v>
      </c>
      <c r="I298" s="1" t="s">
        <v>268</v>
      </c>
      <c r="J298" s="1" t="s">
        <v>1300</v>
      </c>
      <c r="K298" s="1" t="s">
        <v>270</v>
      </c>
      <c r="L298" s="1" t="s">
        <v>270</v>
      </c>
      <c r="M298" s="4">
        <v>46206.388194444437</v>
      </c>
      <c r="N298" s="1">
        <v>35354</v>
      </c>
      <c r="O298" s="1" t="s">
        <v>855</v>
      </c>
      <c r="P298" s="1" t="s">
        <v>271</v>
      </c>
      <c r="Q298" s="1" t="s">
        <v>303</v>
      </c>
      <c r="R298" s="1" t="s">
        <v>272</v>
      </c>
      <c r="S298" s="1" t="s">
        <v>8</v>
      </c>
      <c r="T298" s="1" t="s">
        <v>274</v>
      </c>
      <c r="U298" s="1" t="s">
        <v>157</v>
      </c>
      <c r="V298" s="1" t="s">
        <v>1290</v>
      </c>
      <c r="W298" s="1" t="s">
        <v>93</v>
      </c>
      <c r="X298" s="1" t="s">
        <v>93</v>
      </c>
      <c r="Y298" s="1" t="s">
        <v>93</v>
      </c>
      <c r="Z298" s="1" t="s">
        <v>68</v>
      </c>
      <c r="AA298" s="1" t="s">
        <v>93</v>
      </c>
      <c r="AB298" s="1">
        <v>845.46</v>
      </c>
      <c r="AC298" s="1">
        <v>0</v>
      </c>
      <c r="AD298" s="1">
        <v>0</v>
      </c>
      <c r="AE298" s="1">
        <v>0</v>
      </c>
      <c r="AF298" s="1">
        <v>0</v>
      </c>
      <c r="AG298" s="1">
        <v>0</v>
      </c>
      <c r="AH298" s="1">
        <v>0</v>
      </c>
      <c r="AI298" s="1" t="s">
        <v>1301</v>
      </c>
      <c r="AJ298" s="1" t="s">
        <v>410</v>
      </c>
      <c r="AK298" s="1" t="s">
        <v>13</v>
      </c>
      <c r="AL298" s="1" t="s">
        <v>65</v>
      </c>
      <c r="AM298" s="1" t="s">
        <v>292</v>
      </c>
      <c r="AN298" s="1" t="s">
        <v>21</v>
      </c>
      <c r="AO298" s="1" t="s">
        <v>280</v>
      </c>
      <c r="AP298" s="1" t="s">
        <v>324</v>
      </c>
      <c r="AQ298" s="1" t="s">
        <v>20</v>
      </c>
    </row>
    <row r="299" spans="1:43" x14ac:dyDescent="0.3">
      <c r="A299" s="1">
        <v>24861219</v>
      </c>
      <c r="B299" s="1">
        <v>25699994</v>
      </c>
      <c r="C299" s="1" t="s">
        <v>266</v>
      </c>
      <c r="D299" s="4">
        <v>46206.50105324074</v>
      </c>
      <c r="E299" s="4">
        <v>46206.506562499999</v>
      </c>
      <c r="F299" s="1" t="s">
        <v>22</v>
      </c>
      <c r="G299" s="1" t="s">
        <v>22</v>
      </c>
      <c r="H299" s="1" t="s">
        <v>1302</v>
      </c>
      <c r="I299" s="1" t="s">
        <v>15</v>
      </c>
      <c r="J299" s="1" t="s">
        <v>1303</v>
      </c>
      <c r="K299" s="1" t="s">
        <v>958</v>
      </c>
      <c r="L299" s="1" t="s">
        <v>958</v>
      </c>
      <c r="M299" s="4">
        <v>46206.423611111109</v>
      </c>
      <c r="N299" s="1">
        <v>19573506</v>
      </c>
      <c r="O299" s="1" t="s">
        <v>1304</v>
      </c>
      <c r="P299" s="1" t="s">
        <v>342</v>
      </c>
      <c r="Q299" s="1" t="s">
        <v>303</v>
      </c>
      <c r="R299" s="1" t="s">
        <v>272</v>
      </c>
      <c r="S299" s="1" t="s">
        <v>8</v>
      </c>
      <c r="T299" s="1" t="s">
        <v>274</v>
      </c>
      <c r="U299" s="1" t="s">
        <v>143</v>
      </c>
      <c r="V299" s="1" t="s">
        <v>954</v>
      </c>
      <c r="W299" s="1" t="s">
        <v>93</v>
      </c>
      <c r="X299" s="1" t="s">
        <v>93</v>
      </c>
      <c r="Y299" s="1" t="s">
        <v>93</v>
      </c>
      <c r="Z299" s="1" t="s">
        <v>52</v>
      </c>
      <c r="AA299" s="1" t="s">
        <v>93</v>
      </c>
      <c r="AB299" s="1">
        <v>857.34</v>
      </c>
      <c r="AC299" s="1">
        <v>0</v>
      </c>
      <c r="AD299" s="1">
        <v>0</v>
      </c>
      <c r="AE299" s="1">
        <v>0</v>
      </c>
      <c r="AF299" s="1">
        <v>0</v>
      </c>
      <c r="AG299" s="1">
        <v>0</v>
      </c>
      <c r="AH299" s="1">
        <v>0</v>
      </c>
      <c r="AI299" s="1" t="s">
        <v>1305</v>
      </c>
      <c r="AJ299" s="1" t="s">
        <v>410</v>
      </c>
      <c r="AK299" s="1" t="s">
        <v>15</v>
      </c>
      <c r="AL299" s="1" t="s">
        <v>65</v>
      </c>
      <c r="AM299" s="1" t="s">
        <v>292</v>
      </c>
      <c r="AN299" s="1" t="s">
        <v>21</v>
      </c>
      <c r="AO299" s="1" t="s">
        <v>280</v>
      </c>
      <c r="AP299" s="1" t="s">
        <v>324</v>
      </c>
      <c r="AQ299" s="1" t="s">
        <v>20</v>
      </c>
    </row>
    <row r="300" spans="1:43" x14ac:dyDescent="0.3">
      <c r="A300" s="1">
        <v>24861222</v>
      </c>
      <c r="B300" s="1">
        <v>25699998</v>
      </c>
      <c r="C300" s="1" t="s">
        <v>266</v>
      </c>
      <c r="D300" s="4">
        <v>46206.501666666663</v>
      </c>
      <c r="E300" s="4">
        <v>46206.506747685176</v>
      </c>
      <c r="F300" s="1" t="s">
        <v>22</v>
      </c>
      <c r="G300" s="1" t="s">
        <v>22</v>
      </c>
      <c r="H300" s="1" t="s">
        <v>1306</v>
      </c>
      <c r="I300" s="1" t="s">
        <v>15</v>
      </c>
      <c r="J300" s="1" t="s">
        <v>1307</v>
      </c>
      <c r="K300" s="1" t="s">
        <v>958</v>
      </c>
      <c r="L300" s="1" t="s">
        <v>958</v>
      </c>
      <c r="M300" s="4">
        <v>46206.426388888889</v>
      </c>
      <c r="N300" s="1">
        <v>19578857</v>
      </c>
      <c r="O300" s="1" t="s">
        <v>1308</v>
      </c>
      <c r="P300" s="1" t="s">
        <v>342</v>
      </c>
      <c r="Q300" s="1" t="s">
        <v>303</v>
      </c>
      <c r="R300" s="1" t="s">
        <v>272</v>
      </c>
      <c r="S300" s="1" t="s">
        <v>8</v>
      </c>
      <c r="T300" s="1" t="s">
        <v>274</v>
      </c>
      <c r="U300" s="1" t="s">
        <v>143</v>
      </c>
      <c r="V300" s="1" t="s">
        <v>954</v>
      </c>
      <c r="W300" s="1" t="s">
        <v>93</v>
      </c>
      <c r="X300" s="1" t="s">
        <v>93</v>
      </c>
      <c r="Y300" s="1" t="s">
        <v>93</v>
      </c>
      <c r="Z300" s="1" t="s">
        <v>52</v>
      </c>
      <c r="AA300" s="1" t="s">
        <v>93</v>
      </c>
      <c r="AB300" s="1">
        <v>387.36</v>
      </c>
      <c r="AC300" s="1">
        <v>0</v>
      </c>
      <c r="AD300" s="1">
        <v>0</v>
      </c>
      <c r="AE300" s="1">
        <v>0</v>
      </c>
      <c r="AF300" s="1">
        <v>0</v>
      </c>
      <c r="AG300" s="1">
        <v>0</v>
      </c>
      <c r="AH300" s="1">
        <v>0</v>
      </c>
      <c r="AI300" s="1" t="s">
        <v>1309</v>
      </c>
      <c r="AJ300" s="1" t="s">
        <v>410</v>
      </c>
      <c r="AK300" s="1" t="s">
        <v>15</v>
      </c>
      <c r="AL300" s="1" t="s">
        <v>65</v>
      </c>
      <c r="AM300" s="1" t="s">
        <v>292</v>
      </c>
      <c r="AN300" s="1" t="s">
        <v>21</v>
      </c>
      <c r="AO300" s="1" t="s">
        <v>280</v>
      </c>
      <c r="AP300" s="1" t="s">
        <v>324</v>
      </c>
      <c r="AQ300" s="1" t="s">
        <v>20</v>
      </c>
    </row>
    <row r="301" spans="1:43" x14ac:dyDescent="0.3">
      <c r="A301" s="1">
        <v>24861275</v>
      </c>
      <c r="B301" s="1">
        <v>25700049</v>
      </c>
      <c r="C301" s="1" t="s">
        <v>266</v>
      </c>
      <c r="D301" s="4">
        <v>46206.503506944442</v>
      </c>
      <c r="E301" s="4">
        <v>46206.508842592593</v>
      </c>
      <c r="F301" s="1" t="s">
        <v>22</v>
      </c>
      <c r="G301" s="1" t="s">
        <v>22</v>
      </c>
      <c r="H301" s="1" t="s">
        <v>1310</v>
      </c>
      <c r="I301" s="1" t="s">
        <v>15</v>
      </c>
      <c r="J301" s="1" t="s">
        <v>1311</v>
      </c>
      <c r="K301" s="1" t="s">
        <v>958</v>
      </c>
      <c r="L301" s="1" t="s">
        <v>958</v>
      </c>
      <c r="M301" s="4">
        <v>46206.431944444441</v>
      </c>
      <c r="N301" s="1">
        <v>19597009</v>
      </c>
      <c r="O301" s="1" t="s">
        <v>1312</v>
      </c>
      <c r="P301" s="1" t="s">
        <v>342</v>
      </c>
      <c r="Q301" s="1" t="s">
        <v>303</v>
      </c>
      <c r="R301" s="1" t="s">
        <v>272</v>
      </c>
      <c r="S301" s="1" t="s">
        <v>8</v>
      </c>
      <c r="T301" s="1" t="s">
        <v>274</v>
      </c>
      <c r="U301" s="1" t="s">
        <v>143</v>
      </c>
      <c r="V301" s="1" t="s">
        <v>954</v>
      </c>
      <c r="W301" s="1" t="s">
        <v>93</v>
      </c>
      <c r="X301" s="1" t="s">
        <v>93</v>
      </c>
      <c r="Y301" s="1" t="s">
        <v>93</v>
      </c>
      <c r="Z301" s="1" t="s">
        <v>52</v>
      </c>
      <c r="AA301" s="1" t="s">
        <v>93</v>
      </c>
      <c r="AB301" s="1">
        <v>504.6</v>
      </c>
      <c r="AC301" s="1">
        <v>0</v>
      </c>
      <c r="AD301" s="1">
        <v>0</v>
      </c>
      <c r="AE301" s="1">
        <v>0</v>
      </c>
      <c r="AF301" s="1">
        <v>0</v>
      </c>
      <c r="AG301" s="1">
        <v>0</v>
      </c>
      <c r="AH301" s="1">
        <v>0</v>
      </c>
      <c r="AI301" s="1" t="s">
        <v>1313</v>
      </c>
      <c r="AJ301" s="1" t="s">
        <v>410</v>
      </c>
      <c r="AK301" s="1" t="s">
        <v>15</v>
      </c>
      <c r="AL301" s="1" t="s">
        <v>65</v>
      </c>
      <c r="AM301" s="1" t="s">
        <v>292</v>
      </c>
      <c r="AN301" s="1" t="s">
        <v>21</v>
      </c>
      <c r="AO301" s="1" t="s">
        <v>280</v>
      </c>
      <c r="AP301" s="1" t="s">
        <v>324</v>
      </c>
      <c r="AQ301" s="1" t="s">
        <v>20</v>
      </c>
    </row>
    <row r="302" spans="1:43" x14ac:dyDescent="0.3">
      <c r="A302" s="1">
        <v>24861280</v>
      </c>
      <c r="B302" s="1">
        <v>25700054</v>
      </c>
      <c r="C302" s="1" t="s">
        <v>266</v>
      </c>
      <c r="D302" s="4">
        <v>46206.503750000003</v>
      </c>
      <c r="E302" s="4">
        <v>46206.509131944447</v>
      </c>
      <c r="F302" s="1" t="s">
        <v>22</v>
      </c>
      <c r="G302" s="1" t="s">
        <v>22</v>
      </c>
      <c r="H302" s="1" t="s">
        <v>1314</v>
      </c>
      <c r="I302" s="1" t="s">
        <v>15</v>
      </c>
      <c r="J302" s="1" t="s">
        <v>1311</v>
      </c>
      <c r="K302" s="1" t="s">
        <v>958</v>
      </c>
      <c r="L302" s="1" t="s">
        <v>958</v>
      </c>
      <c r="M302" s="4">
        <v>46206.436805555553</v>
      </c>
      <c r="N302" s="1">
        <v>19598085</v>
      </c>
      <c r="O302" s="1" t="s">
        <v>1315</v>
      </c>
      <c r="P302" s="1" t="s">
        <v>342</v>
      </c>
      <c r="Q302" s="1" t="s">
        <v>303</v>
      </c>
      <c r="R302" s="1" t="s">
        <v>272</v>
      </c>
      <c r="S302" s="1" t="s">
        <v>8</v>
      </c>
      <c r="T302" s="1" t="s">
        <v>274</v>
      </c>
      <c r="U302" s="1" t="s">
        <v>143</v>
      </c>
      <c r="V302" s="1" t="s">
        <v>954</v>
      </c>
      <c r="W302" s="1" t="s">
        <v>93</v>
      </c>
      <c r="X302" s="1" t="s">
        <v>93</v>
      </c>
      <c r="Y302" s="1" t="s">
        <v>93</v>
      </c>
      <c r="Z302" s="1" t="s">
        <v>52</v>
      </c>
      <c r="AA302" s="1" t="s">
        <v>93</v>
      </c>
      <c r="AB302" s="1">
        <v>639.66</v>
      </c>
      <c r="AC302" s="1">
        <v>0</v>
      </c>
      <c r="AD302" s="1">
        <v>0</v>
      </c>
      <c r="AE302" s="1">
        <v>0</v>
      </c>
      <c r="AF302" s="1">
        <v>0</v>
      </c>
      <c r="AG302" s="1">
        <v>0</v>
      </c>
      <c r="AH302" s="1">
        <v>0</v>
      </c>
      <c r="AI302" s="1" t="s">
        <v>1316</v>
      </c>
      <c r="AJ302" s="1" t="s">
        <v>410</v>
      </c>
      <c r="AK302" s="1" t="s">
        <v>15</v>
      </c>
      <c r="AL302" s="1" t="s">
        <v>65</v>
      </c>
      <c r="AM302" s="1" t="s">
        <v>292</v>
      </c>
      <c r="AN302" s="1" t="s">
        <v>21</v>
      </c>
      <c r="AO302" s="1" t="s">
        <v>280</v>
      </c>
      <c r="AP302" s="1" t="s">
        <v>324</v>
      </c>
      <c r="AQ302" s="1" t="s">
        <v>20</v>
      </c>
    </row>
    <row r="303" spans="1:43" x14ac:dyDescent="0.3">
      <c r="A303" s="1">
        <v>24860156</v>
      </c>
      <c r="B303" s="1">
        <v>25698667</v>
      </c>
      <c r="C303" s="1" t="s">
        <v>266</v>
      </c>
      <c r="D303" s="4">
        <v>46206.378148148149</v>
      </c>
      <c r="E303" s="4">
        <v>46206.381909722222</v>
      </c>
      <c r="F303" s="1" t="s">
        <v>22</v>
      </c>
      <c r="G303" s="1" t="s">
        <v>22</v>
      </c>
      <c r="H303" s="1" t="s">
        <v>1317</v>
      </c>
      <c r="I303" s="1" t="s">
        <v>15</v>
      </c>
      <c r="J303" s="1" t="s">
        <v>957</v>
      </c>
      <c r="K303" s="1" t="s">
        <v>1318</v>
      </c>
      <c r="L303" s="1" t="s">
        <v>1318</v>
      </c>
      <c r="M303" s="4">
        <v>46205.793749999997</v>
      </c>
      <c r="N303" s="1">
        <v>19599045</v>
      </c>
      <c r="O303" s="1" t="s">
        <v>1319</v>
      </c>
      <c r="P303" s="1" t="s">
        <v>271</v>
      </c>
      <c r="Q303" s="1" t="s">
        <v>303</v>
      </c>
      <c r="R303" s="1" t="s">
        <v>272</v>
      </c>
      <c r="S303" s="1" t="s">
        <v>8</v>
      </c>
      <c r="T303" s="1" t="s">
        <v>274</v>
      </c>
      <c r="U303" s="1" t="s">
        <v>143</v>
      </c>
      <c r="V303" s="1" t="s">
        <v>954</v>
      </c>
      <c r="W303" s="1" t="s">
        <v>93</v>
      </c>
      <c r="X303" s="1" t="s">
        <v>93</v>
      </c>
      <c r="Y303" s="1" t="s">
        <v>93</v>
      </c>
      <c r="Z303" s="1" t="s">
        <v>52</v>
      </c>
      <c r="AA303" s="1" t="s">
        <v>93</v>
      </c>
      <c r="AB303" s="1">
        <v>329.52</v>
      </c>
      <c r="AC303" s="1">
        <v>99.18</v>
      </c>
      <c r="AD303" s="1">
        <v>272.72000000000003</v>
      </c>
      <c r="AE303" s="1">
        <v>0</v>
      </c>
      <c r="AF303" s="1">
        <v>0</v>
      </c>
      <c r="AG303" s="1">
        <v>0</v>
      </c>
      <c r="AH303" s="1">
        <v>0</v>
      </c>
      <c r="AI303" s="1" t="s">
        <v>1320</v>
      </c>
      <c r="AJ303" s="1" t="s">
        <v>410</v>
      </c>
      <c r="AK303" s="1" t="s">
        <v>15</v>
      </c>
      <c r="AL303" s="1" t="s">
        <v>65</v>
      </c>
      <c r="AM303" s="1" t="s">
        <v>292</v>
      </c>
      <c r="AN303" s="1" t="s">
        <v>21</v>
      </c>
      <c r="AO303" s="1" t="s">
        <v>280</v>
      </c>
      <c r="AP303" s="1" t="s">
        <v>324</v>
      </c>
      <c r="AQ303" s="1" t="s">
        <v>20</v>
      </c>
    </row>
    <row r="304" spans="1:43" x14ac:dyDescent="0.3">
      <c r="A304" s="1">
        <v>24853581</v>
      </c>
      <c r="B304" s="1">
        <v>25691093</v>
      </c>
      <c r="C304" s="1" t="s">
        <v>266</v>
      </c>
      <c r="D304" s="4">
        <v>46205.420428240737</v>
      </c>
      <c r="E304" s="4">
        <v>46205.422789351847</v>
      </c>
      <c r="F304" s="1" t="s">
        <v>22</v>
      </c>
      <c r="G304" s="1" t="s">
        <v>22</v>
      </c>
      <c r="H304" s="1" t="s">
        <v>1321</v>
      </c>
      <c r="I304" s="1" t="s">
        <v>15</v>
      </c>
      <c r="J304" s="1" t="s">
        <v>1322</v>
      </c>
      <c r="K304" s="1" t="s">
        <v>1323</v>
      </c>
      <c r="L304" s="1" t="s">
        <v>1323</v>
      </c>
      <c r="M304" s="4">
        <v>46205</v>
      </c>
      <c r="N304" s="1">
        <v>19590717</v>
      </c>
      <c r="O304" s="1" t="s">
        <v>93</v>
      </c>
      <c r="P304" s="1" t="s">
        <v>271</v>
      </c>
      <c r="Q304" s="1" t="s">
        <v>286</v>
      </c>
      <c r="R304" s="1" t="s">
        <v>286</v>
      </c>
      <c r="S304" s="1" t="s">
        <v>9</v>
      </c>
      <c r="T304" s="1" t="s">
        <v>274</v>
      </c>
      <c r="U304" s="1" t="s">
        <v>143</v>
      </c>
      <c r="V304" s="1" t="s">
        <v>954</v>
      </c>
      <c r="W304" s="1" t="s">
        <v>93</v>
      </c>
      <c r="X304" s="1" t="s">
        <v>93</v>
      </c>
      <c r="Y304" s="1" t="s">
        <v>93</v>
      </c>
      <c r="Z304" s="1" t="s">
        <v>52</v>
      </c>
      <c r="AA304" s="1" t="s">
        <v>93</v>
      </c>
      <c r="AB304" s="1">
        <v>838.23</v>
      </c>
      <c r="AC304" s="1">
        <v>0</v>
      </c>
      <c r="AD304" s="1">
        <v>0</v>
      </c>
      <c r="AE304" s="1">
        <v>0</v>
      </c>
      <c r="AF304" s="1">
        <v>0</v>
      </c>
      <c r="AG304" s="1">
        <v>41.91</v>
      </c>
      <c r="AH304" s="1">
        <v>0</v>
      </c>
      <c r="AI304" s="1" t="s">
        <v>1324</v>
      </c>
      <c r="AJ304" s="1" t="s">
        <v>410</v>
      </c>
      <c r="AK304" s="1" t="s">
        <v>15</v>
      </c>
      <c r="AL304" s="1" t="s">
        <v>65</v>
      </c>
      <c r="AM304" s="1" t="s">
        <v>292</v>
      </c>
      <c r="AN304" s="1" t="s">
        <v>21</v>
      </c>
      <c r="AO304" s="1" t="s">
        <v>280</v>
      </c>
      <c r="AP304" s="1" t="s">
        <v>324</v>
      </c>
      <c r="AQ304" s="1" t="s">
        <v>20</v>
      </c>
    </row>
    <row r="305" spans="1:43" x14ac:dyDescent="0.3">
      <c r="A305" s="1">
        <v>24835372</v>
      </c>
      <c r="B305" s="1">
        <v>25672131</v>
      </c>
      <c r="C305" s="1" t="s">
        <v>266</v>
      </c>
      <c r="D305" s="4">
        <v>46202.459594907406</v>
      </c>
      <c r="E305" s="4">
        <v>46202.464062500003</v>
      </c>
      <c r="F305" s="1" t="s">
        <v>24</v>
      </c>
      <c r="G305" s="1" t="s">
        <v>24</v>
      </c>
      <c r="H305" s="1" t="s">
        <v>1325</v>
      </c>
      <c r="I305" s="1" t="s">
        <v>15</v>
      </c>
      <c r="J305" s="1" t="s">
        <v>1326</v>
      </c>
      <c r="K305" s="1" t="s">
        <v>958</v>
      </c>
      <c r="L305" s="1" t="s">
        <v>958</v>
      </c>
      <c r="M305" s="4">
        <v>46202.392361111109</v>
      </c>
      <c r="N305" s="1">
        <v>19562324</v>
      </c>
      <c r="O305" s="1" t="s">
        <v>1327</v>
      </c>
      <c r="P305" s="1" t="s">
        <v>271</v>
      </c>
      <c r="Q305" s="1" t="s">
        <v>303</v>
      </c>
      <c r="R305" s="1" t="s">
        <v>272</v>
      </c>
      <c r="S305" s="1" t="s">
        <v>8</v>
      </c>
      <c r="T305" s="1" t="s">
        <v>274</v>
      </c>
      <c r="U305" s="1" t="s">
        <v>143</v>
      </c>
      <c r="V305" s="1" t="s">
        <v>954</v>
      </c>
      <c r="W305" s="1" t="s">
        <v>93</v>
      </c>
      <c r="X305" s="1" t="s">
        <v>93</v>
      </c>
      <c r="Y305" s="1" t="s">
        <v>93</v>
      </c>
      <c r="Z305" s="1" t="s">
        <v>52</v>
      </c>
      <c r="AA305" s="1" t="s">
        <v>93</v>
      </c>
      <c r="AB305" s="1">
        <v>207.68</v>
      </c>
      <c r="AC305" s="1">
        <v>83.23</v>
      </c>
      <c r="AD305" s="1">
        <v>347.24</v>
      </c>
      <c r="AE305" s="1">
        <v>0</v>
      </c>
      <c r="AF305" s="1">
        <v>0</v>
      </c>
      <c r="AG305" s="1">
        <v>0</v>
      </c>
      <c r="AH305" s="1">
        <v>0</v>
      </c>
      <c r="AI305" s="1" t="s">
        <v>1328</v>
      </c>
      <c r="AJ305" s="1" t="s">
        <v>410</v>
      </c>
      <c r="AK305" s="1" t="s">
        <v>15</v>
      </c>
      <c r="AL305" s="1" t="s">
        <v>65</v>
      </c>
      <c r="AM305" s="1" t="s">
        <v>292</v>
      </c>
      <c r="AN305" s="1" t="s">
        <v>21</v>
      </c>
      <c r="AO305" s="1" t="s">
        <v>280</v>
      </c>
      <c r="AP305" s="1" t="s">
        <v>324</v>
      </c>
      <c r="AQ305" s="1" t="s">
        <v>20</v>
      </c>
    </row>
    <row r="306" spans="1:43" x14ac:dyDescent="0.3">
      <c r="A306" s="1">
        <v>24847294</v>
      </c>
      <c r="B306" s="1">
        <v>25683729</v>
      </c>
      <c r="C306" s="1" t="s">
        <v>266</v>
      </c>
      <c r="D306" s="4">
        <v>46204.417673611111</v>
      </c>
      <c r="E306" s="4">
        <v>46204.421435185177</v>
      </c>
      <c r="F306" s="1" t="s">
        <v>22</v>
      </c>
      <c r="G306" s="1" t="s">
        <v>22</v>
      </c>
      <c r="H306" s="1" t="s">
        <v>1329</v>
      </c>
      <c r="I306" s="1" t="s">
        <v>15</v>
      </c>
      <c r="J306" s="1" t="s">
        <v>1330</v>
      </c>
      <c r="K306" s="1" t="s">
        <v>958</v>
      </c>
      <c r="L306" s="1" t="s">
        <v>958</v>
      </c>
      <c r="M306" s="4">
        <v>46198.856944444437</v>
      </c>
      <c r="N306" s="1">
        <v>19549597</v>
      </c>
      <c r="O306" s="1" t="s">
        <v>1331</v>
      </c>
      <c r="P306" s="1" t="s">
        <v>271</v>
      </c>
      <c r="Q306" s="1" t="s">
        <v>303</v>
      </c>
      <c r="R306" s="1" t="s">
        <v>272</v>
      </c>
      <c r="S306" s="1" t="s">
        <v>8</v>
      </c>
      <c r="T306" s="1" t="s">
        <v>274</v>
      </c>
      <c r="U306" s="1" t="s">
        <v>143</v>
      </c>
      <c r="V306" s="1" t="s">
        <v>954</v>
      </c>
      <c r="W306" s="1" t="s">
        <v>93</v>
      </c>
      <c r="X306" s="1" t="s">
        <v>93</v>
      </c>
      <c r="Y306" s="1" t="s">
        <v>93</v>
      </c>
      <c r="Z306" s="1" t="s">
        <v>52</v>
      </c>
      <c r="AA306" s="1" t="s">
        <v>93</v>
      </c>
      <c r="AB306" s="1">
        <v>747.28</v>
      </c>
      <c r="AC306" s="1">
        <v>115.07</v>
      </c>
      <c r="AD306" s="1">
        <v>211.6</v>
      </c>
      <c r="AE306" s="1">
        <v>0</v>
      </c>
      <c r="AF306" s="1">
        <v>0</v>
      </c>
      <c r="AG306" s="1">
        <v>0</v>
      </c>
      <c r="AH306" s="1">
        <v>0</v>
      </c>
      <c r="AI306" s="1" t="s">
        <v>1332</v>
      </c>
      <c r="AJ306" s="1" t="s">
        <v>410</v>
      </c>
      <c r="AK306" s="1" t="s">
        <v>15</v>
      </c>
      <c r="AL306" s="1" t="s">
        <v>65</v>
      </c>
      <c r="AM306" s="1" t="s">
        <v>292</v>
      </c>
      <c r="AN306" s="1" t="s">
        <v>21</v>
      </c>
      <c r="AO306" s="1" t="s">
        <v>280</v>
      </c>
      <c r="AP306" s="1" t="s">
        <v>324</v>
      </c>
      <c r="AQ306" s="1" t="s">
        <v>20</v>
      </c>
    </row>
    <row r="307" spans="1:43" x14ac:dyDescent="0.3">
      <c r="A307" s="1">
        <v>24845021</v>
      </c>
      <c r="B307" s="1">
        <v>25681419</v>
      </c>
      <c r="C307" s="1" t="s">
        <v>266</v>
      </c>
      <c r="D307" s="4">
        <v>46203.835034722222</v>
      </c>
      <c r="E307" s="4">
        <v>46203.83803240741</v>
      </c>
      <c r="F307" s="1" t="s">
        <v>24</v>
      </c>
      <c r="G307" s="1" t="s">
        <v>24</v>
      </c>
      <c r="H307" s="1" t="s">
        <v>1333</v>
      </c>
      <c r="I307" s="1" t="s">
        <v>15</v>
      </c>
      <c r="J307" s="1" t="s">
        <v>1307</v>
      </c>
      <c r="K307" s="1" t="s">
        <v>1323</v>
      </c>
      <c r="L307" s="1" t="s">
        <v>1323</v>
      </c>
      <c r="M307" s="4">
        <v>46203</v>
      </c>
      <c r="N307" s="1">
        <v>19578510</v>
      </c>
      <c r="O307" s="1" t="s">
        <v>93</v>
      </c>
      <c r="P307" s="1" t="s">
        <v>271</v>
      </c>
      <c r="Q307" s="1" t="s">
        <v>286</v>
      </c>
      <c r="R307" s="1" t="s">
        <v>286</v>
      </c>
      <c r="S307" s="1" t="s">
        <v>9</v>
      </c>
      <c r="T307" s="1" t="s">
        <v>274</v>
      </c>
      <c r="U307" s="1" t="s">
        <v>143</v>
      </c>
      <c r="V307" s="1" t="s">
        <v>954</v>
      </c>
      <c r="W307" s="1" t="s">
        <v>93</v>
      </c>
      <c r="X307" s="1" t="s">
        <v>93</v>
      </c>
      <c r="Y307" s="1" t="s">
        <v>93</v>
      </c>
      <c r="Z307" s="1" t="s">
        <v>52</v>
      </c>
      <c r="AA307" s="1" t="s">
        <v>93</v>
      </c>
      <c r="AB307" s="1">
        <v>283.16000000000003</v>
      </c>
      <c r="AC307" s="1">
        <v>0</v>
      </c>
      <c r="AD307" s="1">
        <v>0</v>
      </c>
      <c r="AE307" s="1">
        <v>0</v>
      </c>
      <c r="AF307" s="1">
        <v>0</v>
      </c>
      <c r="AG307" s="1">
        <v>0</v>
      </c>
      <c r="AH307" s="1">
        <v>0</v>
      </c>
      <c r="AI307" s="1" t="s">
        <v>1334</v>
      </c>
      <c r="AJ307" s="1" t="s">
        <v>410</v>
      </c>
      <c r="AK307" s="1" t="s">
        <v>15</v>
      </c>
      <c r="AL307" s="1" t="s">
        <v>65</v>
      </c>
      <c r="AM307" s="1" t="s">
        <v>292</v>
      </c>
      <c r="AN307" s="1" t="s">
        <v>21</v>
      </c>
      <c r="AO307" s="1" t="s">
        <v>280</v>
      </c>
      <c r="AP307" s="1" t="s">
        <v>324</v>
      </c>
      <c r="AQ307" s="1" t="s">
        <v>20</v>
      </c>
    </row>
    <row r="308" spans="1:43" x14ac:dyDescent="0.3">
      <c r="A308" s="1">
        <v>24837186</v>
      </c>
      <c r="B308" s="1">
        <v>25673831</v>
      </c>
      <c r="C308" s="1" t="s">
        <v>266</v>
      </c>
      <c r="D308" s="4">
        <v>46202.683749999997</v>
      </c>
      <c r="E308" s="4">
        <v>46202.725092592591</v>
      </c>
      <c r="F308" s="1" t="s">
        <v>24</v>
      </c>
      <c r="G308" s="1" t="s">
        <v>24</v>
      </c>
      <c r="H308" s="1" t="s">
        <v>1335</v>
      </c>
      <c r="I308" s="1" t="s">
        <v>268</v>
      </c>
      <c r="J308" s="1" t="s">
        <v>1336</v>
      </c>
      <c r="K308" s="1" t="s">
        <v>869</v>
      </c>
      <c r="L308" s="1" t="s">
        <v>869</v>
      </c>
      <c r="M308" s="4">
        <v>46202.526388888888</v>
      </c>
      <c r="N308" s="1">
        <v>114103</v>
      </c>
      <c r="O308" s="1" t="s">
        <v>93</v>
      </c>
      <c r="P308" s="1" t="s">
        <v>342</v>
      </c>
      <c r="Q308" s="1" t="s">
        <v>303</v>
      </c>
      <c r="R308" s="1" t="s">
        <v>272</v>
      </c>
      <c r="S308" s="1" t="s">
        <v>3</v>
      </c>
      <c r="T308" s="1" t="s">
        <v>274</v>
      </c>
      <c r="U308" s="1" t="s">
        <v>144</v>
      </c>
      <c r="V308" s="1" t="s">
        <v>756</v>
      </c>
      <c r="W308" s="1" t="s">
        <v>93</v>
      </c>
      <c r="X308" s="1" t="s">
        <v>93</v>
      </c>
      <c r="Y308" s="1" t="s">
        <v>93</v>
      </c>
      <c r="Z308" s="1" t="s">
        <v>54</v>
      </c>
      <c r="AA308" s="1" t="s">
        <v>93</v>
      </c>
      <c r="AB308" s="1">
        <v>9299.5</v>
      </c>
      <c r="AC308" s="1">
        <v>0</v>
      </c>
      <c r="AD308" s="1">
        <v>0</v>
      </c>
      <c r="AE308" s="1">
        <v>0</v>
      </c>
      <c r="AF308" s="1">
        <v>0</v>
      </c>
      <c r="AG308" s="1">
        <v>0</v>
      </c>
      <c r="AH308" s="1">
        <v>0</v>
      </c>
      <c r="AI308" s="1" t="s">
        <v>1337</v>
      </c>
      <c r="AJ308" s="1" t="s">
        <v>410</v>
      </c>
      <c r="AK308" s="1" t="s">
        <v>13</v>
      </c>
      <c r="AL308" s="1" t="s">
        <v>65</v>
      </c>
      <c r="AM308" s="1" t="s">
        <v>292</v>
      </c>
      <c r="AN308" s="1" t="s">
        <v>21</v>
      </c>
      <c r="AO308" s="1" t="s">
        <v>280</v>
      </c>
      <c r="AP308" s="1" t="s">
        <v>324</v>
      </c>
      <c r="AQ308" s="1" t="s">
        <v>20</v>
      </c>
    </row>
    <row r="309" spans="1:43" x14ac:dyDescent="0.3">
      <c r="A309" s="1">
        <v>24852240</v>
      </c>
      <c r="B309" s="1">
        <v>25689556</v>
      </c>
      <c r="C309" s="1" t="s">
        <v>266</v>
      </c>
      <c r="D309" s="4">
        <v>46204.956111111111</v>
      </c>
      <c r="E309" s="4">
        <v>46204.976805555547</v>
      </c>
      <c r="F309" s="1" t="s">
        <v>22</v>
      </c>
      <c r="G309" s="1" t="s">
        <v>22</v>
      </c>
      <c r="H309" s="1" t="s">
        <v>1338</v>
      </c>
      <c r="I309" s="1" t="s">
        <v>268</v>
      </c>
      <c r="J309" s="1" t="s">
        <v>868</v>
      </c>
      <c r="K309" s="1" t="s">
        <v>869</v>
      </c>
      <c r="L309" s="1" t="s">
        <v>869</v>
      </c>
      <c r="M309" s="4">
        <v>46204.697222222218</v>
      </c>
      <c r="N309" s="1">
        <v>118363</v>
      </c>
      <c r="O309" s="1" t="s">
        <v>93</v>
      </c>
      <c r="P309" s="1" t="s">
        <v>342</v>
      </c>
      <c r="Q309" s="1" t="s">
        <v>303</v>
      </c>
      <c r="R309" s="1" t="s">
        <v>272</v>
      </c>
      <c r="S309" s="1" t="s">
        <v>3</v>
      </c>
      <c r="T309" s="1" t="s">
        <v>274</v>
      </c>
      <c r="U309" s="1" t="s">
        <v>144</v>
      </c>
      <c r="V309" s="1" t="s">
        <v>756</v>
      </c>
      <c r="W309" s="1" t="s">
        <v>93</v>
      </c>
      <c r="X309" s="1" t="s">
        <v>93</v>
      </c>
      <c r="Y309" s="1" t="s">
        <v>93</v>
      </c>
      <c r="Z309" s="1" t="s">
        <v>54</v>
      </c>
      <c r="AA309" s="1" t="s">
        <v>93</v>
      </c>
      <c r="AB309" s="1">
        <v>700</v>
      </c>
      <c r="AC309" s="1">
        <v>0</v>
      </c>
      <c r="AD309" s="1">
        <v>0</v>
      </c>
      <c r="AE309" s="1">
        <v>0</v>
      </c>
      <c r="AF309" s="1">
        <v>0</v>
      </c>
      <c r="AG309" s="1">
        <v>0</v>
      </c>
      <c r="AH309" s="1">
        <v>0</v>
      </c>
      <c r="AI309" s="1" t="s">
        <v>1339</v>
      </c>
      <c r="AJ309" s="1" t="s">
        <v>410</v>
      </c>
      <c r="AK309" s="1" t="s">
        <v>13</v>
      </c>
      <c r="AL309" s="1" t="s">
        <v>65</v>
      </c>
      <c r="AM309" s="1" t="s">
        <v>292</v>
      </c>
      <c r="AN309" s="1" t="s">
        <v>21</v>
      </c>
      <c r="AO309" s="1" t="s">
        <v>280</v>
      </c>
      <c r="AP309" s="1" t="s">
        <v>324</v>
      </c>
      <c r="AQ309" s="1" t="s">
        <v>20</v>
      </c>
    </row>
    <row r="310" spans="1:43" x14ac:dyDescent="0.3">
      <c r="A310" s="1">
        <v>24852244</v>
      </c>
      <c r="B310" s="1">
        <v>25689563</v>
      </c>
      <c r="C310" s="1" t="s">
        <v>266</v>
      </c>
      <c r="D310" s="4">
        <v>46204.956250000003</v>
      </c>
      <c r="E310" s="4">
        <v>46204.976805555547</v>
      </c>
      <c r="F310" s="1" t="s">
        <v>22</v>
      </c>
      <c r="G310" s="1" t="s">
        <v>22</v>
      </c>
      <c r="H310" s="1" t="s">
        <v>1340</v>
      </c>
      <c r="I310" s="1" t="s">
        <v>268</v>
      </c>
      <c r="J310" s="1" t="s">
        <v>1341</v>
      </c>
      <c r="K310" s="1" t="s">
        <v>1342</v>
      </c>
      <c r="L310" s="1" t="s">
        <v>1342</v>
      </c>
      <c r="M310" s="4">
        <v>46204.717361111107</v>
      </c>
      <c r="N310" s="1">
        <v>118336</v>
      </c>
      <c r="O310" s="1" t="s">
        <v>93</v>
      </c>
      <c r="P310" s="1" t="s">
        <v>342</v>
      </c>
      <c r="Q310" s="1" t="s">
        <v>303</v>
      </c>
      <c r="R310" s="1" t="s">
        <v>272</v>
      </c>
      <c r="S310" s="1" t="s">
        <v>3</v>
      </c>
      <c r="T310" s="1" t="s">
        <v>274</v>
      </c>
      <c r="U310" s="1" t="s">
        <v>144</v>
      </c>
      <c r="V310" s="1" t="s">
        <v>756</v>
      </c>
      <c r="W310" s="1" t="s">
        <v>93</v>
      </c>
      <c r="X310" s="1" t="s">
        <v>93</v>
      </c>
      <c r="Y310" s="1" t="s">
        <v>93</v>
      </c>
      <c r="Z310" s="1" t="s">
        <v>54</v>
      </c>
      <c r="AA310" s="1" t="s">
        <v>93</v>
      </c>
      <c r="AB310" s="1">
        <v>231.45</v>
      </c>
      <c r="AC310" s="1">
        <v>0</v>
      </c>
      <c r="AD310" s="1">
        <v>0</v>
      </c>
      <c r="AE310" s="1">
        <v>0</v>
      </c>
      <c r="AF310" s="1">
        <v>0</v>
      </c>
      <c r="AG310" s="1">
        <v>0</v>
      </c>
      <c r="AH310" s="1">
        <v>0</v>
      </c>
      <c r="AI310" s="1" t="s">
        <v>1343</v>
      </c>
      <c r="AJ310" s="1" t="s">
        <v>410</v>
      </c>
      <c r="AK310" s="1" t="s">
        <v>13</v>
      </c>
      <c r="AL310" s="1" t="s">
        <v>65</v>
      </c>
      <c r="AM310" s="1" t="s">
        <v>292</v>
      </c>
      <c r="AN310" s="1" t="s">
        <v>21</v>
      </c>
      <c r="AO310" s="1" t="s">
        <v>280</v>
      </c>
      <c r="AP310" s="1" t="s">
        <v>324</v>
      </c>
      <c r="AQ310" s="1" t="s">
        <v>20</v>
      </c>
    </row>
    <row r="311" spans="1:43" x14ac:dyDescent="0.3">
      <c r="A311" s="1">
        <v>24856821</v>
      </c>
      <c r="B311" s="1">
        <v>25694787</v>
      </c>
      <c r="C311" s="1" t="s">
        <v>266</v>
      </c>
      <c r="D311" s="4">
        <v>46205.732418981483</v>
      </c>
      <c r="E311" s="4">
        <v>46205.78570601852</v>
      </c>
      <c r="F311" s="1" t="s">
        <v>22</v>
      </c>
      <c r="G311" s="1" t="s">
        <v>22</v>
      </c>
      <c r="H311" s="1" t="s">
        <v>1344</v>
      </c>
      <c r="I311" s="1" t="s">
        <v>268</v>
      </c>
      <c r="J311" s="1" t="s">
        <v>1345</v>
      </c>
      <c r="K311" s="1" t="s">
        <v>1346</v>
      </c>
      <c r="L311" s="1" t="s">
        <v>1346</v>
      </c>
      <c r="M311" s="4">
        <v>46205.454861111109</v>
      </c>
      <c r="N311" s="1">
        <v>118427</v>
      </c>
      <c r="O311" s="1" t="s">
        <v>93</v>
      </c>
      <c r="P311" s="1" t="s">
        <v>342</v>
      </c>
      <c r="Q311" s="1" t="s">
        <v>303</v>
      </c>
      <c r="R311" s="1" t="s">
        <v>272</v>
      </c>
      <c r="S311" s="1" t="s">
        <v>3</v>
      </c>
      <c r="T311" s="1" t="s">
        <v>274</v>
      </c>
      <c r="U311" s="1" t="s">
        <v>144</v>
      </c>
      <c r="V311" s="1" t="s">
        <v>756</v>
      </c>
      <c r="W311" s="1" t="s">
        <v>93</v>
      </c>
      <c r="X311" s="1" t="s">
        <v>93</v>
      </c>
      <c r="Y311" s="1" t="s">
        <v>93</v>
      </c>
      <c r="Z311" s="1" t="s">
        <v>54</v>
      </c>
      <c r="AA311" s="1" t="s">
        <v>93</v>
      </c>
      <c r="AB311" s="1">
        <v>231.45</v>
      </c>
      <c r="AC311" s="1">
        <v>0</v>
      </c>
      <c r="AD311" s="1">
        <v>0</v>
      </c>
      <c r="AE311" s="1">
        <v>0</v>
      </c>
      <c r="AF311" s="1">
        <v>0</v>
      </c>
      <c r="AG311" s="1">
        <v>0</v>
      </c>
      <c r="AH311" s="1">
        <v>0</v>
      </c>
      <c r="AI311" s="1" t="s">
        <v>1347</v>
      </c>
      <c r="AJ311" s="1" t="s">
        <v>410</v>
      </c>
      <c r="AK311" s="1" t="s">
        <v>13</v>
      </c>
      <c r="AL311" s="1" t="s">
        <v>65</v>
      </c>
      <c r="AM311" s="1" t="s">
        <v>292</v>
      </c>
      <c r="AN311" s="1" t="s">
        <v>21</v>
      </c>
      <c r="AO311" s="1" t="s">
        <v>280</v>
      </c>
      <c r="AP311" s="1" t="s">
        <v>324</v>
      </c>
      <c r="AQ311" s="1" t="s">
        <v>20</v>
      </c>
    </row>
    <row r="312" spans="1:43" x14ac:dyDescent="0.3">
      <c r="A312" s="1">
        <v>24852214</v>
      </c>
      <c r="B312" s="1">
        <v>25689526</v>
      </c>
      <c r="C312" s="1" t="s">
        <v>266</v>
      </c>
      <c r="D312" s="4">
        <v>46204.955497685187</v>
      </c>
      <c r="E312" s="4">
        <v>46204.97625</v>
      </c>
      <c r="F312" s="1" t="s">
        <v>22</v>
      </c>
      <c r="G312" s="1" t="s">
        <v>22</v>
      </c>
      <c r="H312" s="1" t="s">
        <v>1348</v>
      </c>
      <c r="I312" s="1" t="s">
        <v>268</v>
      </c>
      <c r="J312" s="1" t="s">
        <v>1349</v>
      </c>
      <c r="K312" s="1" t="s">
        <v>270</v>
      </c>
      <c r="L312" s="1" t="s">
        <v>270</v>
      </c>
      <c r="M312" s="4">
        <v>46204.722916666673</v>
      </c>
      <c r="N312" s="1">
        <v>118396</v>
      </c>
      <c r="O312" s="1" t="s">
        <v>789</v>
      </c>
      <c r="P312" s="1" t="s">
        <v>271</v>
      </c>
      <c r="Q312" s="1" t="s">
        <v>303</v>
      </c>
      <c r="R312" s="1" t="s">
        <v>272</v>
      </c>
      <c r="S312" s="1" t="s">
        <v>8</v>
      </c>
      <c r="T312" s="1" t="s">
        <v>274</v>
      </c>
      <c r="U312" s="1" t="s">
        <v>144</v>
      </c>
      <c r="V312" s="1" t="s">
        <v>1350</v>
      </c>
      <c r="W312" s="1" t="s">
        <v>93</v>
      </c>
      <c r="X312" s="1" t="s">
        <v>93</v>
      </c>
      <c r="Y312" s="1" t="s">
        <v>93</v>
      </c>
      <c r="Z312" s="1" t="s">
        <v>54</v>
      </c>
      <c r="AA312" s="1" t="s">
        <v>93</v>
      </c>
      <c r="AB312" s="1">
        <v>562.6</v>
      </c>
      <c r="AC312" s="1">
        <v>0</v>
      </c>
      <c r="AD312" s="1">
        <v>0</v>
      </c>
      <c r="AE312" s="1">
        <v>0</v>
      </c>
      <c r="AF312" s="1">
        <v>0</v>
      </c>
      <c r="AG312" s="1">
        <v>0</v>
      </c>
      <c r="AH312" s="1">
        <v>0</v>
      </c>
      <c r="AI312" s="1" t="s">
        <v>1351</v>
      </c>
      <c r="AJ312" s="1" t="s">
        <v>410</v>
      </c>
      <c r="AK312" s="1" t="s">
        <v>13</v>
      </c>
      <c r="AL312" s="1" t="s">
        <v>65</v>
      </c>
      <c r="AM312" s="1" t="s">
        <v>292</v>
      </c>
      <c r="AN312" s="1" t="s">
        <v>21</v>
      </c>
      <c r="AO312" s="1" t="s">
        <v>280</v>
      </c>
      <c r="AP312" s="1" t="s">
        <v>324</v>
      </c>
      <c r="AQ312" s="1" t="s">
        <v>20</v>
      </c>
    </row>
    <row r="313" spans="1:43" x14ac:dyDescent="0.3">
      <c r="A313" s="1">
        <v>24845983</v>
      </c>
      <c r="B313" s="1">
        <v>25682450</v>
      </c>
      <c r="C313" s="1" t="s">
        <v>266</v>
      </c>
      <c r="D313" s="4">
        <v>46203.939583333333</v>
      </c>
      <c r="E313" s="4">
        <v>46203.955555555563</v>
      </c>
      <c r="F313" s="1" t="s">
        <v>24</v>
      </c>
      <c r="G313" s="1" t="s">
        <v>24</v>
      </c>
      <c r="H313" s="1" t="s">
        <v>1352</v>
      </c>
      <c r="I313" s="1" t="s">
        <v>268</v>
      </c>
      <c r="J313" s="1" t="s">
        <v>1353</v>
      </c>
      <c r="K313" s="1" t="s">
        <v>270</v>
      </c>
      <c r="L313" s="1" t="s">
        <v>270</v>
      </c>
      <c r="M313" s="4">
        <v>46203.711805555547</v>
      </c>
      <c r="N313" s="1">
        <v>8009</v>
      </c>
      <c r="O313" s="1" t="s">
        <v>552</v>
      </c>
      <c r="P313" s="1" t="s">
        <v>271</v>
      </c>
      <c r="Q313" s="1" t="s">
        <v>303</v>
      </c>
      <c r="R313" s="1" t="s">
        <v>272</v>
      </c>
      <c r="S313" s="1" t="s">
        <v>8</v>
      </c>
      <c r="T313" s="1" t="s">
        <v>274</v>
      </c>
      <c r="U313" s="1" t="s">
        <v>186</v>
      </c>
      <c r="V313" s="1" t="s">
        <v>1354</v>
      </c>
      <c r="W313" s="1" t="s">
        <v>93</v>
      </c>
      <c r="X313" s="1" t="s">
        <v>93</v>
      </c>
      <c r="Y313" s="1" t="s">
        <v>93</v>
      </c>
      <c r="Z313" s="1" t="s">
        <v>48</v>
      </c>
      <c r="AA313" s="1" t="s">
        <v>93</v>
      </c>
      <c r="AB313" s="1">
        <v>786.51</v>
      </c>
      <c r="AC313" s="1">
        <v>0</v>
      </c>
      <c r="AD313" s="1">
        <v>0</v>
      </c>
      <c r="AE313" s="1">
        <v>0</v>
      </c>
      <c r="AF313" s="1">
        <v>0</v>
      </c>
      <c r="AG313" s="1">
        <v>0</v>
      </c>
      <c r="AH313" s="1">
        <v>0</v>
      </c>
      <c r="AI313" s="1" t="s">
        <v>1355</v>
      </c>
      <c r="AJ313" s="1" t="s">
        <v>410</v>
      </c>
      <c r="AK313" s="1" t="s">
        <v>13</v>
      </c>
      <c r="AL313" s="1" t="s">
        <v>65</v>
      </c>
      <c r="AM313" s="1" t="s">
        <v>292</v>
      </c>
      <c r="AN313" s="1" t="s">
        <v>21</v>
      </c>
      <c r="AO313" s="1" t="s">
        <v>280</v>
      </c>
      <c r="AP313" s="1" t="s">
        <v>324</v>
      </c>
      <c r="AQ313" s="1" t="s">
        <v>20</v>
      </c>
    </row>
    <row r="314" spans="1:43" x14ac:dyDescent="0.3">
      <c r="A314" s="1">
        <v>24860406</v>
      </c>
      <c r="B314" s="1">
        <v>25698997</v>
      </c>
      <c r="C314" s="1" t="s">
        <v>266</v>
      </c>
      <c r="D314" s="4">
        <v>46206.425543981481</v>
      </c>
      <c r="E314" s="4">
        <v>46206.427719907413</v>
      </c>
      <c r="F314" s="1" t="s">
        <v>22</v>
      </c>
      <c r="G314" s="1" t="s">
        <v>22</v>
      </c>
      <c r="H314" s="1">
        <v>23523635</v>
      </c>
      <c r="I314" s="1" t="s">
        <v>14</v>
      </c>
      <c r="J314" s="1" t="s">
        <v>1356</v>
      </c>
      <c r="K314" s="1" t="s">
        <v>547</v>
      </c>
      <c r="L314" s="1" t="s">
        <v>547</v>
      </c>
      <c r="M314" s="4">
        <v>46203.558333333327</v>
      </c>
      <c r="N314" s="1">
        <v>4716540</v>
      </c>
      <c r="O314" s="1" t="s">
        <v>93</v>
      </c>
      <c r="P314" s="1" t="s">
        <v>271</v>
      </c>
      <c r="Q314" s="1" t="s">
        <v>286</v>
      </c>
      <c r="R314" s="1" t="s">
        <v>286</v>
      </c>
      <c r="S314" s="1" t="s">
        <v>9</v>
      </c>
      <c r="T314" s="1" t="s">
        <v>274</v>
      </c>
      <c r="U314" s="1" t="s">
        <v>190</v>
      </c>
      <c r="V314" s="1" t="s">
        <v>565</v>
      </c>
      <c r="W314" s="1" t="s">
        <v>93</v>
      </c>
      <c r="X314" s="1" t="s">
        <v>93</v>
      </c>
      <c r="Y314" s="1" t="s">
        <v>93</v>
      </c>
      <c r="Z314" s="1" t="s">
        <v>110</v>
      </c>
      <c r="AA314" s="1" t="s">
        <v>93</v>
      </c>
      <c r="AB314" s="1">
        <v>700</v>
      </c>
      <c r="AC314" s="1">
        <v>0</v>
      </c>
      <c r="AD314" s="1">
        <v>0</v>
      </c>
      <c r="AE314" s="1">
        <v>0</v>
      </c>
      <c r="AF314" s="1">
        <v>0</v>
      </c>
      <c r="AG314" s="1">
        <v>0</v>
      </c>
      <c r="AH314" s="1">
        <v>0</v>
      </c>
      <c r="AI314" s="1" t="s">
        <v>1357</v>
      </c>
      <c r="AJ314" s="1" t="s">
        <v>410</v>
      </c>
      <c r="AK314" s="1" t="s">
        <v>14</v>
      </c>
      <c r="AL314" s="1" t="s">
        <v>65</v>
      </c>
      <c r="AM314" s="1" t="s">
        <v>292</v>
      </c>
      <c r="AN314" s="1" t="s">
        <v>21</v>
      </c>
      <c r="AO314" s="1" t="s">
        <v>293</v>
      </c>
      <c r="AP314" s="1" t="s">
        <v>281</v>
      </c>
      <c r="AQ314" s="1" t="s">
        <v>34</v>
      </c>
    </row>
    <row r="315" spans="1:43" x14ac:dyDescent="0.3">
      <c r="A315" s="1">
        <v>24852073</v>
      </c>
      <c r="B315" s="1">
        <v>25689379</v>
      </c>
      <c r="C315" s="1" t="s">
        <v>266</v>
      </c>
      <c r="D315" s="4">
        <v>46204.95140046296</v>
      </c>
      <c r="E315" s="4">
        <v>46204.96671296296</v>
      </c>
      <c r="F315" s="1" t="s">
        <v>22</v>
      </c>
      <c r="G315" s="1" t="s">
        <v>22</v>
      </c>
      <c r="H315" s="1" t="s">
        <v>1358</v>
      </c>
      <c r="I315" s="1" t="s">
        <v>268</v>
      </c>
      <c r="J315" s="1" t="s">
        <v>1359</v>
      </c>
      <c r="K315" s="1" t="s">
        <v>270</v>
      </c>
      <c r="L315" s="1" t="s">
        <v>270</v>
      </c>
      <c r="M315" s="4">
        <v>46204.709027777782</v>
      </c>
      <c r="N315" s="1">
        <v>6518</v>
      </c>
      <c r="O315" s="1" t="s">
        <v>1360</v>
      </c>
      <c r="P315" s="1" t="s">
        <v>271</v>
      </c>
      <c r="Q315" s="1" t="s">
        <v>303</v>
      </c>
      <c r="R315" s="1" t="s">
        <v>272</v>
      </c>
      <c r="S315" s="1" t="s">
        <v>8</v>
      </c>
      <c r="T315" s="1" t="s">
        <v>274</v>
      </c>
      <c r="U315" s="1" t="s">
        <v>199</v>
      </c>
      <c r="V315" s="1" t="s">
        <v>1361</v>
      </c>
      <c r="W315" s="1" t="s">
        <v>93</v>
      </c>
      <c r="X315" s="1" t="s">
        <v>93</v>
      </c>
      <c r="Y315" s="1" t="s">
        <v>93</v>
      </c>
      <c r="Z315" s="1" t="s">
        <v>48</v>
      </c>
      <c r="AA315" s="1" t="s">
        <v>93</v>
      </c>
      <c r="AB315" s="1">
        <v>177.57</v>
      </c>
      <c r="AC315" s="1">
        <v>0</v>
      </c>
      <c r="AD315" s="1">
        <v>0</v>
      </c>
      <c r="AE315" s="1">
        <v>0</v>
      </c>
      <c r="AF315" s="1">
        <v>0</v>
      </c>
      <c r="AG315" s="1">
        <v>0</v>
      </c>
      <c r="AH315" s="1">
        <v>0</v>
      </c>
      <c r="AI315" s="1" t="s">
        <v>1362</v>
      </c>
      <c r="AJ315" s="1" t="s">
        <v>410</v>
      </c>
      <c r="AK315" s="1" t="s">
        <v>13</v>
      </c>
      <c r="AL315" s="1" t="s">
        <v>65</v>
      </c>
      <c r="AM315" s="1" t="s">
        <v>292</v>
      </c>
      <c r="AN315" s="1" t="s">
        <v>21</v>
      </c>
      <c r="AO315" s="1" t="s">
        <v>280</v>
      </c>
      <c r="AP315" s="1" t="s">
        <v>324</v>
      </c>
      <c r="AQ315" s="1" t="s">
        <v>20</v>
      </c>
    </row>
    <row r="316" spans="1:43" x14ac:dyDescent="0.3">
      <c r="A316" s="1">
        <v>24862064</v>
      </c>
      <c r="B316" s="1">
        <v>25700979</v>
      </c>
      <c r="C316" s="1" t="s">
        <v>266</v>
      </c>
      <c r="D316" s="4">
        <v>46206.600891203707</v>
      </c>
      <c r="E316" s="4">
        <v>46206.606446759259</v>
      </c>
      <c r="F316" s="1" t="s">
        <v>22</v>
      </c>
      <c r="G316" s="1" t="s">
        <v>22</v>
      </c>
      <c r="H316" s="1" t="s">
        <v>1363</v>
      </c>
      <c r="I316" s="1" t="s">
        <v>17</v>
      </c>
      <c r="J316" s="1" t="s">
        <v>1364</v>
      </c>
      <c r="K316" s="1" t="s">
        <v>435</v>
      </c>
      <c r="L316" s="1" t="s">
        <v>435</v>
      </c>
      <c r="M316" s="4">
        <v>46203.57916666667</v>
      </c>
      <c r="N316" s="1" t="s">
        <v>1365</v>
      </c>
      <c r="O316" s="1" t="s">
        <v>93</v>
      </c>
      <c r="P316" s="1" t="s">
        <v>271</v>
      </c>
      <c r="Q316" s="1" t="s">
        <v>286</v>
      </c>
      <c r="R316" s="1" t="s">
        <v>286</v>
      </c>
      <c r="S316" s="1" t="s">
        <v>9</v>
      </c>
      <c r="T316" s="1" t="s">
        <v>274</v>
      </c>
      <c r="U316" s="1" t="s">
        <v>205</v>
      </c>
      <c r="V316" s="1" t="s">
        <v>474</v>
      </c>
      <c r="W316" s="1" t="s">
        <v>93</v>
      </c>
      <c r="X316" s="1" t="s">
        <v>93</v>
      </c>
      <c r="Y316" s="1" t="s">
        <v>93</v>
      </c>
      <c r="Z316" s="1" t="s">
        <v>56</v>
      </c>
      <c r="AA316" s="1" t="s">
        <v>93</v>
      </c>
      <c r="AB316" s="1">
        <v>0</v>
      </c>
      <c r="AC316" s="1">
        <v>0</v>
      </c>
      <c r="AD316" s="1">
        <v>0</v>
      </c>
      <c r="AE316" s="1">
        <v>0</v>
      </c>
      <c r="AF316" s="1">
        <v>0</v>
      </c>
      <c r="AG316" s="1">
        <v>0</v>
      </c>
      <c r="AH316" s="1">
        <v>0</v>
      </c>
      <c r="AI316" s="1" t="s">
        <v>290</v>
      </c>
      <c r="AJ316" s="1" t="s">
        <v>707</v>
      </c>
      <c r="AK316" s="1" t="s">
        <v>17</v>
      </c>
      <c r="AL316" s="1" t="s">
        <v>69</v>
      </c>
      <c r="AM316" s="1" t="s">
        <v>337</v>
      </c>
      <c r="AN316" s="1" t="s">
        <v>21</v>
      </c>
      <c r="AO316" s="1" t="s">
        <v>280</v>
      </c>
      <c r="AP316" s="1" t="s">
        <v>324</v>
      </c>
      <c r="AQ316" s="1" t="s">
        <v>27</v>
      </c>
    </row>
    <row r="317" spans="1:43" x14ac:dyDescent="0.3">
      <c r="A317" s="1">
        <v>24861374</v>
      </c>
      <c r="B317" s="1">
        <v>25700170</v>
      </c>
      <c r="C317" s="1" t="s">
        <v>294</v>
      </c>
      <c r="D317" s="4">
        <v>46206.516006944446</v>
      </c>
      <c r="E317" s="4">
        <v>46206.518287037034</v>
      </c>
      <c r="F317" s="1" t="s">
        <v>22</v>
      </c>
      <c r="G317" s="1" t="s">
        <v>22</v>
      </c>
      <c r="H317" s="1" t="s">
        <v>1366</v>
      </c>
      <c r="I317" s="1" t="s">
        <v>17</v>
      </c>
      <c r="J317" s="1" t="s">
        <v>1367</v>
      </c>
      <c r="K317" s="1" t="s">
        <v>314</v>
      </c>
      <c r="L317" s="1" t="s">
        <v>314</v>
      </c>
      <c r="M317" s="4">
        <v>46206.386111111111</v>
      </c>
      <c r="N317" s="1" t="s">
        <v>1368</v>
      </c>
      <c r="O317" s="1" t="s">
        <v>93</v>
      </c>
      <c r="P317" s="1" t="s">
        <v>271</v>
      </c>
      <c r="Q317" s="1" t="s">
        <v>286</v>
      </c>
      <c r="R317" s="1" t="s">
        <v>286</v>
      </c>
      <c r="S317" s="1" t="s">
        <v>9</v>
      </c>
      <c r="T317" s="1" t="s">
        <v>274</v>
      </c>
      <c r="U317" s="1" t="s">
        <v>205</v>
      </c>
      <c r="V317" s="1" t="s">
        <v>474</v>
      </c>
      <c r="W317" s="1" t="s">
        <v>93</v>
      </c>
      <c r="X317" s="1" t="s">
        <v>93</v>
      </c>
      <c r="Y317" s="1" t="s">
        <v>93</v>
      </c>
      <c r="Z317" s="1" t="s">
        <v>56</v>
      </c>
      <c r="AA317" s="1" t="s">
        <v>93</v>
      </c>
      <c r="AB317" s="1">
        <v>560</v>
      </c>
      <c r="AC317" s="1">
        <v>84</v>
      </c>
      <c r="AD317" s="1">
        <v>0</v>
      </c>
      <c r="AE317" s="1">
        <v>0</v>
      </c>
      <c r="AF317" s="1">
        <v>0</v>
      </c>
      <c r="AG317" s="1">
        <v>0</v>
      </c>
      <c r="AH317" s="1">
        <v>0</v>
      </c>
      <c r="AI317" s="1" t="s">
        <v>290</v>
      </c>
      <c r="AJ317" s="1" t="s">
        <v>291</v>
      </c>
      <c r="AK317" s="1" t="s">
        <v>17</v>
      </c>
      <c r="AL317" s="1" t="s">
        <v>65</v>
      </c>
      <c r="AM317" s="1" t="s">
        <v>292</v>
      </c>
      <c r="AN317" s="1" t="s">
        <v>21</v>
      </c>
      <c r="AO317" s="1" t="s">
        <v>293</v>
      </c>
      <c r="AP317" s="1" t="s">
        <v>281</v>
      </c>
      <c r="AQ317" s="1" t="s">
        <v>34</v>
      </c>
    </row>
    <row r="318" spans="1:43" x14ac:dyDescent="0.3">
      <c r="A318" s="1">
        <v>24861377</v>
      </c>
      <c r="B318" s="1">
        <v>25700176</v>
      </c>
      <c r="C318" s="1" t="s">
        <v>266</v>
      </c>
      <c r="D318" s="4">
        <v>46206.516145833331</v>
      </c>
      <c r="E318" s="4">
        <v>46206.518310185187</v>
      </c>
      <c r="F318" s="1" t="s">
        <v>22</v>
      </c>
      <c r="G318" s="1" t="s">
        <v>22</v>
      </c>
      <c r="H318" s="1" t="s">
        <v>1369</v>
      </c>
      <c r="I318" s="1" t="s">
        <v>17</v>
      </c>
      <c r="J318" s="1" t="s">
        <v>1370</v>
      </c>
      <c r="K318" s="1" t="s">
        <v>314</v>
      </c>
      <c r="L318" s="1" t="s">
        <v>314</v>
      </c>
      <c r="M318" s="4">
        <v>46206.388888888891</v>
      </c>
      <c r="N318" s="1" t="s">
        <v>1371</v>
      </c>
      <c r="O318" s="1" t="s">
        <v>1372</v>
      </c>
      <c r="P318" s="1" t="s">
        <v>271</v>
      </c>
      <c r="Q318" s="1" t="s">
        <v>303</v>
      </c>
      <c r="R318" s="1" t="s">
        <v>272</v>
      </c>
      <c r="S318" s="1" t="s">
        <v>8</v>
      </c>
      <c r="T318" s="1" t="s">
        <v>274</v>
      </c>
      <c r="U318" s="1" t="s">
        <v>205</v>
      </c>
      <c r="V318" s="1" t="s">
        <v>474</v>
      </c>
      <c r="W318" s="1" t="s">
        <v>93</v>
      </c>
      <c r="X318" s="1" t="s">
        <v>93</v>
      </c>
      <c r="Y318" s="1" t="s">
        <v>93</v>
      </c>
      <c r="Z318" s="1" t="s">
        <v>56</v>
      </c>
      <c r="AA318" s="1" t="s">
        <v>93</v>
      </c>
      <c r="AB318" s="1">
        <v>764.16</v>
      </c>
      <c r="AC318" s="1">
        <v>393.76</v>
      </c>
      <c r="AD318" s="1">
        <v>0</v>
      </c>
      <c r="AE318" s="1">
        <v>0</v>
      </c>
      <c r="AF318" s="1">
        <v>0</v>
      </c>
      <c r="AG318" s="1">
        <v>0</v>
      </c>
      <c r="AH318" s="1">
        <v>0</v>
      </c>
      <c r="AI318" s="1" t="s">
        <v>290</v>
      </c>
      <c r="AJ318" s="1" t="s">
        <v>410</v>
      </c>
      <c r="AK318" s="1" t="s">
        <v>17</v>
      </c>
      <c r="AL318" s="1" t="s">
        <v>65</v>
      </c>
      <c r="AM318" s="1" t="s">
        <v>292</v>
      </c>
      <c r="AN318" s="1" t="s">
        <v>21</v>
      </c>
      <c r="AO318" s="1" t="s">
        <v>280</v>
      </c>
      <c r="AP318" s="1" t="s">
        <v>324</v>
      </c>
      <c r="AQ318" s="1" t="s">
        <v>20</v>
      </c>
    </row>
    <row r="319" spans="1:43" x14ac:dyDescent="0.3">
      <c r="A319" s="1">
        <v>24837386</v>
      </c>
      <c r="B319" s="1">
        <v>25674046</v>
      </c>
      <c r="C319" s="1" t="s">
        <v>266</v>
      </c>
      <c r="D319" s="4">
        <v>46202.694918981477</v>
      </c>
      <c r="E319" s="4">
        <v>46202.74496527778</v>
      </c>
      <c r="F319" s="1" t="s">
        <v>24</v>
      </c>
      <c r="G319" s="1" t="s">
        <v>24</v>
      </c>
      <c r="H319" s="1" t="s">
        <v>1373</v>
      </c>
      <c r="I319" s="1" t="s">
        <v>268</v>
      </c>
      <c r="J319" s="1" t="s">
        <v>1374</v>
      </c>
      <c r="K319" s="1" t="s">
        <v>270</v>
      </c>
      <c r="L319" s="1" t="s">
        <v>270</v>
      </c>
      <c r="M319" s="4">
        <v>46202.549305555563</v>
      </c>
      <c r="N319" s="1">
        <v>44873</v>
      </c>
      <c r="O319" s="1" t="s">
        <v>1375</v>
      </c>
      <c r="P319" s="1" t="s">
        <v>271</v>
      </c>
      <c r="Q319" s="1" t="s">
        <v>303</v>
      </c>
      <c r="R319" s="1" t="s">
        <v>272</v>
      </c>
      <c r="S319" s="1" t="s">
        <v>8</v>
      </c>
      <c r="T319" s="1" t="s">
        <v>274</v>
      </c>
      <c r="U319" s="1" t="s">
        <v>180</v>
      </c>
      <c r="V319" s="1" t="s">
        <v>1376</v>
      </c>
      <c r="W319" s="1" t="s">
        <v>93</v>
      </c>
      <c r="X319" s="1" t="s">
        <v>93</v>
      </c>
      <c r="Y319" s="1" t="s">
        <v>93</v>
      </c>
      <c r="Z319" s="1" t="s">
        <v>87</v>
      </c>
      <c r="AA319" s="1" t="s">
        <v>93</v>
      </c>
      <c r="AB319" s="1">
        <v>670.72659999999996</v>
      </c>
      <c r="AC319" s="1">
        <v>0</v>
      </c>
      <c r="AD319" s="1">
        <v>0</v>
      </c>
      <c r="AE319" s="1">
        <v>0</v>
      </c>
      <c r="AF319" s="1">
        <v>0</v>
      </c>
      <c r="AG319" s="1">
        <v>0</v>
      </c>
      <c r="AH319" s="1">
        <v>0</v>
      </c>
      <c r="AI319" s="1" t="s">
        <v>1377</v>
      </c>
      <c r="AJ319" s="1" t="s">
        <v>410</v>
      </c>
      <c r="AK319" s="1" t="s">
        <v>13</v>
      </c>
      <c r="AL319" s="1" t="s">
        <v>65</v>
      </c>
      <c r="AM319" s="1" t="s">
        <v>292</v>
      </c>
      <c r="AN319" s="1" t="s">
        <v>21</v>
      </c>
      <c r="AO319" s="1" t="s">
        <v>280</v>
      </c>
      <c r="AP319" s="1" t="s">
        <v>324</v>
      </c>
      <c r="AQ319" s="1" t="s">
        <v>20</v>
      </c>
    </row>
    <row r="320" spans="1:43" x14ac:dyDescent="0.3">
      <c r="A320" s="1">
        <v>24862042</v>
      </c>
      <c r="B320" s="1">
        <v>25700953</v>
      </c>
      <c r="C320" s="1" t="s">
        <v>266</v>
      </c>
      <c r="D320" s="4">
        <v>46206.599236111113</v>
      </c>
      <c r="E320" s="4">
        <v>46207.143634259257</v>
      </c>
      <c r="F320" s="1" t="s">
        <v>19</v>
      </c>
      <c r="G320" s="1" t="s">
        <v>22</v>
      </c>
      <c r="H320" s="1">
        <v>23564347</v>
      </c>
      <c r="I320" s="1" t="s">
        <v>14</v>
      </c>
      <c r="J320" s="1" t="s">
        <v>1378</v>
      </c>
      <c r="K320" s="1" t="s">
        <v>547</v>
      </c>
      <c r="L320" s="1" t="s">
        <v>547</v>
      </c>
      <c r="M320" s="4">
        <v>46205.663194444453</v>
      </c>
      <c r="N320" s="1">
        <v>4717990</v>
      </c>
      <c r="O320" s="1" t="s">
        <v>93</v>
      </c>
      <c r="P320" s="1" t="s">
        <v>342</v>
      </c>
      <c r="Q320" s="1" t="s">
        <v>286</v>
      </c>
      <c r="R320" s="1" t="s">
        <v>286</v>
      </c>
      <c r="S320" s="1" t="s">
        <v>9</v>
      </c>
      <c r="T320" s="1" t="s">
        <v>274</v>
      </c>
      <c r="U320" s="1" t="s">
        <v>142</v>
      </c>
      <c r="V320" s="1" t="s">
        <v>575</v>
      </c>
      <c r="W320" s="1" t="s">
        <v>93</v>
      </c>
      <c r="X320" s="1" t="s">
        <v>93</v>
      </c>
      <c r="Y320" s="1" t="s">
        <v>93</v>
      </c>
      <c r="Z320" s="1" t="s">
        <v>50</v>
      </c>
      <c r="AA320" s="1" t="s">
        <v>93</v>
      </c>
      <c r="AB320" s="1">
        <v>187</v>
      </c>
      <c r="AC320" s="1">
        <v>0</v>
      </c>
      <c r="AD320" s="1">
        <v>0</v>
      </c>
      <c r="AE320" s="1">
        <v>0</v>
      </c>
      <c r="AF320" s="1">
        <v>0</v>
      </c>
      <c r="AG320" s="1">
        <v>0</v>
      </c>
      <c r="AH320" s="1">
        <v>0</v>
      </c>
      <c r="AI320" s="1" t="s">
        <v>1379</v>
      </c>
      <c r="AJ320" s="1" t="s">
        <v>410</v>
      </c>
      <c r="AK320" s="1" t="s">
        <v>14</v>
      </c>
      <c r="AL320" s="1" t="s">
        <v>65</v>
      </c>
      <c r="AM320" s="1" t="s">
        <v>292</v>
      </c>
      <c r="AN320" s="1" t="s">
        <v>21</v>
      </c>
      <c r="AO320" s="1" t="s">
        <v>293</v>
      </c>
      <c r="AP320" s="1" t="s">
        <v>281</v>
      </c>
      <c r="AQ320" s="1" t="s">
        <v>34</v>
      </c>
    </row>
    <row r="321" spans="1:43" x14ac:dyDescent="0.3">
      <c r="A321" s="1">
        <v>24854574</v>
      </c>
      <c r="B321" s="1">
        <v>25692200</v>
      </c>
      <c r="C321" s="1" t="s">
        <v>294</v>
      </c>
      <c r="D321" s="4">
        <v>46205.51599537037</v>
      </c>
      <c r="E321" s="4">
        <v>46206.417245370372</v>
      </c>
      <c r="F321" s="1" t="s">
        <v>22</v>
      </c>
      <c r="G321" s="1" t="s">
        <v>22</v>
      </c>
      <c r="H321" s="1" t="s">
        <v>1380</v>
      </c>
      <c r="I321" s="1" t="s">
        <v>14</v>
      </c>
      <c r="J321" s="1" t="s">
        <v>1381</v>
      </c>
      <c r="K321" s="1" t="s">
        <v>547</v>
      </c>
      <c r="L321" s="1" t="s">
        <v>547</v>
      </c>
      <c r="M321" s="4">
        <v>46205.495138888888</v>
      </c>
      <c r="N321" s="1">
        <v>4716838</v>
      </c>
      <c r="O321" s="1" t="s">
        <v>93</v>
      </c>
      <c r="P321" s="1" t="s">
        <v>342</v>
      </c>
      <c r="Q321" s="1" t="s">
        <v>303</v>
      </c>
      <c r="R321" s="1" t="s">
        <v>272</v>
      </c>
      <c r="S321" s="1" t="s">
        <v>9</v>
      </c>
      <c r="T321" s="1" t="s">
        <v>274</v>
      </c>
      <c r="U321" s="1" t="s">
        <v>142</v>
      </c>
      <c r="V321" s="1" t="s">
        <v>575</v>
      </c>
      <c r="W321" s="1" t="s">
        <v>93</v>
      </c>
      <c r="X321" s="1" t="s">
        <v>93</v>
      </c>
      <c r="Y321" s="1" t="s">
        <v>93</v>
      </c>
      <c r="Z321" s="1" t="s">
        <v>50</v>
      </c>
      <c r="AA321" s="1" t="s">
        <v>93</v>
      </c>
      <c r="AB321" s="1">
        <v>180</v>
      </c>
      <c r="AC321" s="1">
        <v>0</v>
      </c>
      <c r="AD321" s="1">
        <v>0</v>
      </c>
      <c r="AE321" s="1">
        <v>0</v>
      </c>
      <c r="AF321" s="1">
        <v>0</v>
      </c>
      <c r="AG321" s="1">
        <v>0</v>
      </c>
      <c r="AH321" s="1">
        <v>0</v>
      </c>
      <c r="AI321" s="1" t="s">
        <v>1382</v>
      </c>
      <c r="AJ321" s="1" t="s">
        <v>291</v>
      </c>
      <c r="AK321" s="1" t="s">
        <v>14</v>
      </c>
      <c r="AL321" s="1" t="s">
        <v>65</v>
      </c>
      <c r="AM321" s="1" t="s">
        <v>292</v>
      </c>
      <c r="AN321" s="1" t="s">
        <v>21</v>
      </c>
      <c r="AO321" s="1" t="s">
        <v>293</v>
      </c>
      <c r="AP321" s="1" t="s">
        <v>281</v>
      </c>
      <c r="AQ321" s="1" t="s">
        <v>34</v>
      </c>
    </row>
    <row r="322" spans="1:43" x14ac:dyDescent="0.3">
      <c r="A322" s="1">
        <v>24854574</v>
      </c>
      <c r="B322" s="1">
        <v>25692201</v>
      </c>
      <c r="C322" s="1" t="s">
        <v>382</v>
      </c>
      <c r="D322" s="4">
        <v>46205.51599537037</v>
      </c>
      <c r="E322" s="4">
        <v>46206.417245370372</v>
      </c>
      <c r="F322" s="1" t="s">
        <v>22</v>
      </c>
      <c r="G322" s="1" t="s">
        <v>22</v>
      </c>
      <c r="H322" s="1" t="s">
        <v>1380</v>
      </c>
      <c r="I322" s="1" t="s">
        <v>14</v>
      </c>
      <c r="J322" s="1" t="s">
        <v>1383</v>
      </c>
      <c r="K322" s="1" t="s">
        <v>547</v>
      </c>
      <c r="L322" s="1" t="s">
        <v>547</v>
      </c>
      <c r="M322" s="4">
        <v>46205.495138888888</v>
      </c>
      <c r="N322" s="1">
        <v>4716838</v>
      </c>
      <c r="O322" s="1" t="s">
        <v>93</v>
      </c>
      <c r="P322" s="1" t="s">
        <v>342</v>
      </c>
      <c r="Q322" s="1" t="s">
        <v>303</v>
      </c>
      <c r="R322" s="1" t="s">
        <v>272</v>
      </c>
      <c r="S322" s="1" t="s">
        <v>9</v>
      </c>
      <c r="T322" s="1" t="s">
        <v>274</v>
      </c>
      <c r="U322" s="1" t="s">
        <v>142</v>
      </c>
      <c r="V322" s="1" t="s">
        <v>575</v>
      </c>
      <c r="W322" s="1" t="s">
        <v>93</v>
      </c>
      <c r="X322" s="1" t="s">
        <v>93</v>
      </c>
      <c r="Y322" s="1" t="s">
        <v>93</v>
      </c>
      <c r="Z322" s="1" t="s">
        <v>50</v>
      </c>
      <c r="AA322" s="1" t="s">
        <v>93</v>
      </c>
      <c r="AB322" s="1">
        <v>180</v>
      </c>
      <c r="AC322" s="1">
        <v>0</v>
      </c>
      <c r="AD322" s="1">
        <v>0</v>
      </c>
      <c r="AE322" s="1">
        <v>0</v>
      </c>
      <c r="AF322" s="1">
        <v>0</v>
      </c>
      <c r="AG322" s="1">
        <v>0</v>
      </c>
      <c r="AH322" s="1">
        <v>0</v>
      </c>
      <c r="AI322" s="1" t="s">
        <v>1382</v>
      </c>
      <c r="AJ322" s="1" t="s">
        <v>291</v>
      </c>
      <c r="AK322" s="1" t="s">
        <v>14</v>
      </c>
      <c r="AL322" s="1" t="s">
        <v>65</v>
      </c>
      <c r="AM322" s="1" t="s">
        <v>292</v>
      </c>
      <c r="AN322" s="1" t="s">
        <v>21</v>
      </c>
      <c r="AO322" s="1" t="s">
        <v>293</v>
      </c>
      <c r="AP322" s="1" t="s">
        <v>281</v>
      </c>
      <c r="AQ322" s="1" t="s">
        <v>34</v>
      </c>
    </row>
    <row r="323" spans="1:43" x14ac:dyDescent="0.3">
      <c r="A323" s="1">
        <v>24861376</v>
      </c>
      <c r="B323" s="1">
        <v>25700174</v>
      </c>
      <c r="C323" s="1" t="s">
        <v>294</v>
      </c>
      <c r="D323" s="4">
        <v>46206.516099537039</v>
      </c>
      <c r="E323" s="4">
        <v>46206.51829861111</v>
      </c>
      <c r="F323" s="1" t="s">
        <v>22</v>
      </c>
      <c r="G323" s="1" t="s">
        <v>22</v>
      </c>
      <c r="H323" s="1" t="s">
        <v>1384</v>
      </c>
      <c r="I323" s="1" t="s">
        <v>17</v>
      </c>
      <c r="J323" s="1" t="s">
        <v>1370</v>
      </c>
      <c r="K323" s="1" t="s">
        <v>314</v>
      </c>
      <c r="L323" s="1" t="s">
        <v>314</v>
      </c>
      <c r="M323" s="4">
        <v>46206.388888888891</v>
      </c>
      <c r="N323" s="1" t="s">
        <v>1371</v>
      </c>
      <c r="O323" s="1" t="s">
        <v>93</v>
      </c>
      <c r="P323" s="1" t="s">
        <v>271</v>
      </c>
      <c r="Q323" s="1" t="s">
        <v>286</v>
      </c>
      <c r="R323" s="1" t="s">
        <v>286</v>
      </c>
      <c r="S323" s="1" t="s">
        <v>9</v>
      </c>
      <c r="T323" s="1" t="s">
        <v>274</v>
      </c>
      <c r="U323" s="1" t="s">
        <v>205</v>
      </c>
      <c r="V323" s="1" t="s">
        <v>474</v>
      </c>
      <c r="W323" s="1" t="s">
        <v>93</v>
      </c>
      <c r="X323" s="1" t="s">
        <v>93</v>
      </c>
      <c r="Y323" s="1" t="s">
        <v>93</v>
      </c>
      <c r="Z323" s="1" t="s">
        <v>56</v>
      </c>
      <c r="AA323" s="1" t="s">
        <v>93</v>
      </c>
      <c r="AB323" s="1">
        <v>560</v>
      </c>
      <c r="AC323" s="1">
        <v>84</v>
      </c>
      <c r="AD323" s="1">
        <v>0</v>
      </c>
      <c r="AE323" s="1">
        <v>0</v>
      </c>
      <c r="AF323" s="1">
        <v>0</v>
      </c>
      <c r="AG323" s="1">
        <v>0</v>
      </c>
      <c r="AH323" s="1">
        <v>0</v>
      </c>
      <c r="AI323" s="1" t="s">
        <v>290</v>
      </c>
      <c r="AJ323" s="1" t="s">
        <v>291</v>
      </c>
      <c r="AK323" s="1" t="s">
        <v>17</v>
      </c>
      <c r="AL323" s="1" t="s">
        <v>65</v>
      </c>
      <c r="AM323" s="1" t="s">
        <v>292</v>
      </c>
      <c r="AN323" s="1" t="s">
        <v>21</v>
      </c>
      <c r="AO323" s="1" t="s">
        <v>293</v>
      </c>
      <c r="AP323" s="1" t="s">
        <v>281</v>
      </c>
      <c r="AQ323" s="1" t="s">
        <v>34</v>
      </c>
    </row>
    <row r="324" spans="1:43" x14ac:dyDescent="0.3">
      <c r="A324" s="1">
        <v>24838187</v>
      </c>
      <c r="B324" s="1">
        <v>25674931</v>
      </c>
      <c r="C324" s="1" t="s">
        <v>294</v>
      </c>
      <c r="D324" s="4">
        <v>46202.786423611113</v>
      </c>
      <c r="E324" s="4">
        <v>46206.415983796287</v>
      </c>
      <c r="F324" s="1" t="s">
        <v>22</v>
      </c>
      <c r="G324" s="1" t="s">
        <v>24</v>
      </c>
      <c r="H324" s="1" t="s">
        <v>1385</v>
      </c>
      <c r="I324" s="1" t="s">
        <v>14</v>
      </c>
      <c r="J324" s="1" t="s">
        <v>1386</v>
      </c>
      <c r="K324" s="1" t="s">
        <v>547</v>
      </c>
      <c r="L324" s="1" t="s">
        <v>547</v>
      </c>
      <c r="M324" s="4">
        <v>46202.77847222222</v>
      </c>
      <c r="N324" s="1">
        <v>4715519</v>
      </c>
      <c r="O324" s="1" t="s">
        <v>93</v>
      </c>
      <c r="P324" s="1" t="s">
        <v>342</v>
      </c>
      <c r="Q324" s="1" t="s">
        <v>286</v>
      </c>
      <c r="R324" s="1" t="s">
        <v>286</v>
      </c>
      <c r="S324" s="1" t="s">
        <v>9</v>
      </c>
      <c r="T324" s="1" t="s">
        <v>274</v>
      </c>
      <c r="U324" s="1" t="s">
        <v>142</v>
      </c>
      <c r="V324" s="1" t="s">
        <v>575</v>
      </c>
      <c r="W324" s="1" t="s">
        <v>93</v>
      </c>
      <c r="X324" s="1" t="s">
        <v>93</v>
      </c>
      <c r="Y324" s="1" t="s">
        <v>93</v>
      </c>
      <c r="Z324" s="1" t="s">
        <v>50</v>
      </c>
      <c r="AA324" s="1" t="s">
        <v>93</v>
      </c>
      <c r="AB324" s="1">
        <v>230</v>
      </c>
      <c r="AC324" s="1">
        <v>0</v>
      </c>
      <c r="AD324" s="1">
        <v>0</v>
      </c>
      <c r="AE324" s="1">
        <v>0</v>
      </c>
      <c r="AF324" s="1">
        <v>0</v>
      </c>
      <c r="AG324" s="1">
        <v>0</v>
      </c>
      <c r="AH324" s="1">
        <v>0</v>
      </c>
      <c r="AI324" s="1" t="s">
        <v>1387</v>
      </c>
      <c r="AJ324" s="1" t="s">
        <v>291</v>
      </c>
      <c r="AK324" s="1" t="s">
        <v>14</v>
      </c>
      <c r="AL324" s="1" t="s">
        <v>65</v>
      </c>
      <c r="AM324" s="1" t="s">
        <v>292</v>
      </c>
      <c r="AN324" s="1" t="s">
        <v>21</v>
      </c>
      <c r="AO324" s="1" t="s">
        <v>293</v>
      </c>
      <c r="AP324" s="1" t="s">
        <v>281</v>
      </c>
      <c r="AQ324" s="1" t="s">
        <v>34</v>
      </c>
    </row>
    <row r="325" spans="1:43" x14ac:dyDescent="0.3">
      <c r="A325" s="1">
        <v>24860343</v>
      </c>
      <c r="B325" s="1">
        <v>25698923</v>
      </c>
      <c r="C325" s="1" t="s">
        <v>266</v>
      </c>
      <c r="D325" s="4">
        <v>46206.417291666658</v>
      </c>
      <c r="E325" s="4">
        <v>46206.425208333327</v>
      </c>
      <c r="F325" s="1" t="s">
        <v>22</v>
      </c>
      <c r="G325" s="1" t="s">
        <v>22</v>
      </c>
      <c r="H325" s="1">
        <v>23571436</v>
      </c>
      <c r="I325" s="1" t="s">
        <v>18</v>
      </c>
      <c r="J325" s="1" t="s">
        <v>1388</v>
      </c>
      <c r="K325" s="1" t="s">
        <v>1389</v>
      </c>
      <c r="L325" s="1" t="s">
        <v>1389</v>
      </c>
      <c r="M325" s="4">
        <v>46206.40347222222</v>
      </c>
      <c r="N325" s="1" t="s">
        <v>93</v>
      </c>
      <c r="O325" s="1" t="s">
        <v>93</v>
      </c>
      <c r="P325" s="1" t="s">
        <v>342</v>
      </c>
      <c r="Q325" s="1" t="s">
        <v>320</v>
      </c>
      <c r="R325" s="1" t="s">
        <v>320</v>
      </c>
      <c r="S325" s="1" t="s">
        <v>9</v>
      </c>
      <c r="T325" s="1" t="s">
        <v>274</v>
      </c>
      <c r="U325" s="1" t="s">
        <v>161</v>
      </c>
      <c r="V325" s="1" t="s">
        <v>940</v>
      </c>
      <c r="W325" s="1" t="s">
        <v>93</v>
      </c>
      <c r="X325" s="1" t="s">
        <v>93</v>
      </c>
      <c r="Y325" s="1" t="s">
        <v>93</v>
      </c>
      <c r="Z325" s="1" t="s">
        <v>72</v>
      </c>
      <c r="AA325" s="1" t="s">
        <v>93</v>
      </c>
      <c r="AB325" s="1">
        <v>611</v>
      </c>
      <c r="AC325" s="1">
        <v>0</v>
      </c>
      <c r="AD325" s="1">
        <v>0</v>
      </c>
      <c r="AE325" s="1">
        <v>0</v>
      </c>
      <c r="AF325" s="1">
        <v>0</v>
      </c>
      <c r="AG325" s="1">
        <v>30.55</v>
      </c>
      <c r="AH325" s="1">
        <v>0</v>
      </c>
      <c r="AI325" s="1" t="s">
        <v>1390</v>
      </c>
      <c r="AJ325" s="1" t="s">
        <v>1087</v>
      </c>
      <c r="AK325" s="1" t="s">
        <v>18</v>
      </c>
      <c r="AL325" s="1" t="s">
        <v>71</v>
      </c>
      <c r="AM325" s="1" t="s">
        <v>337</v>
      </c>
      <c r="AN325" s="1" t="s">
        <v>21</v>
      </c>
      <c r="AO325" s="1" t="s">
        <v>280</v>
      </c>
      <c r="AP325" s="1" t="s">
        <v>324</v>
      </c>
      <c r="AQ325" s="1" t="s">
        <v>125</v>
      </c>
    </row>
    <row r="326" spans="1:43" x14ac:dyDescent="0.3">
      <c r="A326" s="1">
        <v>24860344</v>
      </c>
      <c r="B326" s="1">
        <v>25698924</v>
      </c>
      <c r="C326" s="1" t="s">
        <v>266</v>
      </c>
      <c r="D326" s="4">
        <v>46206.417303240742</v>
      </c>
      <c r="E326" s="4">
        <v>46206.425208333327</v>
      </c>
      <c r="F326" s="1" t="s">
        <v>22</v>
      </c>
      <c r="G326" s="1" t="s">
        <v>22</v>
      </c>
      <c r="H326" s="1">
        <v>23571525</v>
      </c>
      <c r="I326" s="1" t="s">
        <v>18</v>
      </c>
      <c r="J326" s="1" t="s">
        <v>1391</v>
      </c>
      <c r="K326" s="1" t="s">
        <v>1389</v>
      </c>
      <c r="L326" s="1" t="s">
        <v>1389</v>
      </c>
      <c r="M326" s="4">
        <v>46206.404861111107</v>
      </c>
      <c r="N326" s="1" t="s">
        <v>93</v>
      </c>
      <c r="O326" s="1" t="s">
        <v>93</v>
      </c>
      <c r="P326" s="1" t="s">
        <v>342</v>
      </c>
      <c r="Q326" s="1" t="s">
        <v>320</v>
      </c>
      <c r="R326" s="1" t="s">
        <v>320</v>
      </c>
      <c r="S326" s="1" t="s">
        <v>9</v>
      </c>
      <c r="T326" s="1" t="s">
        <v>274</v>
      </c>
      <c r="U326" s="1" t="s">
        <v>161</v>
      </c>
      <c r="V326" s="1" t="s">
        <v>940</v>
      </c>
      <c r="W326" s="1" t="s">
        <v>93</v>
      </c>
      <c r="X326" s="1" t="s">
        <v>93</v>
      </c>
      <c r="Y326" s="1" t="s">
        <v>93</v>
      </c>
      <c r="Z326" s="1" t="s">
        <v>72</v>
      </c>
      <c r="AA326" s="1" t="s">
        <v>93</v>
      </c>
      <c r="AB326" s="1">
        <v>611</v>
      </c>
      <c r="AC326" s="1">
        <v>0</v>
      </c>
      <c r="AD326" s="1">
        <v>0</v>
      </c>
      <c r="AE326" s="1">
        <v>0</v>
      </c>
      <c r="AF326" s="1">
        <v>0</v>
      </c>
      <c r="AG326" s="1">
        <v>30.55</v>
      </c>
      <c r="AH326" s="1">
        <v>0</v>
      </c>
      <c r="AI326" s="1" t="s">
        <v>1392</v>
      </c>
      <c r="AJ326" s="1" t="s">
        <v>1087</v>
      </c>
      <c r="AK326" s="1" t="s">
        <v>18</v>
      </c>
      <c r="AL326" s="1" t="s">
        <v>71</v>
      </c>
      <c r="AM326" s="1" t="s">
        <v>337</v>
      </c>
      <c r="AN326" s="1" t="s">
        <v>21</v>
      </c>
      <c r="AO326" s="1" t="s">
        <v>280</v>
      </c>
      <c r="AP326" s="1" t="s">
        <v>324</v>
      </c>
      <c r="AQ326" s="1" t="s">
        <v>125</v>
      </c>
    </row>
    <row r="327" spans="1:43" x14ac:dyDescent="0.3">
      <c r="A327" s="1">
        <v>24853504</v>
      </c>
      <c r="B327" s="1">
        <v>25690986</v>
      </c>
      <c r="C327" s="1" t="s">
        <v>266</v>
      </c>
      <c r="D327" s="4">
        <v>46205.408750000002</v>
      </c>
      <c r="E327" s="4">
        <v>46205.412627314807</v>
      </c>
      <c r="F327" s="1" t="s">
        <v>22</v>
      </c>
      <c r="G327" s="1" t="s">
        <v>22</v>
      </c>
      <c r="H327" s="1">
        <v>23553743</v>
      </c>
      <c r="I327" s="1" t="s">
        <v>18</v>
      </c>
      <c r="J327" s="1" t="s">
        <v>1393</v>
      </c>
      <c r="K327" s="1" t="s">
        <v>1389</v>
      </c>
      <c r="L327" s="1" t="s">
        <v>1389</v>
      </c>
      <c r="M327" s="4">
        <v>46205.395138888889</v>
      </c>
      <c r="N327" s="1" t="s">
        <v>93</v>
      </c>
      <c r="O327" s="1" t="s">
        <v>93</v>
      </c>
      <c r="P327" s="1" t="s">
        <v>342</v>
      </c>
      <c r="Q327" s="1" t="s">
        <v>320</v>
      </c>
      <c r="R327" s="1" t="s">
        <v>320</v>
      </c>
      <c r="S327" s="1" t="s">
        <v>9</v>
      </c>
      <c r="T327" s="1" t="s">
        <v>274</v>
      </c>
      <c r="U327" s="1" t="s">
        <v>161</v>
      </c>
      <c r="V327" s="1" t="s">
        <v>940</v>
      </c>
      <c r="W327" s="1" t="s">
        <v>93</v>
      </c>
      <c r="X327" s="1" t="s">
        <v>93</v>
      </c>
      <c r="Y327" s="1" t="s">
        <v>93</v>
      </c>
      <c r="Z327" s="1" t="s">
        <v>72</v>
      </c>
      <c r="AA327" s="1" t="s">
        <v>93</v>
      </c>
      <c r="AB327" s="1">
        <v>4186</v>
      </c>
      <c r="AC327" s="1">
        <v>0</v>
      </c>
      <c r="AD327" s="1">
        <v>0</v>
      </c>
      <c r="AE327" s="1">
        <v>0</v>
      </c>
      <c r="AF327" s="1">
        <v>0</v>
      </c>
      <c r="AG327" s="1">
        <v>156.97</v>
      </c>
      <c r="AH327" s="1">
        <v>0</v>
      </c>
      <c r="AI327" s="1" t="s">
        <v>1394</v>
      </c>
      <c r="AJ327" s="1" t="s">
        <v>1087</v>
      </c>
      <c r="AK327" s="1" t="s">
        <v>18</v>
      </c>
      <c r="AL327" s="1" t="s">
        <v>71</v>
      </c>
      <c r="AM327" s="1" t="s">
        <v>337</v>
      </c>
      <c r="AN327" s="1" t="s">
        <v>21</v>
      </c>
      <c r="AO327" s="1" t="s">
        <v>280</v>
      </c>
      <c r="AP327" s="1" t="s">
        <v>324</v>
      </c>
      <c r="AQ327" s="1" t="s">
        <v>125</v>
      </c>
    </row>
    <row r="328" spans="1:43" x14ac:dyDescent="0.3">
      <c r="A328" s="1">
        <v>24857056</v>
      </c>
      <c r="B328" s="1">
        <v>25695032</v>
      </c>
      <c r="C328" s="1" t="s">
        <v>266</v>
      </c>
      <c r="D328" s="4">
        <v>46205.741631944453</v>
      </c>
      <c r="E328" s="4">
        <v>46205.743935185194</v>
      </c>
      <c r="F328" s="1" t="s">
        <v>22</v>
      </c>
      <c r="G328" s="1" t="s">
        <v>22</v>
      </c>
      <c r="H328" s="1">
        <v>23566997</v>
      </c>
      <c r="I328" s="1" t="s">
        <v>18</v>
      </c>
      <c r="J328" s="1" t="s">
        <v>1395</v>
      </c>
      <c r="K328" s="1" t="s">
        <v>1389</v>
      </c>
      <c r="L328" s="1" t="s">
        <v>1389</v>
      </c>
      <c r="M328" s="4">
        <v>46205.738194444442</v>
      </c>
      <c r="N328" s="1" t="s">
        <v>93</v>
      </c>
      <c r="O328" s="1" t="s">
        <v>93</v>
      </c>
      <c r="P328" s="1" t="s">
        <v>342</v>
      </c>
      <c r="Q328" s="1" t="s">
        <v>320</v>
      </c>
      <c r="R328" s="1" t="s">
        <v>320</v>
      </c>
      <c r="S328" s="1" t="s">
        <v>9</v>
      </c>
      <c r="T328" s="1" t="s">
        <v>274</v>
      </c>
      <c r="U328" s="1" t="s">
        <v>161</v>
      </c>
      <c r="V328" s="1" t="s">
        <v>940</v>
      </c>
      <c r="W328" s="1" t="s">
        <v>93</v>
      </c>
      <c r="X328" s="1" t="s">
        <v>93</v>
      </c>
      <c r="Y328" s="1" t="s">
        <v>93</v>
      </c>
      <c r="Z328" s="1" t="s">
        <v>72</v>
      </c>
      <c r="AA328" s="1" t="s">
        <v>93</v>
      </c>
      <c r="AB328" s="1">
        <v>299</v>
      </c>
      <c r="AC328" s="1">
        <v>0</v>
      </c>
      <c r="AD328" s="1">
        <v>0</v>
      </c>
      <c r="AE328" s="1">
        <v>0</v>
      </c>
      <c r="AF328" s="1">
        <v>0</v>
      </c>
      <c r="AG328" s="1">
        <v>11.21</v>
      </c>
      <c r="AH328" s="1">
        <v>0</v>
      </c>
      <c r="AI328" s="1" t="s">
        <v>1396</v>
      </c>
      <c r="AJ328" s="1" t="s">
        <v>1087</v>
      </c>
      <c r="AK328" s="1" t="s">
        <v>18</v>
      </c>
      <c r="AL328" s="1" t="s">
        <v>71</v>
      </c>
      <c r="AM328" s="1" t="s">
        <v>337</v>
      </c>
      <c r="AN328" s="1" t="s">
        <v>21</v>
      </c>
      <c r="AO328" s="1" t="s">
        <v>280</v>
      </c>
      <c r="AP328" s="1" t="s">
        <v>324</v>
      </c>
      <c r="AQ328" s="1" t="s">
        <v>125</v>
      </c>
    </row>
    <row r="329" spans="1:43" x14ac:dyDescent="0.3">
      <c r="A329" s="1">
        <v>24847429</v>
      </c>
      <c r="B329" s="1">
        <v>25683887</v>
      </c>
      <c r="C329" s="1" t="s">
        <v>294</v>
      </c>
      <c r="D329" s="4">
        <v>46204.437037037038</v>
      </c>
      <c r="E329" s="4">
        <v>46206.425254629627</v>
      </c>
      <c r="F329" s="1" t="s">
        <v>22</v>
      </c>
      <c r="G329" s="1" t="s">
        <v>22</v>
      </c>
      <c r="H329" s="1" t="s">
        <v>1397</v>
      </c>
      <c r="I329" s="1" t="s">
        <v>17</v>
      </c>
      <c r="J329" s="1" t="s">
        <v>1398</v>
      </c>
      <c r="K329" s="1" t="s">
        <v>596</v>
      </c>
      <c r="L329" s="1" t="s">
        <v>596</v>
      </c>
      <c r="M329" s="4">
        <v>46202.3125</v>
      </c>
      <c r="N329" s="1" t="s">
        <v>1399</v>
      </c>
      <c r="O329" s="1" t="s">
        <v>93</v>
      </c>
      <c r="P329" s="1" t="s">
        <v>271</v>
      </c>
      <c r="Q329" s="1" t="s">
        <v>388</v>
      </c>
      <c r="R329" s="1" t="s">
        <v>388</v>
      </c>
      <c r="S329" s="1" t="s">
        <v>9</v>
      </c>
      <c r="T329" s="1" t="s">
        <v>274</v>
      </c>
      <c r="U329" s="1" t="s">
        <v>141</v>
      </c>
      <c r="V329" s="1" t="s">
        <v>581</v>
      </c>
      <c r="W329" s="1" t="s">
        <v>93</v>
      </c>
      <c r="X329" s="1" t="s">
        <v>93</v>
      </c>
      <c r="Y329" s="1" t="s">
        <v>93</v>
      </c>
      <c r="Z329" s="1" t="s">
        <v>47</v>
      </c>
      <c r="AA329" s="1" t="s">
        <v>93</v>
      </c>
      <c r="AB329" s="1">
        <v>425.26</v>
      </c>
      <c r="AC329" s="1">
        <v>0</v>
      </c>
      <c r="AD329" s="1">
        <v>0</v>
      </c>
      <c r="AE329" s="1">
        <v>0</v>
      </c>
      <c r="AF329" s="1">
        <v>0</v>
      </c>
      <c r="AG329" s="1">
        <v>0</v>
      </c>
      <c r="AH329" s="1">
        <v>0</v>
      </c>
      <c r="AI329" s="1" t="s">
        <v>290</v>
      </c>
      <c r="AJ329" s="1" t="s">
        <v>291</v>
      </c>
      <c r="AK329" s="1" t="s">
        <v>17</v>
      </c>
      <c r="AL329" s="1" t="s">
        <v>65</v>
      </c>
      <c r="AM329" s="1" t="s">
        <v>292</v>
      </c>
      <c r="AN329" s="1" t="s">
        <v>21</v>
      </c>
      <c r="AO329" s="1" t="s">
        <v>280</v>
      </c>
      <c r="AP329" s="1" t="s">
        <v>324</v>
      </c>
      <c r="AQ329" s="1" t="s">
        <v>125</v>
      </c>
    </row>
    <row r="330" spans="1:43" x14ac:dyDescent="0.3">
      <c r="A330" s="1">
        <v>24847429</v>
      </c>
      <c r="B330" s="1">
        <v>25683888</v>
      </c>
      <c r="C330" s="1" t="s">
        <v>382</v>
      </c>
      <c r="D330" s="4">
        <v>46204.437037037038</v>
      </c>
      <c r="E330" s="4">
        <v>46206.425254629627</v>
      </c>
      <c r="F330" s="1" t="s">
        <v>22</v>
      </c>
      <c r="G330" s="1" t="s">
        <v>22</v>
      </c>
      <c r="H330" s="1" t="s">
        <v>1397</v>
      </c>
      <c r="I330" s="1" t="s">
        <v>17</v>
      </c>
      <c r="J330" s="1" t="s">
        <v>1398</v>
      </c>
      <c r="K330" s="1" t="s">
        <v>596</v>
      </c>
      <c r="L330" s="1" t="s">
        <v>596</v>
      </c>
      <c r="M330" s="4">
        <v>46202.3125</v>
      </c>
      <c r="N330" s="1" t="s">
        <v>1399</v>
      </c>
      <c r="O330" s="1" t="s">
        <v>93</v>
      </c>
      <c r="P330" s="1" t="s">
        <v>271</v>
      </c>
      <c r="Q330" s="1" t="s">
        <v>388</v>
      </c>
      <c r="R330" s="1" t="s">
        <v>388</v>
      </c>
      <c r="S330" s="1" t="s">
        <v>9</v>
      </c>
      <c r="T330" s="1" t="s">
        <v>274</v>
      </c>
      <c r="U330" s="1" t="s">
        <v>141</v>
      </c>
      <c r="V330" s="1" t="s">
        <v>581</v>
      </c>
      <c r="W330" s="1" t="s">
        <v>93</v>
      </c>
      <c r="X330" s="1" t="s">
        <v>93</v>
      </c>
      <c r="Y330" s="1" t="s">
        <v>93</v>
      </c>
      <c r="Z330" s="1" t="s">
        <v>47</v>
      </c>
      <c r="AA330" s="1" t="s">
        <v>93</v>
      </c>
      <c r="AB330" s="1">
        <v>260</v>
      </c>
      <c r="AC330" s="1">
        <v>0</v>
      </c>
      <c r="AD330" s="1">
        <v>0</v>
      </c>
      <c r="AE330" s="1">
        <v>0</v>
      </c>
      <c r="AF330" s="1">
        <v>0</v>
      </c>
      <c r="AG330" s="1">
        <v>0</v>
      </c>
      <c r="AH330" s="1">
        <v>0</v>
      </c>
      <c r="AI330" s="1" t="s">
        <v>290</v>
      </c>
      <c r="AJ330" s="1" t="s">
        <v>291</v>
      </c>
      <c r="AK330" s="1" t="s">
        <v>17</v>
      </c>
      <c r="AL330" s="1" t="s">
        <v>65</v>
      </c>
      <c r="AM330" s="1" t="s">
        <v>292</v>
      </c>
      <c r="AN330" s="1" t="s">
        <v>21</v>
      </c>
      <c r="AO330" s="1" t="s">
        <v>280</v>
      </c>
      <c r="AP330" s="1" t="s">
        <v>324</v>
      </c>
      <c r="AQ330" s="1" t="s">
        <v>125</v>
      </c>
    </row>
    <row r="331" spans="1:43" x14ac:dyDescent="0.3">
      <c r="A331" s="1">
        <v>24847429</v>
      </c>
      <c r="B331" s="1">
        <v>25683889</v>
      </c>
      <c r="C331" s="1" t="s">
        <v>516</v>
      </c>
      <c r="D331" s="4">
        <v>46204.437037037038</v>
      </c>
      <c r="E331" s="4">
        <v>46206.425254629627</v>
      </c>
      <c r="F331" s="1" t="s">
        <v>22</v>
      </c>
      <c r="G331" s="1" t="s">
        <v>22</v>
      </c>
      <c r="H331" s="1" t="s">
        <v>1397</v>
      </c>
      <c r="I331" s="1" t="s">
        <v>17</v>
      </c>
      <c r="J331" s="1" t="s">
        <v>1398</v>
      </c>
      <c r="K331" s="1" t="s">
        <v>596</v>
      </c>
      <c r="L331" s="1" t="s">
        <v>596</v>
      </c>
      <c r="M331" s="4">
        <v>46202.3125</v>
      </c>
      <c r="N331" s="1" t="s">
        <v>1399</v>
      </c>
      <c r="O331" s="1" t="s">
        <v>93</v>
      </c>
      <c r="P331" s="1" t="s">
        <v>271</v>
      </c>
      <c r="Q331" s="1" t="s">
        <v>388</v>
      </c>
      <c r="R331" s="1" t="s">
        <v>388</v>
      </c>
      <c r="S331" s="1" t="s">
        <v>9</v>
      </c>
      <c r="T331" s="1" t="s">
        <v>274</v>
      </c>
      <c r="U331" s="1" t="s">
        <v>141</v>
      </c>
      <c r="V331" s="1" t="s">
        <v>581</v>
      </c>
      <c r="W331" s="1" t="s">
        <v>93</v>
      </c>
      <c r="X331" s="1" t="s">
        <v>93</v>
      </c>
      <c r="Y331" s="1" t="s">
        <v>93</v>
      </c>
      <c r="Z331" s="1" t="s">
        <v>47</v>
      </c>
      <c r="AA331" s="1" t="s">
        <v>93</v>
      </c>
      <c r="AB331" s="1">
        <v>196</v>
      </c>
      <c r="AC331" s="1">
        <v>0</v>
      </c>
      <c r="AD331" s="1">
        <v>0</v>
      </c>
      <c r="AE331" s="1">
        <v>0</v>
      </c>
      <c r="AF331" s="1">
        <v>0</v>
      </c>
      <c r="AG331" s="1">
        <v>0</v>
      </c>
      <c r="AH331" s="1">
        <v>0</v>
      </c>
      <c r="AI331" s="1" t="s">
        <v>290</v>
      </c>
      <c r="AJ331" s="1" t="s">
        <v>291</v>
      </c>
      <c r="AK331" s="1" t="s">
        <v>17</v>
      </c>
      <c r="AL331" s="1" t="s">
        <v>65</v>
      </c>
      <c r="AM331" s="1" t="s">
        <v>292</v>
      </c>
      <c r="AN331" s="1" t="s">
        <v>21</v>
      </c>
      <c r="AO331" s="1" t="s">
        <v>280</v>
      </c>
      <c r="AP331" s="1" t="s">
        <v>324</v>
      </c>
      <c r="AQ331" s="1" t="s">
        <v>125</v>
      </c>
    </row>
    <row r="332" spans="1:43" x14ac:dyDescent="0.3">
      <c r="A332" s="1">
        <v>24840162</v>
      </c>
      <c r="B332" s="1">
        <v>25676662</v>
      </c>
      <c r="C332" s="1" t="s">
        <v>266</v>
      </c>
      <c r="D332" s="4">
        <v>46203.1716087963</v>
      </c>
      <c r="E332" s="4">
        <v>46209.052569444437</v>
      </c>
      <c r="F332" s="1" t="s">
        <v>19</v>
      </c>
      <c r="G332" s="1" t="s">
        <v>24</v>
      </c>
      <c r="H332" s="1" t="s">
        <v>1400</v>
      </c>
      <c r="I332" s="1" t="s">
        <v>268</v>
      </c>
      <c r="J332" s="1" t="s">
        <v>1401</v>
      </c>
      <c r="K332" s="1" t="s">
        <v>270</v>
      </c>
      <c r="L332" s="1" t="s">
        <v>270</v>
      </c>
      <c r="M332" s="4">
        <v>46202.415277777778</v>
      </c>
      <c r="N332" s="1">
        <v>16870</v>
      </c>
      <c r="O332" s="1" t="s">
        <v>93</v>
      </c>
      <c r="P332" s="1" t="s">
        <v>342</v>
      </c>
      <c r="Q332" s="1" t="s">
        <v>303</v>
      </c>
      <c r="R332" s="1" t="s">
        <v>272</v>
      </c>
      <c r="S332" s="1" t="s">
        <v>3</v>
      </c>
      <c r="T332" s="1" t="s">
        <v>274</v>
      </c>
      <c r="U332" s="1" t="s">
        <v>150</v>
      </c>
      <c r="V332" s="1" t="s">
        <v>1402</v>
      </c>
      <c r="W332" s="1" t="s">
        <v>93</v>
      </c>
      <c r="X332" s="1" t="s">
        <v>93</v>
      </c>
      <c r="Y332" s="1" t="s">
        <v>93</v>
      </c>
      <c r="Z332" s="1" t="s">
        <v>61</v>
      </c>
      <c r="AA332" s="1" t="s">
        <v>93</v>
      </c>
      <c r="AB332" s="1">
        <v>53.9</v>
      </c>
      <c r="AC332" s="1">
        <v>8.6199999999999992</v>
      </c>
      <c r="AD332" s="1">
        <v>0</v>
      </c>
      <c r="AE332" s="1">
        <v>0</v>
      </c>
      <c r="AF332" s="1">
        <v>0</v>
      </c>
      <c r="AG332" s="1">
        <v>0</v>
      </c>
      <c r="AH332" s="1">
        <v>0</v>
      </c>
      <c r="AI332" s="1" t="s">
        <v>1403</v>
      </c>
      <c r="AJ332" s="1" t="s">
        <v>410</v>
      </c>
      <c r="AK332" s="1" t="s">
        <v>13</v>
      </c>
      <c r="AL332" s="1" t="s">
        <v>65</v>
      </c>
      <c r="AM332" s="1" t="s">
        <v>292</v>
      </c>
      <c r="AN332" s="1" t="s">
        <v>21</v>
      </c>
      <c r="AO332" s="1" t="s">
        <v>280</v>
      </c>
      <c r="AP332" s="1" t="s">
        <v>324</v>
      </c>
      <c r="AQ332" s="1" t="s">
        <v>20</v>
      </c>
    </row>
    <row r="333" spans="1:43" x14ac:dyDescent="0.3">
      <c r="A333" s="1">
        <v>24860812</v>
      </c>
      <c r="B333" s="1">
        <v>25699514</v>
      </c>
      <c r="C333" s="1" t="s">
        <v>266</v>
      </c>
      <c r="D333" s="4">
        <v>46206.469942129632</v>
      </c>
      <c r="E333" s="4">
        <v>46206.481458333343</v>
      </c>
      <c r="F333" s="1" t="s">
        <v>22</v>
      </c>
      <c r="G333" s="1" t="s">
        <v>22</v>
      </c>
      <c r="H333" s="1" t="s">
        <v>1404</v>
      </c>
      <c r="I333" s="1" t="s">
        <v>268</v>
      </c>
      <c r="J333" s="1" t="s">
        <v>1405</v>
      </c>
      <c r="K333" s="1" t="s">
        <v>270</v>
      </c>
      <c r="L333" s="1" t="s">
        <v>270</v>
      </c>
      <c r="M333" s="4">
        <v>46206.401388888888</v>
      </c>
      <c r="N333" s="1">
        <v>17121</v>
      </c>
      <c r="O333" s="1" t="s">
        <v>1360</v>
      </c>
      <c r="P333" s="1" t="s">
        <v>271</v>
      </c>
      <c r="Q333" s="1" t="s">
        <v>303</v>
      </c>
      <c r="R333" s="1" t="s">
        <v>272</v>
      </c>
      <c r="S333" s="1" t="s">
        <v>8</v>
      </c>
      <c r="T333" s="1" t="s">
        <v>274</v>
      </c>
      <c r="U333" s="1" t="s">
        <v>150</v>
      </c>
      <c r="V333" s="1" t="s">
        <v>1402</v>
      </c>
      <c r="W333" s="1" t="s">
        <v>93</v>
      </c>
      <c r="X333" s="1" t="s">
        <v>93</v>
      </c>
      <c r="Y333" s="1" t="s">
        <v>93</v>
      </c>
      <c r="Z333" s="1" t="s">
        <v>61</v>
      </c>
      <c r="AA333" s="1" t="s">
        <v>93</v>
      </c>
      <c r="AB333" s="1">
        <v>571.86990000000003</v>
      </c>
      <c r="AC333" s="1">
        <v>0</v>
      </c>
      <c r="AD333" s="1">
        <v>0</v>
      </c>
      <c r="AE333" s="1">
        <v>0</v>
      </c>
      <c r="AF333" s="1">
        <v>0</v>
      </c>
      <c r="AG333" s="1">
        <v>0</v>
      </c>
      <c r="AH333" s="1">
        <v>0</v>
      </c>
      <c r="AI333" s="1" t="s">
        <v>1406</v>
      </c>
      <c r="AJ333" s="1" t="s">
        <v>410</v>
      </c>
      <c r="AK333" s="1" t="s">
        <v>13</v>
      </c>
      <c r="AL333" s="1" t="s">
        <v>65</v>
      </c>
      <c r="AM333" s="1" t="s">
        <v>292</v>
      </c>
      <c r="AN333" s="1" t="s">
        <v>21</v>
      </c>
      <c r="AO333" s="1" t="s">
        <v>280</v>
      </c>
      <c r="AP333" s="1" t="s">
        <v>324</v>
      </c>
      <c r="AQ333" s="1" t="s">
        <v>20</v>
      </c>
    </row>
    <row r="334" spans="1:43" x14ac:dyDescent="0.3">
      <c r="A334" s="1">
        <v>24839202</v>
      </c>
      <c r="B334" s="1">
        <v>25675959</v>
      </c>
      <c r="C334" s="1" t="s">
        <v>266</v>
      </c>
      <c r="D334" s="4">
        <v>46202.926921296297</v>
      </c>
      <c r="E334" s="4">
        <v>46202.939479166656</v>
      </c>
      <c r="F334" s="1" t="s">
        <v>24</v>
      </c>
      <c r="G334" s="1" t="s">
        <v>24</v>
      </c>
      <c r="H334" s="1" t="s">
        <v>1407</v>
      </c>
      <c r="I334" s="1" t="s">
        <v>268</v>
      </c>
      <c r="J334" s="1" t="s">
        <v>1408</v>
      </c>
      <c r="K334" s="1" t="s">
        <v>270</v>
      </c>
      <c r="L334" s="1" t="s">
        <v>270</v>
      </c>
      <c r="M334" s="4">
        <v>46202.705555555563</v>
      </c>
      <c r="N334" s="1">
        <v>68466</v>
      </c>
      <c r="O334" s="1" t="s">
        <v>782</v>
      </c>
      <c r="P334" s="1" t="s">
        <v>271</v>
      </c>
      <c r="Q334" s="1" t="s">
        <v>303</v>
      </c>
      <c r="R334" s="1" t="s">
        <v>272</v>
      </c>
      <c r="S334" s="1" t="s">
        <v>8</v>
      </c>
      <c r="T334" s="1" t="s">
        <v>274</v>
      </c>
      <c r="U334" s="1" t="s">
        <v>146</v>
      </c>
      <c r="V334" s="1" t="s">
        <v>990</v>
      </c>
      <c r="W334" s="1" t="s">
        <v>93</v>
      </c>
      <c r="X334" s="1" t="s">
        <v>93</v>
      </c>
      <c r="Y334" s="1" t="s">
        <v>93</v>
      </c>
      <c r="Z334" s="1" t="s">
        <v>57</v>
      </c>
      <c r="AA334" s="1" t="s">
        <v>93</v>
      </c>
      <c r="AB334" s="1">
        <v>327.58999999999997</v>
      </c>
      <c r="AC334" s="1">
        <v>0</v>
      </c>
      <c r="AD334" s="1">
        <v>0</v>
      </c>
      <c r="AE334" s="1">
        <v>0</v>
      </c>
      <c r="AF334" s="1">
        <v>0</v>
      </c>
      <c r="AG334" s="1">
        <v>0</v>
      </c>
      <c r="AH334" s="1">
        <v>0</v>
      </c>
      <c r="AI334" s="1" t="s">
        <v>1409</v>
      </c>
      <c r="AJ334" s="1" t="s">
        <v>410</v>
      </c>
      <c r="AK334" s="1" t="s">
        <v>13</v>
      </c>
      <c r="AL334" s="1" t="s">
        <v>65</v>
      </c>
      <c r="AM334" s="1" t="s">
        <v>292</v>
      </c>
      <c r="AN334" s="1" t="s">
        <v>21</v>
      </c>
      <c r="AO334" s="1" t="s">
        <v>280</v>
      </c>
      <c r="AP334" s="1" t="s">
        <v>324</v>
      </c>
      <c r="AQ334" s="1" t="s">
        <v>20</v>
      </c>
    </row>
    <row r="335" spans="1:43" x14ac:dyDescent="0.3">
      <c r="A335" s="1">
        <v>24849742</v>
      </c>
      <c r="B335" s="1">
        <v>25686504</v>
      </c>
      <c r="C335" s="1" t="s">
        <v>266</v>
      </c>
      <c r="D335" s="4">
        <v>46204.705740740741</v>
      </c>
      <c r="E335" s="4">
        <v>46204.731064814812</v>
      </c>
      <c r="F335" s="1" t="s">
        <v>22</v>
      </c>
      <c r="G335" s="1" t="s">
        <v>22</v>
      </c>
      <c r="H335" s="1" t="s">
        <v>1410</v>
      </c>
      <c r="I335" s="1" t="s">
        <v>268</v>
      </c>
      <c r="J335" s="1" t="s">
        <v>1411</v>
      </c>
      <c r="K335" s="1" t="s">
        <v>270</v>
      </c>
      <c r="L335" s="1" t="s">
        <v>270</v>
      </c>
      <c r="M335" s="4">
        <v>46204.626388888893</v>
      </c>
      <c r="N335" s="1">
        <v>68713</v>
      </c>
      <c r="O335" s="1" t="s">
        <v>1412</v>
      </c>
      <c r="P335" s="1" t="s">
        <v>271</v>
      </c>
      <c r="Q335" s="1" t="s">
        <v>303</v>
      </c>
      <c r="R335" s="1" t="s">
        <v>272</v>
      </c>
      <c r="S335" s="1" t="s">
        <v>8</v>
      </c>
      <c r="T335" s="1" t="s">
        <v>274</v>
      </c>
      <c r="U335" s="1" t="s">
        <v>146</v>
      </c>
      <c r="V335" s="1" t="s">
        <v>990</v>
      </c>
      <c r="W335" s="1" t="s">
        <v>93</v>
      </c>
      <c r="X335" s="1" t="s">
        <v>93</v>
      </c>
      <c r="Y335" s="1" t="s">
        <v>93</v>
      </c>
      <c r="Z335" s="1" t="s">
        <v>57</v>
      </c>
      <c r="AA335" s="1" t="s">
        <v>93</v>
      </c>
      <c r="AB335" s="1">
        <v>611.37</v>
      </c>
      <c r="AC335" s="1">
        <v>0</v>
      </c>
      <c r="AD335" s="1">
        <v>0</v>
      </c>
      <c r="AE335" s="1">
        <v>0</v>
      </c>
      <c r="AF335" s="1">
        <v>0</v>
      </c>
      <c r="AG335" s="1">
        <v>0</v>
      </c>
      <c r="AH335" s="1">
        <v>0</v>
      </c>
      <c r="AI335" s="1" t="s">
        <v>1413</v>
      </c>
      <c r="AJ335" s="1" t="s">
        <v>410</v>
      </c>
      <c r="AK335" s="1" t="s">
        <v>13</v>
      </c>
      <c r="AL335" s="1" t="s">
        <v>65</v>
      </c>
      <c r="AM335" s="1" t="s">
        <v>292</v>
      </c>
      <c r="AN335" s="1" t="s">
        <v>21</v>
      </c>
      <c r="AO335" s="1" t="s">
        <v>280</v>
      </c>
      <c r="AP335" s="1" t="s">
        <v>324</v>
      </c>
      <c r="AQ335" s="1" t="s">
        <v>20</v>
      </c>
    </row>
    <row r="336" spans="1:43" x14ac:dyDescent="0.3">
      <c r="A336" s="1">
        <v>24856633</v>
      </c>
      <c r="B336" s="1">
        <v>25694587</v>
      </c>
      <c r="C336" s="1" t="s">
        <v>266</v>
      </c>
      <c r="D336" s="4">
        <v>46205.725057870368</v>
      </c>
      <c r="E336" s="4">
        <v>46205.76462962963</v>
      </c>
      <c r="F336" s="1" t="s">
        <v>22</v>
      </c>
      <c r="G336" s="1" t="s">
        <v>22</v>
      </c>
      <c r="H336" s="1" t="s">
        <v>1414</v>
      </c>
      <c r="I336" s="1" t="s">
        <v>268</v>
      </c>
      <c r="J336" s="1" t="s">
        <v>1415</v>
      </c>
      <c r="K336" s="1" t="s">
        <v>270</v>
      </c>
      <c r="L336" s="1" t="s">
        <v>270</v>
      </c>
      <c r="M336" s="4">
        <v>46205.518750000003</v>
      </c>
      <c r="N336" s="1">
        <v>68820</v>
      </c>
      <c r="O336" s="1" t="s">
        <v>1360</v>
      </c>
      <c r="P336" s="1" t="s">
        <v>271</v>
      </c>
      <c r="Q336" s="1" t="s">
        <v>303</v>
      </c>
      <c r="R336" s="1" t="s">
        <v>272</v>
      </c>
      <c r="S336" s="1" t="s">
        <v>8</v>
      </c>
      <c r="T336" s="1" t="s">
        <v>274</v>
      </c>
      <c r="U336" s="1" t="s">
        <v>146</v>
      </c>
      <c r="V336" s="1" t="s">
        <v>1416</v>
      </c>
      <c r="W336" s="1" t="s">
        <v>93</v>
      </c>
      <c r="X336" s="1" t="s">
        <v>93</v>
      </c>
      <c r="Y336" s="1" t="s">
        <v>93</v>
      </c>
      <c r="Z336" s="1" t="s">
        <v>57</v>
      </c>
      <c r="AA336" s="1" t="s">
        <v>93</v>
      </c>
      <c r="AB336" s="1">
        <v>673.34400000000005</v>
      </c>
      <c r="AC336" s="1">
        <v>0</v>
      </c>
      <c r="AD336" s="1">
        <v>0</v>
      </c>
      <c r="AE336" s="1">
        <v>0</v>
      </c>
      <c r="AF336" s="1">
        <v>0</v>
      </c>
      <c r="AG336" s="1">
        <v>0</v>
      </c>
      <c r="AH336" s="1">
        <v>0</v>
      </c>
      <c r="AI336" s="1" t="s">
        <v>1417</v>
      </c>
      <c r="AJ336" s="1" t="s">
        <v>410</v>
      </c>
      <c r="AK336" s="1" t="s">
        <v>13</v>
      </c>
      <c r="AL336" s="1" t="s">
        <v>65</v>
      </c>
      <c r="AM336" s="1" t="s">
        <v>292</v>
      </c>
      <c r="AN336" s="1" t="s">
        <v>21</v>
      </c>
      <c r="AO336" s="1" t="s">
        <v>280</v>
      </c>
      <c r="AP336" s="1" t="s">
        <v>324</v>
      </c>
      <c r="AQ336" s="1" t="s">
        <v>20</v>
      </c>
    </row>
    <row r="337" spans="1:43" x14ac:dyDescent="0.3">
      <c r="A337" s="1">
        <v>24846297</v>
      </c>
      <c r="B337" s="1">
        <v>25682784</v>
      </c>
      <c r="C337" s="1" t="s">
        <v>266</v>
      </c>
      <c r="D337" s="4">
        <v>46203.951805555553</v>
      </c>
      <c r="E337" s="4">
        <v>46203.984976851847</v>
      </c>
      <c r="F337" s="1" t="s">
        <v>24</v>
      </c>
      <c r="G337" s="1" t="s">
        <v>24</v>
      </c>
      <c r="H337" s="1" t="s">
        <v>1418</v>
      </c>
      <c r="I337" s="1" t="s">
        <v>268</v>
      </c>
      <c r="J337" s="1" t="s">
        <v>1419</v>
      </c>
      <c r="K337" s="1" t="s">
        <v>270</v>
      </c>
      <c r="L337" s="1" t="s">
        <v>270</v>
      </c>
      <c r="M337" s="4">
        <v>46203.781944444447</v>
      </c>
      <c r="N337" s="1">
        <v>4799</v>
      </c>
      <c r="O337" s="1" t="s">
        <v>789</v>
      </c>
      <c r="P337" s="1" t="s">
        <v>271</v>
      </c>
      <c r="Q337" s="1" t="s">
        <v>303</v>
      </c>
      <c r="R337" s="1" t="s">
        <v>272</v>
      </c>
      <c r="S337" s="1" t="s">
        <v>8</v>
      </c>
      <c r="T337" s="1" t="s">
        <v>274</v>
      </c>
      <c r="U337" s="1" t="s">
        <v>156</v>
      </c>
      <c r="V337" s="1" t="s">
        <v>1420</v>
      </c>
      <c r="W337" s="1" t="s">
        <v>93</v>
      </c>
      <c r="X337" s="1" t="s">
        <v>93</v>
      </c>
      <c r="Y337" s="1" t="s">
        <v>93</v>
      </c>
      <c r="Z337" s="1" t="s">
        <v>66</v>
      </c>
      <c r="AA337" s="1" t="s">
        <v>93</v>
      </c>
      <c r="AB337" s="1">
        <v>674.37</v>
      </c>
      <c r="AC337" s="1">
        <v>0</v>
      </c>
      <c r="AD337" s="1">
        <v>0</v>
      </c>
      <c r="AE337" s="1">
        <v>0</v>
      </c>
      <c r="AF337" s="1">
        <v>0</v>
      </c>
      <c r="AG337" s="1">
        <v>0</v>
      </c>
      <c r="AH337" s="1">
        <v>0</v>
      </c>
      <c r="AI337" s="1" t="s">
        <v>1421</v>
      </c>
      <c r="AJ337" s="1" t="s">
        <v>410</v>
      </c>
      <c r="AK337" s="1" t="s">
        <v>13</v>
      </c>
      <c r="AL337" s="1" t="s">
        <v>65</v>
      </c>
      <c r="AM337" s="1" t="s">
        <v>292</v>
      </c>
      <c r="AN337" s="1" t="s">
        <v>21</v>
      </c>
      <c r="AO337" s="1" t="s">
        <v>280</v>
      </c>
      <c r="AP337" s="1" t="s">
        <v>324</v>
      </c>
      <c r="AQ337" s="1" t="s">
        <v>20</v>
      </c>
    </row>
    <row r="338" spans="1:43" x14ac:dyDescent="0.3">
      <c r="A338" s="1">
        <v>24837414</v>
      </c>
      <c r="B338" s="1">
        <v>25674074</v>
      </c>
      <c r="C338" s="1" t="s">
        <v>266</v>
      </c>
      <c r="D338" s="4">
        <v>46202.696087962962</v>
      </c>
      <c r="E338" s="4">
        <v>46202.748599537037</v>
      </c>
      <c r="F338" s="1" t="s">
        <v>24</v>
      </c>
      <c r="G338" s="1" t="s">
        <v>24</v>
      </c>
      <c r="H338" s="1" t="s">
        <v>1422</v>
      </c>
      <c r="I338" s="1" t="s">
        <v>268</v>
      </c>
      <c r="J338" s="1" t="s">
        <v>1423</v>
      </c>
      <c r="K338" s="1" t="s">
        <v>270</v>
      </c>
      <c r="L338" s="1" t="s">
        <v>270</v>
      </c>
      <c r="M338" s="4">
        <v>46202.481249999997</v>
      </c>
      <c r="N338" s="1">
        <v>4706</v>
      </c>
      <c r="O338" s="1" t="s">
        <v>93</v>
      </c>
      <c r="P338" s="1" t="s">
        <v>271</v>
      </c>
      <c r="Q338" s="1" t="s">
        <v>286</v>
      </c>
      <c r="R338" s="1" t="s">
        <v>272</v>
      </c>
      <c r="S338" s="1" t="s">
        <v>9</v>
      </c>
      <c r="T338" s="1" t="s">
        <v>274</v>
      </c>
      <c r="U338" s="1" t="s">
        <v>156</v>
      </c>
      <c r="V338" s="1" t="s">
        <v>1424</v>
      </c>
      <c r="W338" s="1" t="s">
        <v>93</v>
      </c>
      <c r="X338" s="1" t="s">
        <v>93</v>
      </c>
      <c r="Y338" s="1" t="s">
        <v>93</v>
      </c>
      <c r="Z338" s="1" t="s">
        <v>66</v>
      </c>
      <c r="AA338" s="1" t="s">
        <v>93</v>
      </c>
      <c r="AB338" s="1">
        <v>301.70999999999998</v>
      </c>
      <c r="AC338" s="1">
        <v>0</v>
      </c>
      <c r="AD338" s="1">
        <v>0</v>
      </c>
      <c r="AE338" s="1">
        <v>0</v>
      </c>
      <c r="AF338" s="1">
        <v>0</v>
      </c>
      <c r="AG338" s="1">
        <v>0</v>
      </c>
      <c r="AH338" s="1">
        <v>0</v>
      </c>
      <c r="AI338" s="1" t="s">
        <v>1425</v>
      </c>
      <c r="AJ338" s="1" t="s">
        <v>410</v>
      </c>
      <c r="AK338" s="1" t="s">
        <v>13</v>
      </c>
      <c r="AL338" s="1" t="s">
        <v>65</v>
      </c>
      <c r="AM338" s="1" t="s">
        <v>292</v>
      </c>
      <c r="AN338" s="1" t="s">
        <v>21</v>
      </c>
      <c r="AO338" s="1" t="s">
        <v>293</v>
      </c>
      <c r="AP338" s="1" t="s">
        <v>281</v>
      </c>
      <c r="AQ338" s="1" t="s">
        <v>34</v>
      </c>
    </row>
    <row r="339" spans="1:43" x14ac:dyDescent="0.3">
      <c r="A339" s="1">
        <v>24835145</v>
      </c>
      <c r="B339" s="1">
        <v>25671912</v>
      </c>
      <c r="C339" s="1" t="s">
        <v>266</v>
      </c>
      <c r="D339" s="4">
        <v>46202.419270833343</v>
      </c>
      <c r="E339" s="4">
        <v>46202.447291666656</v>
      </c>
      <c r="F339" s="1" t="s">
        <v>24</v>
      </c>
      <c r="G339" s="1" t="s">
        <v>24</v>
      </c>
      <c r="H339" s="1" t="s">
        <v>1426</v>
      </c>
      <c r="I339" s="1" t="s">
        <v>268</v>
      </c>
      <c r="J339" s="1" t="s">
        <v>1427</v>
      </c>
      <c r="K339" s="1" t="s">
        <v>1428</v>
      </c>
      <c r="L339" s="1" t="s">
        <v>1428</v>
      </c>
      <c r="M339" s="4">
        <v>46202.404861111107</v>
      </c>
      <c r="N339" s="1">
        <v>4573</v>
      </c>
      <c r="O339" s="1" t="s">
        <v>1360</v>
      </c>
      <c r="P339" s="1" t="s">
        <v>342</v>
      </c>
      <c r="Q339" s="1" t="s">
        <v>303</v>
      </c>
      <c r="R339" s="1" t="s">
        <v>272</v>
      </c>
      <c r="S339" s="1" t="s">
        <v>8</v>
      </c>
      <c r="T339" s="1" t="s">
        <v>274</v>
      </c>
      <c r="U339" s="1" t="s">
        <v>156</v>
      </c>
      <c r="V339" s="1" t="s">
        <v>997</v>
      </c>
      <c r="W339" s="1" t="s">
        <v>93</v>
      </c>
      <c r="X339" s="1" t="s">
        <v>93</v>
      </c>
      <c r="Y339" s="1" t="s">
        <v>93</v>
      </c>
      <c r="Z339" s="1" t="s">
        <v>66</v>
      </c>
      <c r="AA339" s="1" t="s">
        <v>93</v>
      </c>
      <c r="AB339" s="1">
        <v>540.96</v>
      </c>
      <c r="AC339" s="1">
        <v>0</v>
      </c>
      <c r="AD339" s="1">
        <v>81.14</v>
      </c>
      <c r="AE339" s="1">
        <v>0</v>
      </c>
      <c r="AF339" s="1">
        <v>0</v>
      </c>
      <c r="AG339" s="1">
        <v>0</v>
      </c>
      <c r="AH339" s="1">
        <v>0</v>
      </c>
      <c r="AI339" s="1" t="s">
        <v>1429</v>
      </c>
      <c r="AJ339" s="1" t="s">
        <v>410</v>
      </c>
      <c r="AK339" s="1" t="s">
        <v>13</v>
      </c>
      <c r="AL339" s="1" t="s">
        <v>65</v>
      </c>
      <c r="AM339" s="1" t="s">
        <v>292</v>
      </c>
      <c r="AN339" s="1" t="s">
        <v>21</v>
      </c>
      <c r="AO339" s="1" t="s">
        <v>280</v>
      </c>
      <c r="AP339" s="1" t="s">
        <v>324</v>
      </c>
      <c r="AQ339" s="1" t="s">
        <v>20</v>
      </c>
    </row>
    <row r="340" spans="1:43" x14ac:dyDescent="0.3">
      <c r="A340" s="1">
        <v>24861500</v>
      </c>
      <c r="B340" s="1">
        <v>25700302</v>
      </c>
      <c r="C340" s="1" t="s">
        <v>266</v>
      </c>
      <c r="D340" s="4">
        <v>46206.527939814812</v>
      </c>
      <c r="E340" s="4">
        <v>46206.534004629633</v>
      </c>
      <c r="F340" s="1" t="s">
        <v>22</v>
      </c>
      <c r="G340" s="1" t="s">
        <v>22</v>
      </c>
      <c r="H340" s="1" t="s">
        <v>1430</v>
      </c>
      <c r="I340" s="1" t="s">
        <v>268</v>
      </c>
      <c r="J340" s="1" t="s">
        <v>1431</v>
      </c>
      <c r="K340" s="1" t="s">
        <v>1432</v>
      </c>
      <c r="L340" s="1" t="s">
        <v>1432</v>
      </c>
      <c r="M340" s="4">
        <v>46206.426388888889</v>
      </c>
      <c r="N340" s="1">
        <v>9627</v>
      </c>
      <c r="O340" s="1" t="s">
        <v>1433</v>
      </c>
      <c r="P340" s="1" t="s">
        <v>342</v>
      </c>
      <c r="Q340" s="1" t="s">
        <v>388</v>
      </c>
      <c r="R340" s="1" t="s">
        <v>388</v>
      </c>
      <c r="S340" s="1" t="s">
        <v>8</v>
      </c>
      <c r="T340" s="1" t="s">
        <v>274</v>
      </c>
      <c r="U340" s="1" t="s">
        <v>196</v>
      </c>
      <c r="V340" s="1" t="s">
        <v>1434</v>
      </c>
      <c r="W340" s="1" t="s">
        <v>93</v>
      </c>
      <c r="X340" s="1" t="s">
        <v>93</v>
      </c>
      <c r="Y340" s="1" t="s">
        <v>93</v>
      </c>
      <c r="Z340" s="1" t="s">
        <v>112</v>
      </c>
      <c r="AA340" s="1" t="s">
        <v>93</v>
      </c>
      <c r="AB340" s="1">
        <v>546.21</v>
      </c>
      <c r="AC340" s="1">
        <v>0</v>
      </c>
      <c r="AD340" s="1">
        <v>0</v>
      </c>
      <c r="AE340" s="1">
        <v>0</v>
      </c>
      <c r="AF340" s="1">
        <v>0</v>
      </c>
      <c r="AG340" s="1">
        <v>0</v>
      </c>
      <c r="AH340" s="1">
        <v>0</v>
      </c>
      <c r="AI340" s="1" t="s">
        <v>1435</v>
      </c>
      <c r="AJ340" s="1" t="s">
        <v>410</v>
      </c>
      <c r="AK340" s="1" t="s">
        <v>13</v>
      </c>
      <c r="AL340" s="1" t="s">
        <v>65</v>
      </c>
      <c r="AM340" s="1" t="s">
        <v>292</v>
      </c>
      <c r="AN340" s="1" t="s">
        <v>21</v>
      </c>
      <c r="AO340" s="1" t="s">
        <v>280</v>
      </c>
      <c r="AP340" s="1" t="s">
        <v>324</v>
      </c>
      <c r="AQ340" s="1" t="s">
        <v>20</v>
      </c>
    </row>
    <row r="341" spans="1:43" x14ac:dyDescent="0.3">
      <c r="A341" s="1">
        <v>24843742</v>
      </c>
      <c r="B341" s="1">
        <v>25680065</v>
      </c>
      <c r="C341" s="1" t="s">
        <v>266</v>
      </c>
      <c r="D341" s="4">
        <v>46203.706030092602</v>
      </c>
      <c r="E341" s="4">
        <v>46203.772858796299</v>
      </c>
      <c r="F341" s="1" t="s">
        <v>24</v>
      </c>
      <c r="G341" s="1" t="s">
        <v>24</v>
      </c>
      <c r="H341" s="1" t="s">
        <v>1436</v>
      </c>
      <c r="I341" s="1" t="s">
        <v>268</v>
      </c>
      <c r="J341" s="1" t="s">
        <v>1437</v>
      </c>
      <c r="K341" s="1" t="s">
        <v>632</v>
      </c>
      <c r="L341" s="1" t="s">
        <v>632</v>
      </c>
      <c r="M341" s="4">
        <v>46203.617361111108</v>
      </c>
      <c r="N341" s="1">
        <v>1451</v>
      </c>
      <c r="O341" s="1" t="s">
        <v>93</v>
      </c>
      <c r="P341" s="1" t="s">
        <v>342</v>
      </c>
      <c r="Q341" s="1" t="s">
        <v>286</v>
      </c>
      <c r="R341" s="1" t="s">
        <v>272</v>
      </c>
      <c r="S341" s="1" t="s">
        <v>9</v>
      </c>
      <c r="T341" s="1" t="s">
        <v>274</v>
      </c>
      <c r="U341" s="1" t="s">
        <v>188</v>
      </c>
      <c r="V341" s="1" t="s">
        <v>1438</v>
      </c>
      <c r="W341" s="1" t="s">
        <v>93</v>
      </c>
      <c r="X341" s="1" t="s">
        <v>93</v>
      </c>
      <c r="Y341" s="1" t="s">
        <v>93</v>
      </c>
      <c r="Z341" s="1" t="s">
        <v>95</v>
      </c>
      <c r="AA341" s="1" t="s">
        <v>93</v>
      </c>
      <c r="AB341" s="1">
        <v>320</v>
      </c>
      <c r="AC341" s="1">
        <v>0</v>
      </c>
      <c r="AD341" s="1">
        <v>0</v>
      </c>
      <c r="AE341" s="1">
        <v>0</v>
      </c>
      <c r="AF341" s="1">
        <v>0</v>
      </c>
      <c r="AG341" s="1">
        <v>0</v>
      </c>
      <c r="AH341" s="1">
        <v>0</v>
      </c>
      <c r="AI341" s="1" t="s">
        <v>1439</v>
      </c>
      <c r="AJ341" s="1" t="s">
        <v>410</v>
      </c>
      <c r="AK341" s="1" t="s">
        <v>13</v>
      </c>
      <c r="AL341" s="1" t="s">
        <v>65</v>
      </c>
      <c r="AM341" s="1" t="s">
        <v>292</v>
      </c>
      <c r="AN341" s="1" t="s">
        <v>21</v>
      </c>
      <c r="AO341" s="1" t="s">
        <v>280</v>
      </c>
      <c r="AP341" s="1" t="s">
        <v>324</v>
      </c>
      <c r="AQ341" s="1" t="s">
        <v>20</v>
      </c>
    </row>
    <row r="342" spans="1:43" x14ac:dyDescent="0.3">
      <c r="A342" s="1">
        <v>24844411</v>
      </c>
      <c r="B342" s="1">
        <v>25680797</v>
      </c>
      <c r="C342" s="1" t="s">
        <v>266</v>
      </c>
      <c r="D342" s="4">
        <v>46203.751944444448</v>
      </c>
      <c r="E342" s="4">
        <v>46203.810127314813</v>
      </c>
      <c r="F342" s="1" t="s">
        <v>24</v>
      </c>
      <c r="G342" s="1" t="s">
        <v>24</v>
      </c>
      <c r="H342" s="1" t="s">
        <v>1440</v>
      </c>
      <c r="I342" s="1" t="s">
        <v>268</v>
      </c>
      <c r="J342" s="1" t="s">
        <v>1441</v>
      </c>
      <c r="K342" s="1" t="s">
        <v>1442</v>
      </c>
      <c r="L342" s="1" t="s">
        <v>1442</v>
      </c>
      <c r="M342" s="4">
        <v>46203.702777777777</v>
      </c>
      <c r="N342" s="1">
        <v>3784</v>
      </c>
      <c r="O342" s="1" t="s">
        <v>1412</v>
      </c>
      <c r="P342" s="1" t="s">
        <v>342</v>
      </c>
      <c r="Q342" s="1" t="s">
        <v>286</v>
      </c>
      <c r="R342" s="1" t="s">
        <v>272</v>
      </c>
      <c r="S342" s="1" t="s">
        <v>8</v>
      </c>
      <c r="T342" s="1" t="s">
        <v>274</v>
      </c>
      <c r="U342" s="1" t="s">
        <v>208</v>
      </c>
      <c r="V342" s="1" t="s">
        <v>1443</v>
      </c>
      <c r="W342" s="1" t="s">
        <v>93</v>
      </c>
      <c r="X342" s="1" t="s">
        <v>93</v>
      </c>
      <c r="Y342" s="1" t="s">
        <v>93</v>
      </c>
      <c r="Z342" s="1" t="s">
        <v>126</v>
      </c>
      <c r="AA342" s="1" t="s">
        <v>93</v>
      </c>
      <c r="AB342" s="1">
        <v>671.85</v>
      </c>
      <c r="AC342" s="1">
        <v>0</v>
      </c>
      <c r="AD342" s="1">
        <v>0</v>
      </c>
      <c r="AE342" s="1">
        <v>0</v>
      </c>
      <c r="AF342" s="1">
        <v>0</v>
      </c>
      <c r="AG342" s="1">
        <v>0</v>
      </c>
      <c r="AH342" s="1">
        <v>0</v>
      </c>
      <c r="AI342" s="1" t="s">
        <v>1444</v>
      </c>
      <c r="AJ342" s="1" t="s">
        <v>410</v>
      </c>
      <c r="AK342" s="1" t="s">
        <v>13</v>
      </c>
      <c r="AL342" s="1" t="s">
        <v>65</v>
      </c>
      <c r="AM342" s="1" t="s">
        <v>292</v>
      </c>
      <c r="AN342" s="1" t="s">
        <v>21</v>
      </c>
      <c r="AO342" s="1" t="s">
        <v>280</v>
      </c>
      <c r="AP342" s="1" t="s">
        <v>324</v>
      </c>
      <c r="AQ342" s="1" t="s">
        <v>20</v>
      </c>
    </row>
    <row r="343" spans="1:43" x14ac:dyDescent="0.3">
      <c r="A343" s="1">
        <v>24857213</v>
      </c>
      <c r="B343" s="1">
        <v>25695210</v>
      </c>
      <c r="C343" s="1" t="s">
        <v>266</v>
      </c>
      <c r="D343" s="4">
        <v>46205.752025462964</v>
      </c>
      <c r="E343" s="4">
        <v>46205.825474537043</v>
      </c>
      <c r="F343" s="1" t="s">
        <v>22</v>
      </c>
      <c r="G343" s="1" t="s">
        <v>22</v>
      </c>
      <c r="H343" s="1" t="s">
        <v>1445</v>
      </c>
      <c r="I343" s="1" t="s">
        <v>268</v>
      </c>
      <c r="J343" s="1" t="s">
        <v>1446</v>
      </c>
      <c r="K343" s="1" t="s">
        <v>1447</v>
      </c>
      <c r="L343" s="1" t="s">
        <v>1447</v>
      </c>
      <c r="M343" s="4">
        <v>46205.642361111109</v>
      </c>
      <c r="N343" s="1">
        <v>3828</v>
      </c>
      <c r="O343" s="1" t="s">
        <v>93</v>
      </c>
      <c r="P343" s="1" t="s">
        <v>342</v>
      </c>
      <c r="Q343" s="1" t="s">
        <v>286</v>
      </c>
      <c r="R343" s="1" t="s">
        <v>286</v>
      </c>
      <c r="S343" s="1" t="s">
        <v>9</v>
      </c>
      <c r="T343" s="1" t="s">
        <v>274</v>
      </c>
      <c r="U343" s="1" t="s">
        <v>208</v>
      </c>
      <c r="V343" s="1" t="s">
        <v>1443</v>
      </c>
      <c r="W343" s="1" t="s">
        <v>93</v>
      </c>
      <c r="X343" s="1" t="s">
        <v>93</v>
      </c>
      <c r="Y343" s="1" t="s">
        <v>93</v>
      </c>
      <c r="Z343" s="1" t="s">
        <v>126</v>
      </c>
      <c r="AA343" s="1" t="s">
        <v>93</v>
      </c>
      <c r="AB343" s="1">
        <v>400</v>
      </c>
      <c r="AC343" s="1">
        <v>0</v>
      </c>
      <c r="AD343" s="1">
        <v>0</v>
      </c>
      <c r="AE343" s="1">
        <v>0</v>
      </c>
      <c r="AF343" s="1">
        <v>0</v>
      </c>
      <c r="AG343" s="1">
        <v>0</v>
      </c>
      <c r="AH343" s="1">
        <v>0</v>
      </c>
      <c r="AI343" s="1" t="s">
        <v>1448</v>
      </c>
      <c r="AJ343" s="1" t="s">
        <v>410</v>
      </c>
      <c r="AK343" s="1" t="s">
        <v>13</v>
      </c>
      <c r="AL343" s="1" t="s">
        <v>65</v>
      </c>
      <c r="AM343" s="1" t="s">
        <v>292</v>
      </c>
      <c r="AN343" s="1" t="s">
        <v>21</v>
      </c>
      <c r="AO343" s="1" t="s">
        <v>280</v>
      </c>
      <c r="AP343" s="1" t="s">
        <v>324</v>
      </c>
      <c r="AQ343" s="1" t="s">
        <v>20</v>
      </c>
    </row>
    <row r="344" spans="1:43" x14ac:dyDescent="0.3">
      <c r="A344" s="1">
        <v>24862099</v>
      </c>
      <c r="B344" s="1">
        <v>25701031</v>
      </c>
      <c r="C344" s="1" t="s">
        <v>266</v>
      </c>
      <c r="D344" s="4">
        <v>46206.606319444443</v>
      </c>
      <c r="E344" s="4">
        <v>46206.607939814807</v>
      </c>
      <c r="F344" s="1" t="s">
        <v>22</v>
      </c>
      <c r="G344" s="1" t="s">
        <v>22</v>
      </c>
      <c r="H344" s="1" t="s">
        <v>1449</v>
      </c>
      <c r="I344" s="1" t="s">
        <v>14</v>
      </c>
      <c r="J344" s="1" t="s">
        <v>1450</v>
      </c>
      <c r="K344" s="1" t="s">
        <v>547</v>
      </c>
      <c r="L344" s="1" t="s">
        <v>547</v>
      </c>
      <c r="M344" s="4">
        <v>46206.334722222222</v>
      </c>
      <c r="N344" s="1">
        <v>4718203</v>
      </c>
      <c r="O344" s="1" t="s">
        <v>93</v>
      </c>
      <c r="P344" s="1" t="s">
        <v>342</v>
      </c>
      <c r="Q344" s="1" t="s">
        <v>286</v>
      </c>
      <c r="R344" s="1" t="s">
        <v>286</v>
      </c>
      <c r="S344" s="1" t="s">
        <v>9</v>
      </c>
      <c r="T344" s="1" t="s">
        <v>274</v>
      </c>
      <c r="U344" s="1" t="s">
        <v>176</v>
      </c>
      <c r="V344" s="1" t="s">
        <v>1451</v>
      </c>
      <c r="W344" s="1" t="s">
        <v>93</v>
      </c>
      <c r="X344" s="1" t="s">
        <v>93</v>
      </c>
      <c r="Y344" s="1" t="s">
        <v>93</v>
      </c>
      <c r="Z344" s="1" t="s">
        <v>81</v>
      </c>
      <c r="AA344" s="1" t="s">
        <v>93</v>
      </c>
      <c r="AB344" s="1">
        <v>1547.96</v>
      </c>
      <c r="AC344" s="1">
        <v>50.44</v>
      </c>
      <c r="AD344" s="1">
        <v>0</v>
      </c>
      <c r="AE344" s="1">
        <v>0</v>
      </c>
      <c r="AF344" s="1">
        <v>0</v>
      </c>
      <c r="AG344" s="1">
        <v>0</v>
      </c>
      <c r="AH344" s="1">
        <v>0</v>
      </c>
      <c r="AI344" s="1" t="s">
        <v>1452</v>
      </c>
      <c r="AJ344" s="1" t="s">
        <v>410</v>
      </c>
      <c r="AK344" s="1" t="s">
        <v>14</v>
      </c>
      <c r="AL344" s="1" t="s">
        <v>65</v>
      </c>
      <c r="AM344" s="1" t="s">
        <v>292</v>
      </c>
      <c r="AN344" s="1" t="s">
        <v>21</v>
      </c>
      <c r="AO344" s="1" t="s">
        <v>293</v>
      </c>
      <c r="AP344" s="1" t="s">
        <v>281</v>
      </c>
      <c r="AQ344" s="1" t="s">
        <v>34</v>
      </c>
    </row>
    <row r="345" spans="1:43" x14ac:dyDescent="0.3">
      <c r="A345" s="1">
        <v>24861750</v>
      </c>
      <c r="B345" s="1">
        <v>25700590</v>
      </c>
      <c r="C345" s="1" t="s">
        <v>266</v>
      </c>
      <c r="D345" s="4">
        <v>46206.56858796296</v>
      </c>
      <c r="E345" s="4">
        <v>46206.571145833332</v>
      </c>
      <c r="F345" s="1" t="s">
        <v>22</v>
      </c>
      <c r="G345" s="1" t="s">
        <v>22</v>
      </c>
      <c r="H345" s="1" t="s">
        <v>1453</v>
      </c>
      <c r="I345" s="1" t="s">
        <v>17</v>
      </c>
      <c r="J345" s="1" t="s">
        <v>1454</v>
      </c>
      <c r="K345" s="1" t="s">
        <v>1455</v>
      </c>
      <c r="L345" s="1" t="s">
        <v>1455</v>
      </c>
      <c r="M345" s="4">
        <v>46206.306250000001</v>
      </c>
      <c r="N345" s="1" t="s">
        <v>1456</v>
      </c>
      <c r="O345" s="1" t="s">
        <v>93</v>
      </c>
      <c r="P345" s="1" t="s">
        <v>342</v>
      </c>
      <c r="Q345" s="1" t="s">
        <v>388</v>
      </c>
      <c r="R345" s="1" t="s">
        <v>388</v>
      </c>
      <c r="S345" s="1" t="s">
        <v>9</v>
      </c>
      <c r="T345" s="1" t="s">
        <v>274</v>
      </c>
      <c r="U345" s="1" t="s">
        <v>211</v>
      </c>
      <c r="V345" s="1" t="s">
        <v>1457</v>
      </c>
      <c r="W345" s="1" t="s">
        <v>93</v>
      </c>
      <c r="X345" s="1" t="s">
        <v>93</v>
      </c>
      <c r="Y345" s="1" t="s">
        <v>93</v>
      </c>
      <c r="Z345" s="1" t="s">
        <v>131</v>
      </c>
      <c r="AA345" s="1" t="s">
        <v>93</v>
      </c>
      <c r="AB345" s="1">
        <v>7857</v>
      </c>
      <c r="AC345" s="1">
        <v>358.08</v>
      </c>
      <c r="AD345" s="1">
        <v>0</v>
      </c>
      <c r="AE345" s="1">
        <v>0</v>
      </c>
      <c r="AF345" s="1">
        <v>0</v>
      </c>
      <c r="AG345" s="1">
        <v>0</v>
      </c>
      <c r="AH345" s="1">
        <v>0</v>
      </c>
      <c r="AI345" s="1" t="s">
        <v>290</v>
      </c>
      <c r="AJ345" s="1" t="s">
        <v>410</v>
      </c>
      <c r="AK345" s="1" t="s">
        <v>17</v>
      </c>
      <c r="AL345" s="1" t="s">
        <v>65</v>
      </c>
      <c r="AM345" s="1" t="s">
        <v>292</v>
      </c>
      <c r="AN345" s="1" t="s">
        <v>21</v>
      </c>
      <c r="AO345" s="1" t="s">
        <v>280</v>
      </c>
      <c r="AP345" s="1" t="s">
        <v>324</v>
      </c>
      <c r="AQ345" s="1" t="s">
        <v>20</v>
      </c>
    </row>
    <row r="346" spans="1:43" x14ac:dyDescent="0.3">
      <c r="A346" s="1">
        <v>24861750</v>
      </c>
      <c r="B346" s="1">
        <v>25700591</v>
      </c>
      <c r="C346" s="1" t="s">
        <v>294</v>
      </c>
      <c r="D346" s="4">
        <v>46206.56858796296</v>
      </c>
      <c r="E346" s="4">
        <v>46206.571145833332</v>
      </c>
      <c r="F346" s="1" t="s">
        <v>22</v>
      </c>
      <c r="G346" s="1" t="s">
        <v>22</v>
      </c>
      <c r="H346" s="1" t="s">
        <v>1453</v>
      </c>
      <c r="I346" s="1" t="s">
        <v>17</v>
      </c>
      <c r="J346" s="1" t="s">
        <v>1454</v>
      </c>
      <c r="K346" s="1" t="s">
        <v>1455</v>
      </c>
      <c r="L346" s="1" t="s">
        <v>1455</v>
      </c>
      <c r="M346" s="4">
        <v>46206.306250000001</v>
      </c>
      <c r="N346" s="1" t="s">
        <v>1456</v>
      </c>
      <c r="O346" s="1" t="s">
        <v>93</v>
      </c>
      <c r="P346" s="1" t="s">
        <v>342</v>
      </c>
      <c r="Q346" s="1" t="s">
        <v>388</v>
      </c>
      <c r="R346" s="1" t="s">
        <v>388</v>
      </c>
      <c r="S346" s="1" t="s">
        <v>9</v>
      </c>
      <c r="T346" s="1" t="s">
        <v>274</v>
      </c>
      <c r="U346" s="1" t="s">
        <v>211</v>
      </c>
      <c r="V346" s="1" t="s">
        <v>1457</v>
      </c>
      <c r="W346" s="1" t="s">
        <v>93</v>
      </c>
      <c r="X346" s="1" t="s">
        <v>93</v>
      </c>
      <c r="Y346" s="1" t="s">
        <v>93</v>
      </c>
      <c r="Z346" s="1" t="s">
        <v>131</v>
      </c>
      <c r="AA346" s="1" t="s">
        <v>93</v>
      </c>
      <c r="AB346" s="1">
        <v>2789.7150000000001</v>
      </c>
      <c r="AC346" s="1">
        <v>93.98</v>
      </c>
      <c r="AD346" s="1">
        <v>0</v>
      </c>
      <c r="AE346" s="1">
        <v>0</v>
      </c>
      <c r="AF346" s="1">
        <v>0</v>
      </c>
      <c r="AG346" s="1">
        <v>0</v>
      </c>
      <c r="AH346" s="1">
        <v>0</v>
      </c>
      <c r="AI346" s="1" t="s">
        <v>290</v>
      </c>
      <c r="AJ346" s="1" t="s">
        <v>410</v>
      </c>
      <c r="AK346" s="1" t="s">
        <v>17</v>
      </c>
      <c r="AL346" s="1" t="s">
        <v>65</v>
      </c>
      <c r="AM346" s="1" t="s">
        <v>292</v>
      </c>
      <c r="AN346" s="1" t="s">
        <v>21</v>
      </c>
      <c r="AO346" s="1" t="s">
        <v>280</v>
      </c>
      <c r="AP346" s="1" t="s">
        <v>324</v>
      </c>
      <c r="AQ346" s="1" t="s">
        <v>20</v>
      </c>
    </row>
    <row r="347" spans="1:43" x14ac:dyDescent="0.3">
      <c r="A347" s="1">
        <v>24861753</v>
      </c>
      <c r="B347" s="1">
        <v>25700598</v>
      </c>
      <c r="C347" s="1" t="s">
        <v>266</v>
      </c>
      <c r="D347" s="4">
        <v>46206.568796296298</v>
      </c>
      <c r="E347" s="4">
        <v>46206.571145833332</v>
      </c>
      <c r="F347" s="1" t="s">
        <v>22</v>
      </c>
      <c r="G347" s="1" t="s">
        <v>22</v>
      </c>
      <c r="H347" s="1" t="s">
        <v>1458</v>
      </c>
      <c r="I347" s="1" t="s">
        <v>17</v>
      </c>
      <c r="J347" s="1" t="s">
        <v>1459</v>
      </c>
      <c r="K347" s="1" t="s">
        <v>1455</v>
      </c>
      <c r="L347" s="1" t="s">
        <v>1455</v>
      </c>
      <c r="M347" s="4">
        <v>46205.597916666673</v>
      </c>
      <c r="N347" s="1">
        <v>9999</v>
      </c>
      <c r="O347" s="1" t="s">
        <v>93</v>
      </c>
      <c r="P347" s="1" t="s">
        <v>342</v>
      </c>
      <c r="Q347" s="1" t="s">
        <v>286</v>
      </c>
      <c r="R347" s="1" t="s">
        <v>286</v>
      </c>
      <c r="S347" s="1" t="s">
        <v>9</v>
      </c>
      <c r="T347" s="1" t="s">
        <v>274</v>
      </c>
      <c r="U347" s="1" t="s">
        <v>211</v>
      </c>
      <c r="V347" s="1" t="s">
        <v>1457</v>
      </c>
      <c r="W347" s="1" t="s">
        <v>93</v>
      </c>
      <c r="X347" s="1" t="s">
        <v>93</v>
      </c>
      <c r="Y347" s="1" t="s">
        <v>93</v>
      </c>
      <c r="Z347" s="1" t="s">
        <v>131</v>
      </c>
      <c r="AA347" s="1" t="s">
        <v>93</v>
      </c>
      <c r="AB347" s="1">
        <v>990</v>
      </c>
      <c r="AC347" s="1">
        <v>188100</v>
      </c>
      <c r="AD347" s="1">
        <v>0</v>
      </c>
      <c r="AE347" s="1">
        <v>0</v>
      </c>
      <c r="AF347" s="1">
        <v>0</v>
      </c>
      <c r="AG347" s="1">
        <v>0</v>
      </c>
      <c r="AH347" s="1">
        <v>0</v>
      </c>
      <c r="AI347" s="1" t="s">
        <v>290</v>
      </c>
      <c r="AJ347" s="1" t="s">
        <v>410</v>
      </c>
      <c r="AK347" s="1" t="s">
        <v>17</v>
      </c>
      <c r="AL347" s="1" t="s">
        <v>65</v>
      </c>
      <c r="AM347" s="1" t="s">
        <v>292</v>
      </c>
      <c r="AN347" s="1" t="s">
        <v>21</v>
      </c>
      <c r="AO347" s="1" t="s">
        <v>280</v>
      </c>
      <c r="AP347" s="1" t="s">
        <v>324</v>
      </c>
      <c r="AQ347" s="1" t="s">
        <v>20</v>
      </c>
    </row>
    <row r="348" spans="1:43" x14ac:dyDescent="0.3">
      <c r="A348" s="1">
        <v>24843401</v>
      </c>
      <c r="B348" s="1">
        <v>25679692</v>
      </c>
      <c r="C348" s="1" t="s">
        <v>266</v>
      </c>
      <c r="D348" s="4">
        <v>46203.693784722222</v>
      </c>
      <c r="E348" s="4">
        <v>46203.705960648149</v>
      </c>
      <c r="F348" s="1" t="s">
        <v>24</v>
      </c>
      <c r="G348" s="1" t="s">
        <v>24</v>
      </c>
      <c r="H348" s="1" t="s">
        <v>1460</v>
      </c>
      <c r="I348" s="1" t="s">
        <v>268</v>
      </c>
      <c r="J348" s="1" t="s">
        <v>1461</v>
      </c>
      <c r="K348" s="1" t="s">
        <v>988</v>
      </c>
      <c r="L348" s="1" t="s">
        <v>988</v>
      </c>
      <c r="M348" s="4">
        <v>46203.668749999997</v>
      </c>
      <c r="N348" s="1">
        <v>68609</v>
      </c>
      <c r="O348" s="1" t="s">
        <v>93</v>
      </c>
      <c r="P348" s="1" t="s">
        <v>342</v>
      </c>
      <c r="Q348" s="1" t="s">
        <v>303</v>
      </c>
      <c r="R348" s="1" t="s">
        <v>272</v>
      </c>
      <c r="S348" s="1" t="s">
        <v>7</v>
      </c>
      <c r="T348" s="1" t="s">
        <v>274</v>
      </c>
      <c r="U348" s="1" t="s">
        <v>146</v>
      </c>
      <c r="V348" s="1" t="s">
        <v>1462</v>
      </c>
      <c r="W348" s="1" t="s">
        <v>93</v>
      </c>
      <c r="X348" s="1" t="s">
        <v>298</v>
      </c>
      <c r="Y348" s="1">
        <v>2306872786</v>
      </c>
      <c r="Z348" s="1" t="s">
        <v>57</v>
      </c>
      <c r="AA348" s="1" t="s">
        <v>93</v>
      </c>
      <c r="AB348" s="1">
        <v>0</v>
      </c>
      <c r="AC348" s="1">
        <v>0</v>
      </c>
      <c r="AD348" s="1">
        <v>0</v>
      </c>
      <c r="AE348" s="1">
        <v>0</v>
      </c>
      <c r="AF348" s="1">
        <v>0</v>
      </c>
      <c r="AG348" s="1">
        <v>0</v>
      </c>
      <c r="AH348" s="1">
        <v>0</v>
      </c>
      <c r="AI348" s="1" t="s">
        <v>1463</v>
      </c>
      <c r="AJ348" s="1" t="s">
        <v>462</v>
      </c>
      <c r="AK348" s="1" t="s">
        <v>13</v>
      </c>
      <c r="AL348" s="1" t="s">
        <v>78</v>
      </c>
      <c r="AM348" s="1" t="s">
        <v>337</v>
      </c>
      <c r="AN348" s="1" t="s">
        <v>21</v>
      </c>
      <c r="AO348" s="1" t="s">
        <v>280</v>
      </c>
      <c r="AP348" s="1" t="s">
        <v>324</v>
      </c>
      <c r="AQ348" s="1" t="s">
        <v>125</v>
      </c>
    </row>
    <row r="349" spans="1:43" x14ac:dyDescent="0.3">
      <c r="A349" s="1">
        <v>24859111</v>
      </c>
      <c r="B349" s="1">
        <v>25697597</v>
      </c>
      <c r="C349" s="1" t="s">
        <v>266</v>
      </c>
      <c r="D349" s="4">
        <v>46205.966608796298</v>
      </c>
      <c r="E349" s="4">
        <v>46205.970416666663</v>
      </c>
      <c r="F349" s="1" t="s">
        <v>22</v>
      </c>
      <c r="G349" s="1" t="s">
        <v>22</v>
      </c>
      <c r="H349" s="1" t="s">
        <v>1464</v>
      </c>
      <c r="I349" s="1" t="s">
        <v>268</v>
      </c>
      <c r="J349" s="1" t="s">
        <v>1465</v>
      </c>
      <c r="K349" s="1" t="s">
        <v>1466</v>
      </c>
      <c r="L349" s="1" t="s">
        <v>270</v>
      </c>
      <c r="M349" s="4">
        <v>46205.738194444442</v>
      </c>
      <c r="N349" s="1">
        <v>3829</v>
      </c>
      <c r="O349" s="1" t="s">
        <v>93</v>
      </c>
      <c r="P349" s="1" t="s">
        <v>271</v>
      </c>
      <c r="Q349" s="1" t="s">
        <v>303</v>
      </c>
      <c r="R349" s="1" t="s">
        <v>272</v>
      </c>
      <c r="S349" s="1" t="s">
        <v>7</v>
      </c>
      <c r="T349" s="1" t="s">
        <v>274</v>
      </c>
      <c r="U349" s="1" t="s">
        <v>215</v>
      </c>
      <c r="V349" s="1" t="s">
        <v>691</v>
      </c>
      <c r="W349" s="1" t="s">
        <v>93</v>
      </c>
      <c r="X349" s="1" t="s">
        <v>298</v>
      </c>
      <c r="Y349" s="1">
        <v>2307046706</v>
      </c>
      <c r="Z349" s="1" t="s">
        <v>48</v>
      </c>
      <c r="AA349" s="1" t="s">
        <v>93</v>
      </c>
      <c r="AB349" s="1">
        <v>1221.8</v>
      </c>
      <c r="AC349" s="1">
        <v>116.1</v>
      </c>
      <c r="AD349" s="1">
        <v>0</v>
      </c>
      <c r="AE349" s="1">
        <v>0</v>
      </c>
      <c r="AF349" s="1">
        <v>0</v>
      </c>
      <c r="AG349" s="1">
        <v>0</v>
      </c>
      <c r="AH349" s="1">
        <v>0</v>
      </c>
      <c r="AI349" s="1" t="s">
        <v>1467</v>
      </c>
      <c r="AJ349" s="1" t="s">
        <v>693</v>
      </c>
      <c r="AK349" s="1" t="s">
        <v>13</v>
      </c>
      <c r="AL349" s="1" t="s">
        <v>98</v>
      </c>
      <c r="AM349" s="1" t="s">
        <v>393</v>
      </c>
      <c r="AN349" s="1" t="s">
        <v>30</v>
      </c>
      <c r="AO349" s="1" t="s">
        <v>280</v>
      </c>
      <c r="AP349" s="1" t="s">
        <v>324</v>
      </c>
      <c r="AQ349" s="1" t="s">
        <v>125</v>
      </c>
    </row>
    <row r="350" spans="1:43" x14ac:dyDescent="0.3">
      <c r="A350" s="1">
        <v>24856495</v>
      </c>
      <c r="B350" s="1">
        <v>25694442</v>
      </c>
      <c r="C350" s="1" t="s">
        <v>266</v>
      </c>
      <c r="D350" s="4">
        <v>46205.72184027778</v>
      </c>
      <c r="E350" s="4">
        <v>46206.719305555547</v>
      </c>
      <c r="F350" s="1" t="s">
        <v>22</v>
      </c>
      <c r="G350" s="1" t="s">
        <v>22</v>
      </c>
      <c r="H350" s="1" t="s">
        <v>1468</v>
      </c>
      <c r="I350" s="1" t="s">
        <v>17</v>
      </c>
      <c r="J350" s="1" t="s">
        <v>1469</v>
      </c>
      <c r="K350" s="1" t="s">
        <v>764</v>
      </c>
      <c r="L350" s="1" t="s">
        <v>764</v>
      </c>
      <c r="M350" s="4">
        <v>46205.34097222222</v>
      </c>
      <c r="N350" s="1" t="s">
        <v>1470</v>
      </c>
      <c r="O350" s="1" t="s">
        <v>93</v>
      </c>
      <c r="P350" s="1" t="s">
        <v>342</v>
      </c>
      <c r="Q350" s="1" t="s">
        <v>286</v>
      </c>
      <c r="R350" s="1" t="s">
        <v>286</v>
      </c>
      <c r="S350" s="1" t="s">
        <v>7</v>
      </c>
      <c r="T350" s="1" t="s">
        <v>274</v>
      </c>
      <c r="U350" s="1" t="s">
        <v>193</v>
      </c>
      <c r="V350" s="1" t="s">
        <v>1471</v>
      </c>
      <c r="W350" s="1" t="s">
        <v>93</v>
      </c>
      <c r="X350" s="1" t="s">
        <v>298</v>
      </c>
      <c r="Y350" s="1">
        <v>2307002353</v>
      </c>
      <c r="Z350" s="1" t="s">
        <v>56</v>
      </c>
      <c r="AA350" s="1" t="s">
        <v>93</v>
      </c>
      <c r="AB350" s="1">
        <v>2960.13</v>
      </c>
      <c r="AC350" s="1">
        <v>32.869999999999997</v>
      </c>
      <c r="AD350" s="1">
        <v>0</v>
      </c>
      <c r="AE350" s="1">
        <v>0</v>
      </c>
      <c r="AF350" s="1">
        <v>0</v>
      </c>
      <c r="AG350" s="1">
        <v>0</v>
      </c>
      <c r="AH350" s="1">
        <v>0</v>
      </c>
      <c r="AI350" s="1" t="s">
        <v>290</v>
      </c>
      <c r="AJ350" s="1" t="s">
        <v>1042</v>
      </c>
      <c r="AK350" s="1" t="s">
        <v>17</v>
      </c>
      <c r="AL350" s="1" t="s">
        <v>104</v>
      </c>
      <c r="AM350" s="1" t="s">
        <v>337</v>
      </c>
      <c r="AN350" s="1" t="s">
        <v>21</v>
      </c>
      <c r="AO350" s="1" t="s">
        <v>280</v>
      </c>
      <c r="AP350" s="1" t="s">
        <v>324</v>
      </c>
      <c r="AQ350" s="1" t="s">
        <v>27</v>
      </c>
    </row>
    <row r="351" spans="1:43" x14ac:dyDescent="0.3">
      <c r="A351" s="1">
        <v>24849116</v>
      </c>
      <c r="B351" s="1">
        <v>25685835</v>
      </c>
      <c r="C351" s="1" t="s">
        <v>266</v>
      </c>
      <c r="D351" s="4">
        <v>46204.648055555554</v>
      </c>
      <c r="E351" s="4">
        <v>46206.715752314813</v>
      </c>
      <c r="F351" s="1" t="s">
        <v>22</v>
      </c>
      <c r="G351" s="1" t="s">
        <v>22</v>
      </c>
      <c r="H351" s="1" t="s">
        <v>1472</v>
      </c>
      <c r="I351" s="1" t="s">
        <v>17</v>
      </c>
      <c r="J351" s="1" t="s">
        <v>1473</v>
      </c>
      <c r="K351" s="1" t="s">
        <v>1059</v>
      </c>
      <c r="L351" s="1" t="s">
        <v>1059</v>
      </c>
      <c r="M351" s="4">
        <v>46204.487500000003</v>
      </c>
      <c r="N351" s="1" t="s">
        <v>1472</v>
      </c>
      <c r="O351" s="1" t="s">
        <v>93</v>
      </c>
      <c r="P351" s="1" t="s">
        <v>271</v>
      </c>
      <c r="Q351" s="1" t="s">
        <v>286</v>
      </c>
      <c r="R351" s="1" t="s">
        <v>439</v>
      </c>
      <c r="S351" s="1" t="s">
        <v>7</v>
      </c>
      <c r="T351" s="1" t="s">
        <v>274</v>
      </c>
      <c r="U351" s="1" t="s">
        <v>198</v>
      </c>
      <c r="V351" s="1" t="s">
        <v>1060</v>
      </c>
      <c r="W351" s="1" t="s">
        <v>93</v>
      </c>
      <c r="X351" s="1" t="s">
        <v>298</v>
      </c>
      <c r="Y351" s="1">
        <v>7700090211</v>
      </c>
      <c r="Z351" s="1" t="s">
        <v>119</v>
      </c>
      <c r="AA351" s="1" t="s">
        <v>93</v>
      </c>
      <c r="AB351" s="1">
        <v>0</v>
      </c>
      <c r="AC351" s="1">
        <v>0</v>
      </c>
      <c r="AD351" s="1">
        <v>0</v>
      </c>
      <c r="AE351" s="1">
        <v>0</v>
      </c>
      <c r="AF351" s="1">
        <v>0</v>
      </c>
      <c r="AG351" s="1">
        <v>0</v>
      </c>
      <c r="AH351" s="1">
        <v>0</v>
      </c>
      <c r="AI351" s="1" t="s">
        <v>290</v>
      </c>
      <c r="AJ351" s="1" t="s">
        <v>1062</v>
      </c>
      <c r="AK351" s="1" t="s">
        <v>17</v>
      </c>
      <c r="AL351" s="1" t="s">
        <v>71</v>
      </c>
      <c r="AM351" s="1" t="s">
        <v>337</v>
      </c>
      <c r="AN351" s="1" t="s">
        <v>21</v>
      </c>
      <c r="AO351" s="1" t="s">
        <v>280</v>
      </c>
      <c r="AP351" s="1" t="s">
        <v>324</v>
      </c>
      <c r="AQ351" s="1" t="s">
        <v>27</v>
      </c>
    </row>
    <row r="352" spans="1:43" x14ac:dyDescent="0.3">
      <c r="A352" s="1">
        <v>24844802</v>
      </c>
      <c r="B352" s="1">
        <v>25681177</v>
      </c>
      <c r="C352" s="1" t="s">
        <v>266</v>
      </c>
      <c r="D352" s="4">
        <v>46203.801550925928</v>
      </c>
      <c r="E352" s="4">
        <v>46206.715729166674</v>
      </c>
      <c r="F352" s="1" t="s">
        <v>22</v>
      </c>
      <c r="G352" s="1" t="s">
        <v>24</v>
      </c>
      <c r="H352" s="1" t="s">
        <v>1474</v>
      </c>
      <c r="I352" s="1" t="s">
        <v>17</v>
      </c>
      <c r="J352" s="1" t="s">
        <v>1475</v>
      </c>
      <c r="K352" s="1" t="s">
        <v>284</v>
      </c>
      <c r="L352" s="1" t="s">
        <v>284</v>
      </c>
      <c r="M352" s="4">
        <v>46184.47152777778</v>
      </c>
      <c r="N352" s="1" t="s">
        <v>1474</v>
      </c>
      <c r="O352" s="1" t="s">
        <v>93</v>
      </c>
      <c r="P352" s="1" t="s">
        <v>271</v>
      </c>
      <c r="Q352" s="1" t="s">
        <v>286</v>
      </c>
      <c r="R352" s="1" t="s">
        <v>286</v>
      </c>
      <c r="S352" s="1" t="s">
        <v>7</v>
      </c>
      <c r="T352" s="1" t="s">
        <v>274</v>
      </c>
      <c r="U352" s="1" t="s">
        <v>177</v>
      </c>
      <c r="V352" s="1" t="s">
        <v>1476</v>
      </c>
      <c r="W352" s="1" t="s">
        <v>288</v>
      </c>
      <c r="X352" s="1" t="s">
        <v>298</v>
      </c>
      <c r="Y352" s="1">
        <v>7700090179</v>
      </c>
      <c r="Z352" s="1" t="s">
        <v>111</v>
      </c>
      <c r="AA352" s="1" t="s">
        <v>93</v>
      </c>
      <c r="AB352" s="1">
        <v>0</v>
      </c>
      <c r="AC352" s="1">
        <v>0</v>
      </c>
      <c r="AD352" s="1">
        <v>0</v>
      </c>
      <c r="AE352" s="1">
        <v>0</v>
      </c>
      <c r="AF352" s="1">
        <v>0</v>
      </c>
      <c r="AG352" s="1">
        <v>0</v>
      </c>
      <c r="AH352" s="1">
        <v>0</v>
      </c>
      <c r="AI352" s="1" t="s">
        <v>290</v>
      </c>
      <c r="AJ352" s="1" t="s">
        <v>462</v>
      </c>
      <c r="AK352" s="1" t="s">
        <v>17</v>
      </c>
      <c r="AL352" s="1" t="s">
        <v>78</v>
      </c>
      <c r="AM352" s="1" t="s">
        <v>337</v>
      </c>
      <c r="AN352" s="1" t="s">
        <v>21</v>
      </c>
      <c r="AO352" s="1" t="s">
        <v>280</v>
      </c>
      <c r="AP352" s="1" t="s">
        <v>324</v>
      </c>
      <c r="AQ352" s="1" t="s">
        <v>20</v>
      </c>
    </row>
    <row r="353" spans="1:43" x14ac:dyDescent="0.3">
      <c r="A353" s="1">
        <v>24840905</v>
      </c>
      <c r="B353" s="1">
        <v>25677067</v>
      </c>
      <c r="C353" s="1" t="s">
        <v>266</v>
      </c>
      <c r="D353" s="4">
        <v>46203.418437499997</v>
      </c>
      <c r="E353" s="4">
        <v>46206.715717592589</v>
      </c>
      <c r="F353" s="1" t="s">
        <v>22</v>
      </c>
      <c r="G353" s="1" t="s">
        <v>24</v>
      </c>
      <c r="H353" s="1" t="s">
        <v>1477</v>
      </c>
      <c r="I353" s="1" t="s">
        <v>17</v>
      </c>
      <c r="J353" s="1" t="s">
        <v>1478</v>
      </c>
      <c r="K353" s="1" t="s">
        <v>284</v>
      </c>
      <c r="L353" s="1" t="s">
        <v>284</v>
      </c>
      <c r="M353" s="4">
        <v>46202.669444444437</v>
      </c>
      <c r="N353" s="1" t="s">
        <v>1479</v>
      </c>
      <c r="O353" s="1" t="s">
        <v>93</v>
      </c>
      <c r="P353" s="1" t="s">
        <v>271</v>
      </c>
      <c r="Q353" s="1" t="s">
        <v>286</v>
      </c>
      <c r="R353" s="1" t="s">
        <v>286</v>
      </c>
      <c r="S353" s="1" t="s">
        <v>7</v>
      </c>
      <c r="T353" s="1" t="s">
        <v>274</v>
      </c>
      <c r="U353" s="1" t="s">
        <v>207</v>
      </c>
      <c r="V353" s="1" t="s">
        <v>1480</v>
      </c>
      <c r="W353" s="1" t="s">
        <v>288</v>
      </c>
      <c r="X353" s="1" t="s">
        <v>298</v>
      </c>
      <c r="Y353" s="1">
        <v>2306812869</v>
      </c>
      <c r="Z353" s="1" t="s">
        <v>118</v>
      </c>
      <c r="AA353" s="1" t="s">
        <v>93</v>
      </c>
      <c r="AB353" s="1">
        <v>0</v>
      </c>
      <c r="AC353" s="1">
        <v>64.56</v>
      </c>
      <c r="AD353" s="1">
        <v>0</v>
      </c>
      <c r="AE353" s="1">
        <v>0</v>
      </c>
      <c r="AF353" s="1">
        <v>0</v>
      </c>
      <c r="AG353" s="1">
        <v>0</v>
      </c>
      <c r="AH353" s="1">
        <v>31.02</v>
      </c>
      <c r="AI353" s="1" t="s">
        <v>290</v>
      </c>
      <c r="AJ353" s="1" t="s">
        <v>462</v>
      </c>
      <c r="AK353" s="1" t="s">
        <v>17</v>
      </c>
      <c r="AL353" s="1" t="s">
        <v>78</v>
      </c>
      <c r="AM353" s="1" t="s">
        <v>337</v>
      </c>
      <c r="AN353" s="1" t="s">
        <v>21</v>
      </c>
      <c r="AO353" s="1" t="s">
        <v>280</v>
      </c>
      <c r="AP353" s="1" t="s">
        <v>324</v>
      </c>
      <c r="AQ353" s="1" t="s">
        <v>20</v>
      </c>
    </row>
    <row r="354" spans="1:43" x14ac:dyDescent="0.3">
      <c r="A354" s="1">
        <v>24856886</v>
      </c>
      <c r="B354" s="1">
        <v>25694855</v>
      </c>
      <c r="C354" s="1" t="s">
        <v>266</v>
      </c>
      <c r="D354" s="4">
        <v>46205.735277777778</v>
      </c>
      <c r="E354" s="4">
        <v>46209.23642361111</v>
      </c>
      <c r="F354" s="1" t="s">
        <v>19</v>
      </c>
      <c r="G354" s="1" t="s">
        <v>22</v>
      </c>
      <c r="H354" s="1" t="s">
        <v>1481</v>
      </c>
      <c r="I354" s="1" t="s">
        <v>268</v>
      </c>
      <c r="J354" s="1" t="s">
        <v>1482</v>
      </c>
      <c r="K354" s="1" t="s">
        <v>1483</v>
      </c>
      <c r="L354" s="1" t="s">
        <v>1483</v>
      </c>
      <c r="M354" s="4">
        <v>46205.661111111112</v>
      </c>
      <c r="N354" s="1">
        <v>18084</v>
      </c>
      <c r="O354" s="1" t="s">
        <v>93</v>
      </c>
      <c r="P354" s="1" t="s">
        <v>342</v>
      </c>
      <c r="Q354" s="1" t="s">
        <v>286</v>
      </c>
      <c r="R354" s="1" t="s">
        <v>439</v>
      </c>
      <c r="S354" s="1" t="s">
        <v>7</v>
      </c>
      <c r="T354" s="1" t="s">
        <v>274</v>
      </c>
      <c r="U354" s="1" t="s">
        <v>165</v>
      </c>
      <c r="V354" s="1" t="s">
        <v>1484</v>
      </c>
      <c r="W354" s="1" t="s">
        <v>93</v>
      </c>
      <c r="X354" s="1" t="s">
        <v>298</v>
      </c>
      <c r="Y354" s="1">
        <v>2307035035</v>
      </c>
      <c r="Z354" s="1" t="s">
        <v>79</v>
      </c>
      <c r="AA354" s="1" t="s">
        <v>93</v>
      </c>
      <c r="AB354" s="1">
        <v>1154.81</v>
      </c>
      <c r="AC354" s="1">
        <v>114.86</v>
      </c>
      <c r="AD354" s="1">
        <v>0</v>
      </c>
      <c r="AE354" s="1">
        <v>0</v>
      </c>
      <c r="AF354" s="1">
        <v>0</v>
      </c>
      <c r="AG354" s="1">
        <v>0</v>
      </c>
      <c r="AH354" s="1">
        <v>0</v>
      </c>
      <c r="AI354" s="1" t="s">
        <v>1485</v>
      </c>
      <c r="AJ354" s="1" t="s">
        <v>1486</v>
      </c>
      <c r="AK354" s="1" t="s">
        <v>13</v>
      </c>
      <c r="AL354" s="1" t="s">
        <v>77</v>
      </c>
      <c r="AM354" s="1" t="s">
        <v>279</v>
      </c>
      <c r="AN354" s="1" t="s">
        <v>21</v>
      </c>
      <c r="AO354" s="1" t="s">
        <v>280</v>
      </c>
      <c r="AP354" s="1" t="s">
        <v>281</v>
      </c>
      <c r="AQ354" s="1" t="s">
        <v>37</v>
      </c>
    </row>
    <row r="355" spans="1:43" x14ac:dyDescent="0.3">
      <c r="A355" s="1">
        <v>24859345</v>
      </c>
      <c r="B355" s="1">
        <v>25697837</v>
      </c>
      <c r="C355" s="1" t="s">
        <v>266</v>
      </c>
      <c r="D355" s="4">
        <v>46205.976087962961</v>
      </c>
      <c r="E355" s="4">
        <v>46209.23642361111</v>
      </c>
      <c r="F355" s="1" t="s">
        <v>19</v>
      </c>
      <c r="G355" s="1" t="s">
        <v>22</v>
      </c>
      <c r="H355" s="1" t="s">
        <v>1487</v>
      </c>
      <c r="I355" s="1" t="s">
        <v>268</v>
      </c>
      <c r="J355" s="1" t="s">
        <v>1488</v>
      </c>
      <c r="K355" s="1" t="s">
        <v>1489</v>
      </c>
      <c r="L355" s="1" t="s">
        <v>270</v>
      </c>
      <c r="M355" s="4">
        <v>46205.736111111109</v>
      </c>
      <c r="N355" s="1">
        <v>116398</v>
      </c>
      <c r="O355" s="1" t="s">
        <v>93</v>
      </c>
      <c r="P355" s="1" t="s">
        <v>271</v>
      </c>
      <c r="Q355" s="1" t="s">
        <v>286</v>
      </c>
      <c r="R355" s="1" t="s">
        <v>439</v>
      </c>
      <c r="S355" s="1" t="s">
        <v>7</v>
      </c>
      <c r="T355" s="1" t="s">
        <v>274</v>
      </c>
      <c r="U355" s="1" t="s">
        <v>149</v>
      </c>
      <c r="V355" s="1" t="s">
        <v>837</v>
      </c>
      <c r="W355" s="1" t="s">
        <v>93</v>
      </c>
      <c r="X355" s="1" t="s">
        <v>298</v>
      </c>
      <c r="Y355" s="1">
        <v>2307040774</v>
      </c>
      <c r="Z355" s="1" t="s">
        <v>48</v>
      </c>
      <c r="AA355" s="1" t="s">
        <v>93</v>
      </c>
      <c r="AB355" s="1">
        <v>897.9</v>
      </c>
      <c r="AC355" s="1">
        <v>38.39</v>
      </c>
      <c r="AD355" s="1">
        <v>0</v>
      </c>
      <c r="AE355" s="1">
        <v>0</v>
      </c>
      <c r="AF355" s="1">
        <v>0</v>
      </c>
      <c r="AG355" s="1">
        <v>0</v>
      </c>
      <c r="AH355" s="1">
        <v>0</v>
      </c>
      <c r="AI355" s="1" t="s">
        <v>1490</v>
      </c>
      <c r="AJ355" s="1" t="s">
        <v>1486</v>
      </c>
      <c r="AK355" s="1" t="s">
        <v>13</v>
      </c>
      <c r="AL355" s="1" t="s">
        <v>77</v>
      </c>
      <c r="AM355" s="1" t="s">
        <v>279</v>
      </c>
      <c r="AN355" s="1" t="s">
        <v>21</v>
      </c>
      <c r="AO355" s="1" t="s">
        <v>280</v>
      </c>
      <c r="AP355" s="1" t="s">
        <v>281</v>
      </c>
      <c r="AQ355" s="1" t="s">
        <v>37</v>
      </c>
    </row>
    <row r="356" spans="1:43" x14ac:dyDescent="0.3">
      <c r="A356" s="1">
        <v>24849633</v>
      </c>
      <c r="B356" s="1">
        <v>25686398</v>
      </c>
      <c r="C356" s="1" t="s">
        <v>266</v>
      </c>
      <c r="D356" s="4">
        <v>46204.701701388891</v>
      </c>
      <c r="E356" s="4">
        <v>46204.715868055559</v>
      </c>
      <c r="F356" s="1" t="s">
        <v>22</v>
      </c>
      <c r="G356" s="1" t="s">
        <v>22</v>
      </c>
      <c r="H356" s="1" t="s">
        <v>1491</v>
      </c>
      <c r="I356" s="1" t="s">
        <v>268</v>
      </c>
      <c r="J356" s="1" t="s">
        <v>1492</v>
      </c>
      <c r="K356" s="1" t="s">
        <v>676</v>
      </c>
      <c r="L356" s="1" t="s">
        <v>676</v>
      </c>
      <c r="M356" s="4">
        <v>46204.570833333331</v>
      </c>
      <c r="N356" s="1">
        <v>133718</v>
      </c>
      <c r="O356" s="1" t="s">
        <v>93</v>
      </c>
      <c r="P356" s="1" t="s">
        <v>342</v>
      </c>
      <c r="Q356" s="1" t="s">
        <v>286</v>
      </c>
      <c r="R356" s="1" t="s">
        <v>439</v>
      </c>
      <c r="S356" s="1" t="s">
        <v>7</v>
      </c>
      <c r="T356" s="1" t="s">
        <v>274</v>
      </c>
      <c r="U356" s="1" t="s">
        <v>181</v>
      </c>
      <c r="V356" s="1" t="s">
        <v>1493</v>
      </c>
      <c r="W356" s="1" t="s">
        <v>93</v>
      </c>
      <c r="X356" s="1" t="s">
        <v>298</v>
      </c>
      <c r="Y356" s="1">
        <v>2306940987</v>
      </c>
      <c r="Z356" s="1" t="s">
        <v>99</v>
      </c>
      <c r="AA356" s="1" t="s">
        <v>93</v>
      </c>
      <c r="AB356" s="1">
        <v>0</v>
      </c>
      <c r="AC356" s="1">
        <v>0</v>
      </c>
      <c r="AD356" s="1">
        <v>0</v>
      </c>
      <c r="AE356" s="1">
        <v>0</v>
      </c>
      <c r="AF356" s="1">
        <v>0</v>
      </c>
      <c r="AG356" s="1">
        <v>0</v>
      </c>
      <c r="AH356" s="1">
        <v>0</v>
      </c>
      <c r="AI356" s="1" t="s">
        <v>1494</v>
      </c>
      <c r="AJ356" s="1" t="s">
        <v>1495</v>
      </c>
      <c r="AK356" s="1" t="s">
        <v>13</v>
      </c>
      <c r="AL356" s="1" t="s">
        <v>71</v>
      </c>
      <c r="AM356" s="1" t="s">
        <v>337</v>
      </c>
      <c r="AN356" s="1" t="s">
        <v>21</v>
      </c>
      <c r="AO356" s="1" t="s">
        <v>280</v>
      </c>
      <c r="AP356" s="1" t="s">
        <v>324</v>
      </c>
      <c r="AQ356" s="1" t="s">
        <v>125</v>
      </c>
    </row>
    <row r="357" spans="1:43" x14ac:dyDescent="0.3">
      <c r="A357" s="1">
        <v>24861024</v>
      </c>
      <c r="B357" s="1">
        <v>25699766</v>
      </c>
      <c r="C357" s="1" t="s">
        <v>615</v>
      </c>
      <c r="D357" s="4">
        <v>46206.474120370367</v>
      </c>
      <c r="E357" s="4">
        <v>46206.483773148153</v>
      </c>
      <c r="F357" s="1" t="s">
        <v>22</v>
      </c>
      <c r="G357" s="1" t="s">
        <v>22</v>
      </c>
      <c r="H357" s="1" t="s">
        <v>1496</v>
      </c>
      <c r="I357" s="1" t="s">
        <v>16</v>
      </c>
      <c r="J357" s="1" t="s">
        <v>1497</v>
      </c>
      <c r="K357" s="1" t="s">
        <v>1498</v>
      </c>
      <c r="L357" s="1" t="s">
        <v>1498</v>
      </c>
      <c r="M357" s="4">
        <v>46206.473611111112</v>
      </c>
      <c r="N357" s="1" t="s">
        <v>93</v>
      </c>
      <c r="O357" s="1" t="s">
        <v>93</v>
      </c>
      <c r="P357" s="1" t="s">
        <v>342</v>
      </c>
      <c r="Q357" s="1" t="s">
        <v>286</v>
      </c>
      <c r="R357" s="1" t="s">
        <v>286</v>
      </c>
      <c r="S357" s="1" t="s">
        <v>7</v>
      </c>
      <c r="T357" s="1" t="s">
        <v>274</v>
      </c>
      <c r="U357" s="1" t="s">
        <v>201</v>
      </c>
      <c r="V357" s="1" t="s">
        <v>1499</v>
      </c>
      <c r="W357" s="1" t="s">
        <v>93</v>
      </c>
      <c r="X357" s="1" t="s">
        <v>298</v>
      </c>
      <c r="Y357" s="1">
        <v>2305901266</v>
      </c>
      <c r="Z357" s="1" t="s">
        <v>121</v>
      </c>
      <c r="AA357" s="1" t="s">
        <v>93</v>
      </c>
      <c r="AB357" s="1">
        <v>511.27</v>
      </c>
      <c r="AC357" s="1">
        <v>0</v>
      </c>
      <c r="AD357" s="1">
        <v>0</v>
      </c>
      <c r="AE357" s="1">
        <v>0</v>
      </c>
      <c r="AF357" s="1">
        <v>0</v>
      </c>
      <c r="AG357" s="1">
        <v>0</v>
      </c>
      <c r="AH357" s="1">
        <v>0</v>
      </c>
      <c r="AI357" s="1" t="s">
        <v>93</v>
      </c>
      <c r="AJ357" s="1" t="s">
        <v>451</v>
      </c>
      <c r="AK357" s="1" t="s">
        <v>16</v>
      </c>
      <c r="AL357" s="1" t="s">
        <v>84</v>
      </c>
      <c r="AM357" s="1" t="s">
        <v>452</v>
      </c>
      <c r="AN357" s="1" t="s">
        <v>21</v>
      </c>
      <c r="AO357" s="1" t="s">
        <v>280</v>
      </c>
      <c r="AP357" s="1" t="s">
        <v>324</v>
      </c>
      <c r="AQ357" s="1" t="s">
        <v>125</v>
      </c>
    </row>
    <row r="358" spans="1:43" x14ac:dyDescent="0.3">
      <c r="A358" s="1">
        <v>24846348</v>
      </c>
      <c r="B358" s="1">
        <v>25682826</v>
      </c>
      <c r="C358" s="1" t="s">
        <v>266</v>
      </c>
      <c r="D358" s="4">
        <v>46203.952986111108</v>
      </c>
      <c r="E358" s="4">
        <v>46209.23642361111</v>
      </c>
      <c r="F358" s="1" t="s">
        <v>19</v>
      </c>
      <c r="G358" s="1" t="s">
        <v>24</v>
      </c>
      <c r="H358" s="1" t="s">
        <v>1500</v>
      </c>
      <c r="I358" s="1" t="s">
        <v>268</v>
      </c>
      <c r="J358" s="1" t="s">
        <v>1501</v>
      </c>
      <c r="K358" s="1" t="s">
        <v>1502</v>
      </c>
      <c r="L358" s="1" t="s">
        <v>1502</v>
      </c>
      <c r="M358" s="4">
        <v>46203.748611111107</v>
      </c>
      <c r="N358" s="1">
        <v>21460</v>
      </c>
      <c r="O358" s="1" t="s">
        <v>93</v>
      </c>
      <c r="P358" s="1" t="s">
        <v>342</v>
      </c>
      <c r="Q358" s="1" t="s">
        <v>286</v>
      </c>
      <c r="R358" s="1" t="s">
        <v>439</v>
      </c>
      <c r="S358" s="1" t="s">
        <v>7</v>
      </c>
      <c r="T358" s="1" t="s">
        <v>274</v>
      </c>
      <c r="U358" s="1" t="s">
        <v>147</v>
      </c>
      <c r="V358" s="1" t="s">
        <v>728</v>
      </c>
      <c r="W358" s="1" t="s">
        <v>93</v>
      </c>
      <c r="X358" s="1" t="s">
        <v>298</v>
      </c>
      <c r="Y358" s="1">
        <v>2306883099</v>
      </c>
      <c r="Z358" s="1" t="s">
        <v>58</v>
      </c>
      <c r="AA358" s="1" t="s">
        <v>93</v>
      </c>
      <c r="AB358" s="1">
        <v>1950.16</v>
      </c>
      <c r="AC358" s="1">
        <v>124.76</v>
      </c>
      <c r="AD358" s="1">
        <v>0</v>
      </c>
      <c r="AE358" s="1">
        <v>0</v>
      </c>
      <c r="AF358" s="1">
        <v>0</v>
      </c>
      <c r="AG358" s="1">
        <v>0</v>
      </c>
      <c r="AH358" s="1">
        <v>0</v>
      </c>
      <c r="AI358" s="1" t="s">
        <v>1503</v>
      </c>
      <c r="AJ358" s="1" t="s">
        <v>1486</v>
      </c>
      <c r="AK358" s="1" t="s">
        <v>13</v>
      </c>
      <c r="AL358" s="1" t="s">
        <v>77</v>
      </c>
      <c r="AM358" s="1" t="s">
        <v>279</v>
      </c>
      <c r="AN358" s="1" t="s">
        <v>21</v>
      </c>
      <c r="AO358" s="1" t="s">
        <v>280</v>
      </c>
      <c r="AP358" s="1" t="s">
        <v>281</v>
      </c>
      <c r="AQ358" s="1" t="s">
        <v>37</v>
      </c>
    </row>
    <row r="359" spans="1:43" x14ac:dyDescent="0.3">
      <c r="A359" s="1">
        <v>24849273</v>
      </c>
      <c r="B359" s="1">
        <v>25686023</v>
      </c>
      <c r="C359" s="1" t="s">
        <v>266</v>
      </c>
      <c r="D359" s="4">
        <v>46204.673946759263</v>
      </c>
      <c r="E359" s="4">
        <v>46204.711446759262</v>
      </c>
      <c r="F359" s="1" t="s">
        <v>22</v>
      </c>
      <c r="G359" s="1" t="s">
        <v>22</v>
      </c>
      <c r="H359" s="1" t="s">
        <v>1504</v>
      </c>
      <c r="I359" s="1" t="s">
        <v>18</v>
      </c>
      <c r="J359" s="1" t="s">
        <v>1505</v>
      </c>
      <c r="K359" s="1" t="s">
        <v>807</v>
      </c>
      <c r="L359" s="1" t="s">
        <v>807</v>
      </c>
      <c r="M359" s="4">
        <v>46204.671527777777</v>
      </c>
      <c r="N359" s="1">
        <v>8993</v>
      </c>
      <c r="O359" s="1" t="s">
        <v>93</v>
      </c>
      <c r="P359" s="1" t="s">
        <v>342</v>
      </c>
      <c r="Q359" s="1" t="s">
        <v>286</v>
      </c>
      <c r="R359" s="1" t="s">
        <v>439</v>
      </c>
      <c r="S359" s="1" t="s">
        <v>7</v>
      </c>
      <c r="T359" s="1" t="s">
        <v>274</v>
      </c>
      <c r="U359" s="1" t="s">
        <v>209</v>
      </c>
      <c r="V359" s="1" t="s">
        <v>1506</v>
      </c>
      <c r="W359" s="1" t="s">
        <v>93</v>
      </c>
      <c r="X359" s="1" t="s">
        <v>298</v>
      </c>
      <c r="Y359" s="1">
        <v>2306954624</v>
      </c>
      <c r="Z359" s="1" t="s">
        <v>43</v>
      </c>
      <c r="AA359" s="1" t="s">
        <v>93</v>
      </c>
      <c r="AB359" s="1">
        <v>911.14</v>
      </c>
      <c r="AC359" s="1">
        <v>90</v>
      </c>
      <c r="AD359" s="1">
        <v>0</v>
      </c>
      <c r="AE359" s="1">
        <v>0</v>
      </c>
      <c r="AF359" s="1">
        <v>0</v>
      </c>
      <c r="AG359" s="1">
        <v>0</v>
      </c>
      <c r="AH359" s="1">
        <v>82</v>
      </c>
      <c r="AI359" s="1" t="s">
        <v>1507</v>
      </c>
      <c r="AJ359" s="1" t="s">
        <v>479</v>
      </c>
      <c r="AK359" s="1" t="s">
        <v>43</v>
      </c>
      <c r="AL359" s="1" t="s">
        <v>71</v>
      </c>
      <c r="AM359" s="1" t="s">
        <v>337</v>
      </c>
      <c r="AN359" s="1" t="s">
        <v>21</v>
      </c>
      <c r="AO359" s="1" t="s">
        <v>280</v>
      </c>
      <c r="AP359" s="1" t="s">
        <v>810</v>
      </c>
      <c r="AQ359" s="1" t="s">
        <v>123</v>
      </c>
    </row>
    <row r="360" spans="1:43" x14ac:dyDescent="0.3">
      <c r="A360" s="1">
        <v>24844144</v>
      </c>
      <c r="B360" s="1">
        <v>25680519</v>
      </c>
      <c r="C360" s="1" t="s">
        <v>266</v>
      </c>
      <c r="D360" s="4">
        <v>46203.722627314812</v>
      </c>
      <c r="E360" s="4">
        <v>46203.75335648148</v>
      </c>
      <c r="F360" s="1" t="s">
        <v>24</v>
      </c>
      <c r="G360" s="1" t="s">
        <v>24</v>
      </c>
      <c r="H360" s="1" t="s">
        <v>1508</v>
      </c>
      <c r="I360" s="1" t="s">
        <v>18</v>
      </c>
      <c r="J360" s="1" t="s">
        <v>1509</v>
      </c>
      <c r="K360" s="1" t="s">
        <v>807</v>
      </c>
      <c r="L360" s="1" t="s">
        <v>807</v>
      </c>
      <c r="M360" s="4">
        <v>46203.720833333333</v>
      </c>
      <c r="N360" s="1">
        <v>8741</v>
      </c>
      <c r="O360" s="1" t="s">
        <v>93</v>
      </c>
      <c r="P360" s="1" t="s">
        <v>342</v>
      </c>
      <c r="Q360" s="1" t="s">
        <v>286</v>
      </c>
      <c r="R360" s="1" t="s">
        <v>439</v>
      </c>
      <c r="S360" s="1" t="s">
        <v>7</v>
      </c>
      <c r="T360" s="1" t="s">
        <v>274</v>
      </c>
      <c r="U360" s="1" t="s">
        <v>209</v>
      </c>
      <c r="V360" s="1" t="s">
        <v>1506</v>
      </c>
      <c r="W360" s="1" t="s">
        <v>93</v>
      </c>
      <c r="X360" s="1" t="s">
        <v>298</v>
      </c>
      <c r="Y360" s="1">
        <v>2306880302</v>
      </c>
      <c r="Z360" s="1" t="s">
        <v>43</v>
      </c>
      <c r="AA360" s="1" t="s">
        <v>93</v>
      </c>
      <c r="AB360" s="1">
        <v>381.9</v>
      </c>
      <c r="AC360" s="1">
        <v>54.09</v>
      </c>
      <c r="AD360" s="1">
        <v>0</v>
      </c>
      <c r="AE360" s="1">
        <v>0</v>
      </c>
      <c r="AF360" s="1">
        <v>0</v>
      </c>
      <c r="AG360" s="1">
        <v>0</v>
      </c>
      <c r="AH360" s="1">
        <v>34.369999999999997</v>
      </c>
      <c r="AI360" s="1" t="s">
        <v>1510</v>
      </c>
      <c r="AJ360" s="1" t="s">
        <v>479</v>
      </c>
      <c r="AK360" s="1" t="s">
        <v>43</v>
      </c>
      <c r="AL360" s="1" t="s">
        <v>71</v>
      </c>
      <c r="AM360" s="1" t="s">
        <v>337</v>
      </c>
      <c r="AN360" s="1" t="s">
        <v>21</v>
      </c>
      <c r="AO360" s="1" t="s">
        <v>280</v>
      </c>
      <c r="AP360" s="1" t="s">
        <v>810</v>
      </c>
      <c r="AQ360" s="1" t="s">
        <v>123</v>
      </c>
    </row>
    <row r="361" spans="1:43" x14ac:dyDescent="0.3">
      <c r="A361" s="1">
        <v>24847778</v>
      </c>
      <c r="B361" s="1">
        <v>25684263</v>
      </c>
      <c r="C361" s="1" t="s">
        <v>266</v>
      </c>
      <c r="D361" s="4">
        <v>46204.451782407406</v>
      </c>
      <c r="E361" s="4">
        <v>46209.23642361111</v>
      </c>
      <c r="F361" s="1" t="s">
        <v>19</v>
      </c>
      <c r="G361" s="1" t="s">
        <v>22</v>
      </c>
      <c r="H361" s="1" t="s">
        <v>1511</v>
      </c>
      <c r="I361" s="1" t="s">
        <v>268</v>
      </c>
      <c r="J361" s="1" t="s">
        <v>1512</v>
      </c>
      <c r="K361" s="1" t="s">
        <v>1502</v>
      </c>
      <c r="L361" s="1" t="s">
        <v>270</v>
      </c>
      <c r="M361" s="4">
        <v>46204.344444444447</v>
      </c>
      <c r="N361" s="1">
        <v>21520</v>
      </c>
      <c r="O361" s="1" t="s">
        <v>93</v>
      </c>
      <c r="P361" s="1" t="s">
        <v>271</v>
      </c>
      <c r="Q361" s="1" t="s">
        <v>286</v>
      </c>
      <c r="R361" s="1" t="s">
        <v>439</v>
      </c>
      <c r="S361" s="1" t="s">
        <v>7</v>
      </c>
      <c r="T361" s="1" t="s">
        <v>274</v>
      </c>
      <c r="U361" s="1" t="s">
        <v>147</v>
      </c>
      <c r="V361" s="1" t="s">
        <v>728</v>
      </c>
      <c r="W361" s="1" t="s">
        <v>93</v>
      </c>
      <c r="X361" s="1" t="s">
        <v>298</v>
      </c>
      <c r="Y361" s="1">
        <v>2306918177</v>
      </c>
      <c r="Z361" s="1" t="s">
        <v>58</v>
      </c>
      <c r="AA361" s="1" t="s">
        <v>93</v>
      </c>
      <c r="AB361" s="1">
        <v>1447.74</v>
      </c>
      <c r="AC361" s="1">
        <v>88.63</v>
      </c>
      <c r="AD361" s="1">
        <v>0</v>
      </c>
      <c r="AE361" s="1">
        <v>0</v>
      </c>
      <c r="AF361" s="1">
        <v>0</v>
      </c>
      <c r="AG361" s="1">
        <v>0</v>
      </c>
      <c r="AH361" s="1">
        <v>0</v>
      </c>
      <c r="AI361" s="1" t="s">
        <v>1513</v>
      </c>
      <c r="AJ361" s="1" t="s">
        <v>1486</v>
      </c>
      <c r="AK361" s="1" t="s">
        <v>13</v>
      </c>
      <c r="AL361" s="1" t="s">
        <v>77</v>
      </c>
      <c r="AM361" s="1" t="s">
        <v>279</v>
      </c>
      <c r="AN361" s="1" t="s">
        <v>21</v>
      </c>
      <c r="AO361" s="1" t="s">
        <v>280</v>
      </c>
      <c r="AP361" s="1" t="s">
        <v>281</v>
      </c>
      <c r="AQ361" s="1" t="s">
        <v>37</v>
      </c>
    </row>
    <row r="362" spans="1:43" x14ac:dyDescent="0.3">
      <c r="A362" s="1">
        <v>24855614</v>
      </c>
      <c r="B362" s="1">
        <v>25693470</v>
      </c>
      <c r="C362" s="1" t="s">
        <v>266</v>
      </c>
      <c r="D362" s="4">
        <v>46205.677685185183</v>
      </c>
      <c r="E362" s="4">
        <v>46205.679652777777</v>
      </c>
      <c r="F362" s="1" t="s">
        <v>22</v>
      </c>
      <c r="G362" s="1" t="s">
        <v>22</v>
      </c>
      <c r="H362" s="1" t="s">
        <v>1514</v>
      </c>
      <c r="I362" s="1" t="s">
        <v>1020</v>
      </c>
      <c r="J362" s="1" t="s">
        <v>1515</v>
      </c>
      <c r="K362" s="1" t="s">
        <v>1022</v>
      </c>
      <c r="L362" s="1" t="s">
        <v>1022</v>
      </c>
      <c r="M362" s="4">
        <v>46205.171527777777</v>
      </c>
      <c r="N362" s="1" t="s">
        <v>93</v>
      </c>
      <c r="O362" s="1" t="s">
        <v>93</v>
      </c>
      <c r="P362" s="1" t="s">
        <v>342</v>
      </c>
      <c r="Q362" s="1" t="s">
        <v>303</v>
      </c>
      <c r="R362" s="1" t="s">
        <v>272</v>
      </c>
      <c r="S362" s="1" t="s">
        <v>7</v>
      </c>
      <c r="T362" s="1" t="s">
        <v>274</v>
      </c>
      <c r="U362" s="1" t="s">
        <v>155</v>
      </c>
      <c r="V362" s="1" t="s">
        <v>522</v>
      </c>
      <c r="W362" s="1" t="s">
        <v>93</v>
      </c>
      <c r="X362" s="1" t="s">
        <v>298</v>
      </c>
      <c r="Y362" s="1">
        <v>2307037530</v>
      </c>
      <c r="Z362" s="1" t="s">
        <v>43</v>
      </c>
      <c r="AA362" s="1" t="s">
        <v>93</v>
      </c>
      <c r="AB362" s="1">
        <v>3830.55</v>
      </c>
      <c r="AC362" s="1">
        <v>66.510000000000005</v>
      </c>
      <c r="AD362" s="1">
        <v>0</v>
      </c>
      <c r="AE362" s="1">
        <v>0</v>
      </c>
      <c r="AF362" s="1">
        <v>0</v>
      </c>
      <c r="AG362" s="1">
        <v>0</v>
      </c>
      <c r="AH362" s="1">
        <v>386.12</v>
      </c>
      <c r="AI362" s="1" t="s">
        <v>1023</v>
      </c>
      <c r="AJ362" s="1" t="s">
        <v>707</v>
      </c>
      <c r="AK362" s="1" t="s">
        <v>43</v>
      </c>
      <c r="AL362" s="1" t="s">
        <v>69</v>
      </c>
      <c r="AM362" s="1" t="s">
        <v>337</v>
      </c>
      <c r="AN362" s="1" t="s">
        <v>21</v>
      </c>
      <c r="AO362" s="1" t="s">
        <v>280</v>
      </c>
      <c r="AP362" s="1" t="s">
        <v>810</v>
      </c>
      <c r="AQ362" s="1" t="s">
        <v>123</v>
      </c>
    </row>
    <row r="363" spans="1:43" x14ac:dyDescent="0.3">
      <c r="A363" s="1">
        <v>24856257</v>
      </c>
      <c r="B363" s="1">
        <v>25694200</v>
      </c>
      <c r="C363" s="1" t="s">
        <v>266</v>
      </c>
      <c r="D363" s="4">
        <v>46205.713726851849</v>
      </c>
      <c r="E363" s="4">
        <v>46205.715543981481</v>
      </c>
      <c r="F363" s="1" t="s">
        <v>22</v>
      </c>
      <c r="G363" s="1" t="s">
        <v>22</v>
      </c>
      <c r="H363" s="1" t="s">
        <v>1516</v>
      </c>
      <c r="I363" s="1" t="s">
        <v>1020</v>
      </c>
      <c r="J363" s="1" t="s">
        <v>1517</v>
      </c>
      <c r="K363" s="1" t="s">
        <v>1022</v>
      </c>
      <c r="L363" s="1" t="s">
        <v>1022</v>
      </c>
      <c r="M363" s="4">
        <v>46205.196527777778</v>
      </c>
      <c r="N363" s="1" t="s">
        <v>93</v>
      </c>
      <c r="O363" s="1" t="s">
        <v>93</v>
      </c>
      <c r="P363" s="1" t="s">
        <v>342</v>
      </c>
      <c r="Q363" s="1" t="s">
        <v>303</v>
      </c>
      <c r="R363" s="1" t="s">
        <v>272</v>
      </c>
      <c r="S363" s="1" t="s">
        <v>7</v>
      </c>
      <c r="T363" s="1" t="s">
        <v>274</v>
      </c>
      <c r="U363" s="1" t="s">
        <v>155</v>
      </c>
      <c r="V363" s="1" t="s">
        <v>522</v>
      </c>
      <c r="W363" s="1" t="s">
        <v>93</v>
      </c>
      <c r="X363" s="1" t="s">
        <v>298</v>
      </c>
      <c r="Y363" s="1">
        <v>2307042884</v>
      </c>
      <c r="Z363" s="1" t="s">
        <v>43</v>
      </c>
      <c r="AA363" s="1" t="s">
        <v>93</v>
      </c>
      <c r="AB363" s="1">
        <v>632.16999999999996</v>
      </c>
      <c r="AC363" s="1">
        <v>35.909999999999997</v>
      </c>
      <c r="AD363" s="1">
        <v>0</v>
      </c>
      <c r="AE363" s="1">
        <v>0</v>
      </c>
      <c r="AF363" s="1">
        <v>0</v>
      </c>
      <c r="AG363" s="1">
        <v>0</v>
      </c>
      <c r="AH363" s="1">
        <v>63.72</v>
      </c>
      <c r="AI363" s="1" t="s">
        <v>1023</v>
      </c>
      <c r="AJ363" s="1" t="s">
        <v>707</v>
      </c>
      <c r="AK363" s="1" t="s">
        <v>43</v>
      </c>
      <c r="AL363" s="1" t="s">
        <v>69</v>
      </c>
      <c r="AM363" s="1" t="s">
        <v>337</v>
      </c>
      <c r="AN363" s="1" t="s">
        <v>21</v>
      </c>
      <c r="AO363" s="1" t="s">
        <v>280</v>
      </c>
      <c r="AP363" s="1" t="s">
        <v>810</v>
      </c>
      <c r="AQ363" s="1" t="s">
        <v>123</v>
      </c>
    </row>
    <row r="364" spans="1:43" x14ac:dyDescent="0.3">
      <c r="A364" s="1">
        <v>24837359</v>
      </c>
      <c r="B364" s="1">
        <v>25674017</v>
      </c>
      <c r="C364" s="1" t="s">
        <v>266</v>
      </c>
      <c r="D364" s="4">
        <v>46202.692893518521</v>
      </c>
      <c r="E364" s="4">
        <v>46202.694293981483</v>
      </c>
      <c r="F364" s="1" t="s">
        <v>24</v>
      </c>
      <c r="G364" s="1" t="s">
        <v>24</v>
      </c>
      <c r="H364" s="1" t="s">
        <v>1518</v>
      </c>
      <c r="I364" s="1" t="s">
        <v>1020</v>
      </c>
      <c r="J364" s="1" t="s">
        <v>1517</v>
      </c>
      <c r="K364" s="1" t="s">
        <v>1022</v>
      </c>
      <c r="L364" s="1" t="s">
        <v>1022</v>
      </c>
      <c r="M364" s="4">
        <v>46202.188888888893</v>
      </c>
      <c r="N364" s="1" t="s">
        <v>93</v>
      </c>
      <c r="O364" s="1" t="s">
        <v>93</v>
      </c>
      <c r="P364" s="1" t="s">
        <v>342</v>
      </c>
      <c r="Q364" s="1" t="s">
        <v>303</v>
      </c>
      <c r="R364" s="1" t="s">
        <v>272</v>
      </c>
      <c r="S364" s="1" t="s">
        <v>7</v>
      </c>
      <c r="T364" s="1" t="s">
        <v>274</v>
      </c>
      <c r="U364" s="1" t="s">
        <v>155</v>
      </c>
      <c r="V364" s="1" t="s">
        <v>522</v>
      </c>
      <c r="W364" s="1" t="s">
        <v>93</v>
      </c>
      <c r="X364" s="1" t="s">
        <v>298</v>
      </c>
      <c r="Y364" s="1">
        <v>2306806810</v>
      </c>
      <c r="Z364" s="1" t="s">
        <v>43</v>
      </c>
      <c r="AA364" s="1" t="s">
        <v>93</v>
      </c>
      <c r="AB364" s="1">
        <v>944.3</v>
      </c>
      <c r="AC364" s="1">
        <v>35.909999999999997</v>
      </c>
      <c r="AD364" s="1">
        <v>0</v>
      </c>
      <c r="AE364" s="1">
        <v>0</v>
      </c>
      <c r="AF364" s="1">
        <v>0</v>
      </c>
      <c r="AG364" s="1">
        <v>0</v>
      </c>
      <c r="AH364" s="1">
        <v>95.19</v>
      </c>
      <c r="AI364" s="1" t="s">
        <v>1023</v>
      </c>
      <c r="AJ364" s="1" t="s">
        <v>707</v>
      </c>
      <c r="AK364" s="1" t="s">
        <v>43</v>
      </c>
      <c r="AL364" s="1" t="s">
        <v>69</v>
      </c>
      <c r="AM364" s="1" t="s">
        <v>337</v>
      </c>
      <c r="AN364" s="1" t="s">
        <v>21</v>
      </c>
      <c r="AO364" s="1" t="s">
        <v>280</v>
      </c>
      <c r="AP364" s="1" t="s">
        <v>810</v>
      </c>
      <c r="AQ364" s="1" t="s">
        <v>123</v>
      </c>
    </row>
    <row r="365" spans="1:43" x14ac:dyDescent="0.3">
      <c r="A365" s="1">
        <v>24837401</v>
      </c>
      <c r="B365" s="1">
        <v>25674061</v>
      </c>
      <c r="C365" s="1" t="s">
        <v>266</v>
      </c>
      <c r="D365" s="4">
        <v>46202.695625</v>
      </c>
      <c r="E365" s="4">
        <v>46202.696145833332</v>
      </c>
      <c r="F365" s="1" t="s">
        <v>24</v>
      </c>
      <c r="G365" s="1" t="s">
        <v>24</v>
      </c>
      <c r="H365" s="1" t="s">
        <v>1519</v>
      </c>
      <c r="I365" s="1" t="s">
        <v>1020</v>
      </c>
      <c r="J365" s="1" t="s">
        <v>1517</v>
      </c>
      <c r="K365" s="1" t="s">
        <v>1022</v>
      </c>
      <c r="L365" s="1" t="s">
        <v>1022</v>
      </c>
      <c r="M365" s="4">
        <v>46197.512499999997</v>
      </c>
      <c r="N365" s="1" t="s">
        <v>93</v>
      </c>
      <c r="O365" s="1" t="s">
        <v>93</v>
      </c>
      <c r="P365" s="1" t="s">
        <v>342</v>
      </c>
      <c r="Q365" s="1" t="s">
        <v>303</v>
      </c>
      <c r="R365" s="1" t="s">
        <v>272</v>
      </c>
      <c r="S365" s="1" t="s">
        <v>7</v>
      </c>
      <c r="T365" s="1" t="s">
        <v>274</v>
      </c>
      <c r="U365" s="1" t="s">
        <v>155</v>
      </c>
      <c r="V365" s="1" t="s">
        <v>522</v>
      </c>
      <c r="W365" s="1" t="s">
        <v>93</v>
      </c>
      <c r="X365" s="1" t="s">
        <v>298</v>
      </c>
      <c r="Y365" s="1">
        <v>901870</v>
      </c>
      <c r="Z365" s="1" t="s">
        <v>43</v>
      </c>
      <c r="AA365" s="1" t="s">
        <v>93</v>
      </c>
      <c r="AB365" s="1">
        <v>1010.88</v>
      </c>
      <c r="AC365" s="1">
        <v>35.909999999999997</v>
      </c>
      <c r="AD365" s="1">
        <v>0</v>
      </c>
      <c r="AE365" s="1">
        <v>0</v>
      </c>
      <c r="AF365" s="1">
        <v>0</v>
      </c>
      <c r="AG365" s="1">
        <v>0</v>
      </c>
      <c r="AH365" s="1">
        <v>90.98</v>
      </c>
      <c r="AI365" s="1" t="s">
        <v>1023</v>
      </c>
      <c r="AJ365" s="1" t="s">
        <v>707</v>
      </c>
      <c r="AK365" s="1" t="s">
        <v>43</v>
      </c>
      <c r="AL365" s="1" t="s">
        <v>69</v>
      </c>
      <c r="AM365" s="1" t="s">
        <v>337</v>
      </c>
      <c r="AN365" s="1" t="s">
        <v>21</v>
      </c>
      <c r="AO365" s="1" t="s">
        <v>280</v>
      </c>
      <c r="AP365" s="1" t="s">
        <v>810</v>
      </c>
      <c r="AQ365" s="1" t="s">
        <v>123</v>
      </c>
    </row>
    <row r="366" spans="1:43" x14ac:dyDescent="0.3">
      <c r="A366" s="1">
        <v>24842491</v>
      </c>
      <c r="B366" s="1">
        <v>25678798</v>
      </c>
      <c r="C366" s="1" t="s">
        <v>266</v>
      </c>
      <c r="D366" s="4">
        <v>46203.626238425917</v>
      </c>
      <c r="E366" s="4">
        <v>46203.627268518518</v>
      </c>
      <c r="F366" s="1" t="s">
        <v>24</v>
      </c>
      <c r="G366" s="1" t="s">
        <v>24</v>
      </c>
      <c r="H366" s="1" t="s">
        <v>1520</v>
      </c>
      <c r="I366" s="1" t="s">
        <v>1020</v>
      </c>
      <c r="J366" s="1" t="s">
        <v>1521</v>
      </c>
      <c r="K366" s="1" t="s">
        <v>1022</v>
      </c>
      <c r="L366" s="1" t="s">
        <v>1022</v>
      </c>
      <c r="M366" s="4">
        <v>46203.059027777781</v>
      </c>
      <c r="N366" s="1" t="s">
        <v>93</v>
      </c>
      <c r="O366" s="1" t="s">
        <v>93</v>
      </c>
      <c r="P366" s="1" t="s">
        <v>342</v>
      </c>
      <c r="Q366" s="1" t="s">
        <v>303</v>
      </c>
      <c r="R366" s="1" t="s">
        <v>272</v>
      </c>
      <c r="S366" s="1" t="s">
        <v>7</v>
      </c>
      <c r="T366" s="1" t="s">
        <v>274</v>
      </c>
      <c r="U366" s="1" t="s">
        <v>155</v>
      </c>
      <c r="V366" s="1" t="s">
        <v>522</v>
      </c>
      <c r="W366" s="1" t="s">
        <v>93</v>
      </c>
      <c r="X366" s="1" t="s">
        <v>298</v>
      </c>
      <c r="Y366" s="1">
        <v>2306866126</v>
      </c>
      <c r="Z366" s="1" t="s">
        <v>43</v>
      </c>
      <c r="AA366" s="1" t="s">
        <v>93</v>
      </c>
      <c r="AB366" s="1">
        <v>1351.8</v>
      </c>
      <c r="AC366" s="1">
        <v>35.909999999999997</v>
      </c>
      <c r="AD366" s="1">
        <v>0</v>
      </c>
      <c r="AE366" s="1">
        <v>0</v>
      </c>
      <c r="AF366" s="1">
        <v>0</v>
      </c>
      <c r="AG366" s="1">
        <v>0</v>
      </c>
      <c r="AH366" s="1">
        <v>145.99</v>
      </c>
      <c r="AI366" s="1" t="s">
        <v>1023</v>
      </c>
      <c r="AJ366" s="1" t="s">
        <v>707</v>
      </c>
      <c r="AK366" s="1" t="s">
        <v>43</v>
      </c>
      <c r="AL366" s="1" t="s">
        <v>69</v>
      </c>
      <c r="AM366" s="1" t="s">
        <v>337</v>
      </c>
      <c r="AN366" s="1" t="s">
        <v>21</v>
      </c>
      <c r="AO366" s="1" t="s">
        <v>280</v>
      </c>
      <c r="AP366" s="1" t="s">
        <v>810</v>
      </c>
      <c r="AQ366" s="1" t="s">
        <v>123</v>
      </c>
    </row>
    <row r="367" spans="1:43" x14ac:dyDescent="0.3">
      <c r="A367" s="1">
        <v>24842492</v>
      </c>
      <c r="B367" s="1">
        <v>25678799</v>
      </c>
      <c r="C367" s="1" t="s">
        <v>266</v>
      </c>
      <c r="D367" s="4">
        <v>46203.626250000001</v>
      </c>
      <c r="E367" s="4">
        <v>46203.62809027778</v>
      </c>
      <c r="F367" s="1" t="s">
        <v>24</v>
      </c>
      <c r="G367" s="1" t="s">
        <v>24</v>
      </c>
      <c r="H367" s="1" t="s">
        <v>1522</v>
      </c>
      <c r="I367" s="1" t="s">
        <v>1020</v>
      </c>
      <c r="J367" s="1" t="s">
        <v>1521</v>
      </c>
      <c r="K367" s="1" t="s">
        <v>1022</v>
      </c>
      <c r="L367" s="1" t="s">
        <v>1022</v>
      </c>
      <c r="M367" s="4">
        <v>46203.059027777781</v>
      </c>
      <c r="N367" s="1" t="s">
        <v>93</v>
      </c>
      <c r="O367" s="1" t="s">
        <v>93</v>
      </c>
      <c r="P367" s="1" t="s">
        <v>342</v>
      </c>
      <c r="Q367" s="1" t="s">
        <v>303</v>
      </c>
      <c r="R367" s="1" t="s">
        <v>272</v>
      </c>
      <c r="S367" s="1" t="s">
        <v>7</v>
      </c>
      <c r="T367" s="1" t="s">
        <v>274</v>
      </c>
      <c r="U367" s="1" t="s">
        <v>155</v>
      </c>
      <c r="V367" s="1" t="s">
        <v>522</v>
      </c>
      <c r="W367" s="1" t="s">
        <v>93</v>
      </c>
      <c r="X367" s="1" t="s">
        <v>298</v>
      </c>
      <c r="Y367" s="1">
        <v>2306865805</v>
      </c>
      <c r="Z367" s="1" t="s">
        <v>43</v>
      </c>
      <c r="AA367" s="1" t="s">
        <v>93</v>
      </c>
      <c r="AB367" s="1">
        <v>1351.8</v>
      </c>
      <c r="AC367" s="1">
        <v>35.15</v>
      </c>
      <c r="AD367" s="1">
        <v>0</v>
      </c>
      <c r="AE367" s="1">
        <v>0</v>
      </c>
      <c r="AF367" s="1">
        <v>0</v>
      </c>
      <c r="AG367" s="1">
        <v>0</v>
      </c>
      <c r="AH367" s="1">
        <v>145.99</v>
      </c>
      <c r="AI367" s="1" t="s">
        <v>1023</v>
      </c>
      <c r="AJ367" s="1" t="s">
        <v>707</v>
      </c>
      <c r="AK367" s="1" t="s">
        <v>43</v>
      </c>
      <c r="AL367" s="1" t="s">
        <v>69</v>
      </c>
      <c r="AM367" s="1" t="s">
        <v>337</v>
      </c>
      <c r="AN367" s="1" t="s">
        <v>21</v>
      </c>
      <c r="AO367" s="1" t="s">
        <v>280</v>
      </c>
      <c r="AP367" s="1" t="s">
        <v>810</v>
      </c>
      <c r="AQ367" s="1" t="s">
        <v>123</v>
      </c>
    </row>
    <row r="368" spans="1:43" x14ac:dyDescent="0.3">
      <c r="A368" s="1">
        <v>24848986</v>
      </c>
      <c r="B368" s="1">
        <v>25685688</v>
      </c>
      <c r="C368" s="1" t="s">
        <v>266</v>
      </c>
      <c r="D368" s="4">
        <v>46204.633344907408</v>
      </c>
      <c r="E368" s="4">
        <v>46204.63753472222</v>
      </c>
      <c r="F368" s="1" t="s">
        <v>22</v>
      </c>
      <c r="G368" s="1" t="s">
        <v>22</v>
      </c>
      <c r="H368" s="1" t="s">
        <v>1523</v>
      </c>
      <c r="I368" s="1" t="s">
        <v>18</v>
      </c>
      <c r="J368" s="1" t="s">
        <v>1524</v>
      </c>
      <c r="K368" s="1" t="s">
        <v>1022</v>
      </c>
      <c r="L368" s="1" t="s">
        <v>1022</v>
      </c>
      <c r="M368" s="4">
        <v>46204.62222222222</v>
      </c>
      <c r="N368" s="1" t="s">
        <v>93</v>
      </c>
      <c r="O368" s="1" t="s">
        <v>93</v>
      </c>
      <c r="P368" s="1" t="s">
        <v>342</v>
      </c>
      <c r="Q368" s="1" t="s">
        <v>303</v>
      </c>
      <c r="R368" s="1" t="s">
        <v>272</v>
      </c>
      <c r="S368" s="1" t="s">
        <v>7</v>
      </c>
      <c r="T368" s="1" t="s">
        <v>274</v>
      </c>
      <c r="U368" s="1" t="s">
        <v>155</v>
      </c>
      <c r="V368" s="1" t="s">
        <v>522</v>
      </c>
      <c r="W368" s="1" t="s">
        <v>93</v>
      </c>
      <c r="X368" s="1" t="s">
        <v>298</v>
      </c>
      <c r="Y368" s="1">
        <v>2306427883</v>
      </c>
      <c r="Z368" s="1" t="s">
        <v>43</v>
      </c>
      <c r="AA368" s="1" t="s">
        <v>93</v>
      </c>
      <c r="AB368" s="1">
        <v>3189.56</v>
      </c>
      <c r="AC368" s="1">
        <v>92.33</v>
      </c>
      <c r="AD368" s="1">
        <v>0</v>
      </c>
      <c r="AE368" s="1">
        <v>0</v>
      </c>
      <c r="AF368" s="1">
        <v>0</v>
      </c>
      <c r="AG368" s="1">
        <v>0</v>
      </c>
      <c r="AH368" s="1">
        <v>0</v>
      </c>
      <c r="AI368" s="1" t="s">
        <v>1525</v>
      </c>
      <c r="AJ368" s="1" t="s">
        <v>707</v>
      </c>
      <c r="AK368" s="1" t="s">
        <v>43</v>
      </c>
      <c r="AL368" s="1" t="s">
        <v>69</v>
      </c>
      <c r="AM368" s="1" t="s">
        <v>337</v>
      </c>
      <c r="AN368" s="1" t="s">
        <v>21</v>
      </c>
      <c r="AO368" s="1" t="s">
        <v>280</v>
      </c>
      <c r="AP368" s="1" t="s">
        <v>810</v>
      </c>
      <c r="AQ368" s="1" t="s">
        <v>123</v>
      </c>
    </row>
    <row r="369" spans="1:43" x14ac:dyDescent="0.3">
      <c r="A369" s="1">
        <v>24848987</v>
      </c>
      <c r="B369" s="1">
        <v>25685689</v>
      </c>
      <c r="C369" s="1" t="s">
        <v>266</v>
      </c>
      <c r="D369" s="4">
        <v>46204.633356481478</v>
      </c>
      <c r="E369" s="4">
        <v>46204.637546296297</v>
      </c>
      <c r="F369" s="1" t="s">
        <v>22</v>
      </c>
      <c r="G369" s="1" t="s">
        <v>22</v>
      </c>
      <c r="H369" s="1" t="s">
        <v>1526</v>
      </c>
      <c r="I369" s="1" t="s">
        <v>18</v>
      </c>
      <c r="J369" s="1" t="s">
        <v>1524</v>
      </c>
      <c r="K369" s="1" t="s">
        <v>1022</v>
      </c>
      <c r="L369" s="1" t="s">
        <v>1022</v>
      </c>
      <c r="M369" s="4">
        <v>46204.62222222222</v>
      </c>
      <c r="N369" s="1" t="s">
        <v>93</v>
      </c>
      <c r="O369" s="1" t="s">
        <v>93</v>
      </c>
      <c r="P369" s="1" t="s">
        <v>342</v>
      </c>
      <c r="Q369" s="1" t="s">
        <v>882</v>
      </c>
      <c r="R369" s="1" t="s">
        <v>882</v>
      </c>
      <c r="S369" s="1" t="s">
        <v>7</v>
      </c>
      <c r="T369" s="1" t="s">
        <v>274</v>
      </c>
      <c r="U369" s="1" t="s">
        <v>155</v>
      </c>
      <c r="V369" s="1" t="s">
        <v>522</v>
      </c>
      <c r="W369" s="1" t="s">
        <v>93</v>
      </c>
      <c r="X369" s="1" t="s">
        <v>298</v>
      </c>
      <c r="Y369" s="1">
        <v>2306946271</v>
      </c>
      <c r="Z369" s="1" t="s">
        <v>43</v>
      </c>
      <c r="AA369" s="1" t="s">
        <v>93</v>
      </c>
      <c r="AB369" s="1">
        <v>4424.92</v>
      </c>
      <c r="AC369" s="1">
        <v>92.33</v>
      </c>
      <c r="AD369" s="1">
        <v>475</v>
      </c>
      <c r="AE369" s="1">
        <v>0</v>
      </c>
      <c r="AF369" s="1">
        <v>0</v>
      </c>
      <c r="AG369" s="1">
        <v>0</v>
      </c>
      <c r="AH369" s="1">
        <v>0</v>
      </c>
      <c r="AI369" s="1" t="s">
        <v>1527</v>
      </c>
      <c r="AJ369" s="1" t="s">
        <v>707</v>
      </c>
      <c r="AK369" s="1" t="s">
        <v>43</v>
      </c>
      <c r="AL369" s="1" t="s">
        <v>69</v>
      </c>
      <c r="AM369" s="1" t="s">
        <v>337</v>
      </c>
      <c r="AN369" s="1" t="s">
        <v>21</v>
      </c>
      <c r="AO369" s="1" t="s">
        <v>280</v>
      </c>
      <c r="AP369" s="1" t="s">
        <v>810</v>
      </c>
      <c r="AQ369" s="1" t="s">
        <v>123</v>
      </c>
    </row>
    <row r="370" spans="1:43" x14ac:dyDescent="0.3">
      <c r="A370" s="1">
        <v>24848783</v>
      </c>
      <c r="B370" s="1">
        <v>25685431</v>
      </c>
      <c r="C370" s="1" t="s">
        <v>266</v>
      </c>
      <c r="D370" s="4">
        <v>46204.602662037039</v>
      </c>
      <c r="E370" s="4">
        <v>46204.605162037027</v>
      </c>
      <c r="F370" s="1" t="s">
        <v>22</v>
      </c>
      <c r="G370" s="1" t="s">
        <v>22</v>
      </c>
      <c r="H370" s="1" t="s">
        <v>1528</v>
      </c>
      <c r="I370" s="1" t="s">
        <v>1020</v>
      </c>
      <c r="J370" s="1" t="s">
        <v>1529</v>
      </c>
      <c r="K370" s="1" t="s">
        <v>1022</v>
      </c>
      <c r="L370" s="1" t="s">
        <v>1022</v>
      </c>
      <c r="M370" s="4">
        <v>46204.084722222222</v>
      </c>
      <c r="N370" s="1" t="s">
        <v>93</v>
      </c>
      <c r="O370" s="1" t="s">
        <v>93</v>
      </c>
      <c r="P370" s="1" t="s">
        <v>342</v>
      </c>
      <c r="Q370" s="1" t="s">
        <v>303</v>
      </c>
      <c r="R370" s="1" t="s">
        <v>272</v>
      </c>
      <c r="S370" s="1" t="s">
        <v>7</v>
      </c>
      <c r="T370" s="1" t="s">
        <v>274</v>
      </c>
      <c r="U370" s="1" t="s">
        <v>155</v>
      </c>
      <c r="V370" s="1" t="s">
        <v>522</v>
      </c>
      <c r="W370" s="1" t="s">
        <v>93</v>
      </c>
      <c r="X370" s="1" t="s">
        <v>298</v>
      </c>
      <c r="Y370" s="1">
        <v>2306944395</v>
      </c>
      <c r="Z370" s="1" t="s">
        <v>43</v>
      </c>
      <c r="AA370" s="1" t="s">
        <v>93</v>
      </c>
      <c r="AB370" s="1">
        <v>2540.5300000000002</v>
      </c>
      <c r="AC370" s="1">
        <v>82.27</v>
      </c>
      <c r="AD370" s="1">
        <v>0</v>
      </c>
      <c r="AE370" s="1">
        <v>0</v>
      </c>
      <c r="AF370" s="1">
        <v>0</v>
      </c>
      <c r="AG370" s="1">
        <v>0</v>
      </c>
      <c r="AH370" s="1">
        <v>256.08999999999997</v>
      </c>
      <c r="AI370" s="1" t="s">
        <v>1023</v>
      </c>
      <c r="AJ370" s="1" t="s">
        <v>707</v>
      </c>
      <c r="AK370" s="1" t="s">
        <v>43</v>
      </c>
      <c r="AL370" s="1" t="s">
        <v>69</v>
      </c>
      <c r="AM370" s="1" t="s">
        <v>337</v>
      </c>
      <c r="AN370" s="1" t="s">
        <v>21</v>
      </c>
      <c r="AO370" s="1" t="s">
        <v>280</v>
      </c>
      <c r="AP370" s="1" t="s">
        <v>810</v>
      </c>
      <c r="AQ370" s="1" t="s">
        <v>123</v>
      </c>
    </row>
    <row r="371" spans="1:43" x14ac:dyDescent="0.3">
      <c r="A371" s="1">
        <v>24862063</v>
      </c>
      <c r="B371" s="1">
        <v>25700975</v>
      </c>
      <c r="C371" s="1" t="s">
        <v>266</v>
      </c>
      <c r="D371" s="4">
        <v>46206.600844907407</v>
      </c>
      <c r="E371" s="4">
        <v>46206.722581018519</v>
      </c>
      <c r="F371" s="1" t="s">
        <v>22</v>
      </c>
      <c r="G371" s="1" t="s">
        <v>22</v>
      </c>
      <c r="H371" s="1" t="s">
        <v>1365</v>
      </c>
      <c r="I371" s="1" t="s">
        <v>17</v>
      </c>
      <c r="J371" s="1" t="s">
        <v>1364</v>
      </c>
      <c r="K371" s="1" t="s">
        <v>472</v>
      </c>
      <c r="L371" s="1" t="s">
        <v>435</v>
      </c>
      <c r="M371" s="4">
        <v>46206</v>
      </c>
      <c r="N371" s="1" t="s">
        <v>1365</v>
      </c>
      <c r="O371" s="1" t="s">
        <v>93</v>
      </c>
      <c r="P371" s="1" t="s">
        <v>271</v>
      </c>
      <c r="Q371" s="1" t="s">
        <v>303</v>
      </c>
      <c r="R371" s="1" t="s">
        <v>272</v>
      </c>
      <c r="S371" s="1" t="s">
        <v>7</v>
      </c>
      <c r="T371" s="1" t="s">
        <v>274</v>
      </c>
      <c r="U371" s="1" t="s">
        <v>205</v>
      </c>
      <c r="V371" s="1" t="s">
        <v>474</v>
      </c>
      <c r="W371" s="1" t="s">
        <v>93</v>
      </c>
      <c r="X371" s="1" t="s">
        <v>1530</v>
      </c>
      <c r="Y371" s="1">
        <v>5232184638</v>
      </c>
      <c r="Z371" s="1" t="s">
        <v>56</v>
      </c>
      <c r="AA371" s="1" t="s">
        <v>93</v>
      </c>
      <c r="AB371" s="1">
        <v>1029.5</v>
      </c>
      <c r="AC371" s="1">
        <v>0</v>
      </c>
      <c r="AD371" s="1">
        <v>1067.74</v>
      </c>
      <c r="AE371" s="1">
        <v>0</v>
      </c>
      <c r="AF371" s="1">
        <v>0</v>
      </c>
      <c r="AG371" s="1">
        <v>0</v>
      </c>
      <c r="AH371" s="1">
        <v>0</v>
      </c>
      <c r="AI371" s="1" t="s">
        <v>290</v>
      </c>
      <c r="AJ371" s="1" t="s">
        <v>1531</v>
      </c>
      <c r="AK371" s="1" t="s">
        <v>17</v>
      </c>
      <c r="AL371" s="1" t="s">
        <v>71</v>
      </c>
      <c r="AM371" s="1" t="s">
        <v>337</v>
      </c>
      <c r="AN371" s="1" t="s">
        <v>21</v>
      </c>
      <c r="AO371" s="1" t="s">
        <v>280</v>
      </c>
      <c r="AP371" s="1" t="s">
        <v>324</v>
      </c>
      <c r="AQ371" s="1" t="s">
        <v>27</v>
      </c>
    </row>
    <row r="372" spans="1:43" x14ac:dyDescent="0.3">
      <c r="A372" s="1">
        <v>24864721</v>
      </c>
      <c r="B372" s="1">
        <v>25703982</v>
      </c>
      <c r="C372" s="1" t="s">
        <v>266</v>
      </c>
      <c r="D372" s="4">
        <v>46206.79415509259</v>
      </c>
      <c r="E372" s="4">
        <v>46206.799247685187</v>
      </c>
      <c r="F372" s="1" t="s">
        <v>22</v>
      </c>
      <c r="G372" s="1" t="s">
        <v>22</v>
      </c>
      <c r="H372" s="1" t="s">
        <v>1532</v>
      </c>
      <c r="I372" s="1" t="s">
        <v>268</v>
      </c>
      <c r="J372" s="1" t="s">
        <v>1533</v>
      </c>
      <c r="K372" s="1" t="s">
        <v>435</v>
      </c>
      <c r="L372" s="1" t="s">
        <v>435</v>
      </c>
      <c r="M372" s="4">
        <v>46206.712500000001</v>
      </c>
      <c r="N372" s="1">
        <v>1590</v>
      </c>
      <c r="O372" s="1" t="s">
        <v>93</v>
      </c>
      <c r="P372" s="1" t="s">
        <v>271</v>
      </c>
      <c r="Q372" s="1" t="s">
        <v>303</v>
      </c>
      <c r="R372" s="1" t="s">
        <v>272</v>
      </c>
      <c r="S372" s="1" t="s">
        <v>7</v>
      </c>
      <c r="T372" s="1" t="s">
        <v>274</v>
      </c>
      <c r="U372" s="1" t="s">
        <v>93</v>
      </c>
      <c r="V372" s="1" t="s">
        <v>93</v>
      </c>
      <c r="W372" s="1" t="s">
        <v>93</v>
      </c>
      <c r="X372" s="1" t="s">
        <v>1534</v>
      </c>
      <c r="Y372" s="1">
        <v>9285676876</v>
      </c>
      <c r="Z372" s="1" t="s">
        <v>93</v>
      </c>
      <c r="AA372" s="1" t="s">
        <v>93</v>
      </c>
      <c r="AB372" s="1">
        <v>1714.18</v>
      </c>
      <c r="AC372" s="1">
        <v>358.46</v>
      </c>
      <c r="AD372" s="1">
        <v>0</v>
      </c>
      <c r="AE372" s="1">
        <v>0</v>
      </c>
      <c r="AF372" s="1">
        <v>0</v>
      </c>
      <c r="AG372" s="1">
        <v>0</v>
      </c>
      <c r="AH372" s="1">
        <v>0</v>
      </c>
      <c r="AI372" s="1" t="s">
        <v>1535</v>
      </c>
      <c r="AJ372" s="1" t="s">
        <v>541</v>
      </c>
      <c r="AK372" s="1" t="s">
        <v>13</v>
      </c>
      <c r="AL372" s="1" t="s">
        <v>100</v>
      </c>
      <c r="AM372" s="1" t="s">
        <v>337</v>
      </c>
      <c r="AN372" s="1" t="s">
        <v>21</v>
      </c>
      <c r="AO372" s="1" t="s">
        <v>280</v>
      </c>
      <c r="AP372" s="1" t="s">
        <v>324</v>
      </c>
      <c r="AQ372" s="1" t="s">
        <v>125</v>
      </c>
    </row>
    <row r="373" spans="1:43" x14ac:dyDescent="0.3">
      <c r="A373" s="1">
        <v>24864722</v>
      </c>
      <c r="B373" s="1">
        <v>25703983</v>
      </c>
      <c r="C373" s="1" t="s">
        <v>266</v>
      </c>
      <c r="D373" s="4">
        <v>46206.794166666667</v>
      </c>
      <c r="E373" s="4">
        <v>46206.799247685187</v>
      </c>
      <c r="F373" s="1" t="s">
        <v>22</v>
      </c>
      <c r="G373" s="1" t="s">
        <v>22</v>
      </c>
      <c r="H373" s="1" t="s">
        <v>1536</v>
      </c>
      <c r="I373" s="1" t="s">
        <v>268</v>
      </c>
      <c r="J373" s="1" t="s">
        <v>1533</v>
      </c>
      <c r="K373" s="1" t="s">
        <v>435</v>
      </c>
      <c r="L373" s="1" t="s">
        <v>435</v>
      </c>
      <c r="M373" s="4">
        <v>46206.712500000001</v>
      </c>
      <c r="N373" s="1">
        <v>1590</v>
      </c>
      <c r="O373" s="1" t="s">
        <v>93</v>
      </c>
      <c r="P373" s="1" t="s">
        <v>271</v>
      </c>
      <c r="Q373" s="1" t="s">
        <v>303</v>
      </c>
      <c r="R373" s="1" t="s">
        <v>272</v>
      </c>
      <c r="S373" s="1" t="s">
        <v>7</v>
      </c>
      <c r="T373" s="1" t="s">
        <v>274</v>
      </c>
      <c r="U373" s="1" t="s">
        <v>93</v>
      </c>
      <c r="V373" s="1" t="s">
        <v>93</v>
      </c>
      <c r="W373" s="1" t="s">
        <v>93</v>
      </c>
      <c r="X373" s="1" t="s">
        <v>1534</v>
      </c>
      <c r="Y373" s="1">
        <v>9285676877</v>
      </c>
      <c r="Z373" s="1" t="s">
        <v>93</v>
      </c>
      <c r="AA373" s="1" t="s">
        <v>93</v>
      </c>
      <c r="AB373" s="1">
        <v>1402.51</v>
      </c>
      <c r="AC373" s="1">
        <v>469.65</v>
      </c>
      <c r="AD373" s="1">
        <v>0</v>
      </c>
      <c r="AE373" s="1">
        <v>0</v>
      </c>
      <c r="AF373" s="1">
        <v>0</v>
      </c>
      <c r="AG373" s="1">
        <v>0</v>
      </c>
      <c r="AH373" s="1">
        <v>0</v>
      </c>
      <c r="AI373" s="1" t="s">
        <v>1535</v>
      </c>
      <c r="AJ373" s="1" t="s">
        <v>541</v>
      </c>
      <c r="AK373" s="1" t="s">
        <v>13</v>
      </c>
      <c r="AL373" s="1" t="s">
        <v>100</v>
      </c>
      <c r="AM373" s="1" t="s">
        <v>337</v>
      </c>
      <c r="AN373" s="1" t="s">
        <v>21</v>
      </c>
      <c r="AO373" s="1" t="s">
        <v>280</v>
      </c>
      <c r="AP373" s="1" t="s">
        <v>324</v>
      </c>
      <c r="AQ373" s="1" t="s">
        <v>125</v>
      </c>
    </row>
    <row r="374" spans="1:43" x14ac:dyDescent="0.3">
      <c r="A374" s="1">
        <v>24860693</v>
      </c>
      <c r="B374" s="1">
        <v>25699382</v>
      </c>
      <c r="C374" s="1" t="s">
        <v>266</v>
      </c>
      <c r="D374" s="4">
        <v>46206.465081018519</v>
      </c>
      <c r="E374" s="4">
        <v>46206.467129629629</v>
      </c>
      <c r="F374" s="1" t="s">
        <v>22</v>
      </c>
      <c r="G374" s="1" t="s">
        <v>22</v>
      </c>
      <c r="H374" s="1" t="s">
        <v>1537</v>
      </c>
      <c r="I374" s="1" t="s">
        <v>14</v>
      </c>
      <c r="J374" s="1" t="s">
        <v>1538</v>
      </c>
      <c r="K374" s="1" t="s">
        <v>547</v>
      </c>
      <c r="L374" s="1" t="s">
        <v>547</v>
      </c>
      <c r="M374" s="4">
        <v>46108.776388888888</v>
      </c>
      <c r="N374" s="1">
        <v>4678428</v>
      </c>
      <c r="O374" s="1" t="s">
        <v>93</v>
      </c>
      <c r="P374" s="1" t="s">
        <v>271</v>
      </c>
      <c r="Q374" s="1" t="s">
        <v>303</v>
      </c>
      <c r="R374" s="1" t="s">
        <v>273</v>
      </c>
      <c r="S374" s="1" t="s">
        <v>7</v>
      </c>
      <c r="T374" s="1" t="s">
        <v>274</v>
      </c>
      <c r="U374" s="1" t="s">
        <v>178</v>
      </c>
      <c r="V374" s="1" t="s">
        <v>1539</v>
      </c>
      <c r="W374" s="1" t="s">
        <v>93</v>
      </c>
      <c r="X374" s="1" t="s">
        <v>276</v>
      </c>
      <c r="Y374" s="1">
        <v>2279912122</v>
      </c>
      <c r="Z374" s="1" t="s">
        <v>89</v>
      </c>
      <c r="AA374" s="1" t="s">
        <v>93</v>
      </c>
      <c r="AB374" s="1">
        <v>273.44</v>
      </c>
      <c r="AC374" s="1">
        <v>0</v>
      </c>
      <c r="AD374" s="1">
        <v>0</v>
      </c>
      <c r="AE374" s="1">
        <v>0</v>
      </c>
      <c r="AF374" s="1">
        <v>0</v>
      </c>
      <c r="AG374" s="1">
        <v>0</v>
      </c>
      <c r="AH374" s="1">
        <v>0</v>
      </c>
      <c r="AI374" s="1" t="s">
        <v>1540</v>
      </c>
      <c r="AJ374" s="1" t="s">
        <v>1541</v>
      </c>
      <c r="AK374" s="1" t="s">
        <v>14</v>
      </c>
      <c r="AL374" s="1" t="s">
        <v>92</v>
      </c>
      <c r="AM374" s="1" t="s">
        <v>682</v>
      </c>
      <c r="AN374" s="1" t="s">
        <v>21</v>
      </c>
      <c r="AO374" s="1" t="s">
        <v>280</v>
      </c>
      <c r="AP374" s="1" t="s">
        <v>281</v>
      </c>
      <c r="AQ374" s="1" t="s">
        <v>37</v>
      </c>
    </row>
    <row r="375" spans="1:43" x14ac:dyDescent="0.3">
      <c r="A375" s="1">
        <v>24854771</v>
      </c>
      <c r="B375" s="1">
        <v>25692455</v>
      </c>
      <c r="C375" s="1" t="s">
        <v>266</v>
      </c>
      <c r="D375" s="4">
        <v>46205.54010416667</v>
      </c>
      <c r="E375" s="4">
        <v>46205.542800925927</v>
      </c>
      <c r="F375" s="1" t="s">
        <v>22</v>
      </c>
      <c r="G375" s="1" t="s">
        <v>22</v>
      </c>
      <c r="H375" s="1" t="s">
        <v>1542</v>
      </c>
      <c r="I375" s="1" t="s">
        <v>1020</v>
      </c>
      <c r="J375" s="1" t="s">
        <v>1543</v>
      </c>
      <c r="K375" s="1" t="s">
        <v>1022</v>
      </c>
      <c r="L375" s="1" t="s">
        <v>1022</v>
      </c>
      <c r="M375" s="4">
        <v>46205.510416666657</v>
      </c>
      <c r="N375" s="1" t="s">
        <v>93</v>
      </c>
      <c r="O375" s="1" t="s">
        <v>93</v>
      </c>
      <c r="P375" s="1" t="s">
        <v>342</v>
      </c>
      <c r="Q375" s="1" t="s">
        <v>303</v>
      </c>
      <c r="R375" s="1" t="s">
        <v>272</v>
      </c>
      <c r="S375" s="1" t="s">
        <v>7</v>
      </c>
      <c r="T375" s="1" t="s">
        <v>274</v>
      </c>
      <c r="U375" s="1" t="s">
        <v>155</v>
      </c>
      <c r="V375" s="1" t="s">
        <v>522</v>
      </c>
      <c r="W375" s="1" t="s">
        <v>93</v>
      </c>
      <c r="X375" s="1" t="s">
        <v>276</v>
      </c>
      <c r="Y375" s="1">
        <v>2294250068</v>
      </c>
      <c r="Z375" s="1" t="s">
        <v>43</v>
      </c>
      <c r="AA375" s="1" t="s">
        <v>93</v>
      </c>
      <c r="AB375" s="1">
        <v>1000.43</v>
      </c>
      <c r="AC375" s="1">
        <v>60.54</v>
      </c>
      <c r="AD375" s="1">
        <v>0</v>
      </c>
      <c r="AE375" s="1">
        <v>0</v>
      </c>
      <c r="AF375" s="1">
        <v>0</v>
      </c>
      <c r="AG375" s="1">
        <v>0</v>
      </c>
      <c r="AH375" s="1">
        <v>65.03</v>
      </c>
      <c r="AI375" s="1" t="s">
        <v>1023</v>
      </c>
      <c r="AJ375" s="1" t="s">
        <v>707</v>
      </c>
      <c r="AK375" s="1" t="s">
        <v>43</v>
      </c>
      <c r="AL375" s="1" t="s">
        <v>69</v>
      </c>
      <c r="AM375" s="1" t="s">
        <v>337</v>
      </c>
      <c r="AN375" s="1" t="s">
        <v>21</v>
      </c>
      <c r="AO375" s="1" t="s">
        <v>280</v>
      </c>
      <c r="AP375" s="1" t="s">
        <v>810</v>
      </c>
      <c r="AQ375" s="1" t="s">
        <v>123</v>
      </c>
    </row>
    <row r="376" spans="1:43" x14ac:dyDescent="0.3">
      <c r="A376" s="1">
        <v>24847780</v>
      </c>
      <c r="B376" s="1">
        <v>25684265</v>
      </c>
      <c r="C376" s="1" t="s">
        <v>266</v>
      </c>
      <c r="D376" s="4">
        <v>46204.451817129629</v>
      </c>
      <c r="E376" s="4">
        <v>46209.23642361111</v>
      </c>
      <c r="F376" s="1" t="s">
        <v>19</v>
      </c>
      <c r="G376" s="1" t="s">
        <v>22</v>
      </c>
      <c r="H376" s="1" t="s">
        <v>1544</v>
      </c>
      <c r="I376" s="1" t="s">
        <v>268</v>
      </c>
      <c r="J376" s="1" t="s">
        <v>1545</v>
      </c>
      <c r="K376" s="1" t="s">
        <v>1502</v>
      </c>
      <c r="L376" s="1" t="s">
        <v>1502</v>
      </c>
      <c r="M376" s="4">
        <v>46204.40902777778</v>
      </c>
      <c r="N376" s="1">
        <v>21518</v>
      </c>
      <c r="O376" s="1" t="s">
        <v>93</v>
      </c>
      <c r="P376" s="1" t="s">
        <v>342</v>
      </c>
      <c r="Q376" s="1" t="s">
        <v>286</v>
      </c>
      <c r="R376" s="1" t="s">
        <v>439</v>
      </c>
      <c r="S376" s="1" t="s">
        <v>7</v>
      </c>
      <c r="T376" s="1" t="s">
        <v>274</v>
      </c>
      <c r="U376" s="1" t="s">
        <v>147</v>
      </c>
      <c r="V376" s="1" t="s">
        <v>728</v>
      </c>
      <c r="W376" s="1" t="s">
        <v>93</v>
      </c>
      <c r="X376" s="1" t="s">
        <v>276</v>
      </c>
      <c r="Y376" s="1">
        <v>2294045086</v>
      </c>
      <c r="Z376" s="1" t="s">
        <v>58</v>
      </c>
      <c r="AA376" s="1" t="s">
        <v>93</v>
      </c>
      <c r="AB376" s="1">
        <v>2211.44</v>
      </c>
      <c r="AC376" s="1">
        <v>110.77</v>
      </c>
      <c r="AD376" s="1">
        <v>0</v>
      </c>
      <c r="AE376" s="1">
        <v>0</v>
      </c>
      <c r="AF376" s="1">
        <v>0</v>
      </c>
      <c r="AG376" s="1">
        <v>0</v>
      </c>
      <c r="AH376" s="1">
        <v>0</v>
      </c>
      <c r="AI376" s="1" t="s">
        <v>1546</v>
      </c>
      <c r="AJ376" s="1" t="s">
        <v>1486</v>
      </c>
      <c r="AK376" s="1" t="s">
        <v>13</v>
      </c>
      <c r="AL376" s="1" t="s">
        <v>77</v>
      </c>
      <c r="AM376" s="1" t="s">
        <v>279</v>
      </c>
      <c r="AN376" s="1" t="s">
        <v>21</v>
      </c>
      <c r="AO376" s="1" t="s">
        <v>280</v>
      </c>
      <c r="AP376" s="1" t="s">
        <v>281</v>
      </c>
      <c r="AQ376" s="1" t="s">
        <v>37</v>
      </c>
    </row>
    <row r="377" spans="1:43" x14ac:dyDescent="0.3">
      <c r="A377" s="1">
        <v>24850328</v>
      </c>
      <c r="B377" s="1">
        <v>25687116</v>
      </c>
      <c r="C377" s="1" t="s">
        <v>266</v>
      </c>
      <c r="D377" s="4">
        <v>46204.730081018519</v>
      </c>
      <c r="E377" s="4">
        <v>46209.23642361111</v>
      </c>
      <c r="F377" s="1" t="s">
        <v>19</v>
      </c>
      <c r="G377" s="1" t="s">
        <v>22</v>
      </c>
      <c r="H377" s="1" t="s">
        <v>1547</v>
      </c>
      <c r="I377" s="1" t="s">
        <v>268</v>
      </c>
      <c r="J377" s="1" t="s">
        <v>1548</v>
      </c>
      <c r="K377" s="1" t="s">
        <v>1502</v>
      </c>
      <c r="L377" s="1" t="s">
        <v>1502</v>
      </c>
      <c r="M377" s="4">
        <v>46204.654166666667</v>
      </c>
      <c r="N377" s="1">
        <v>21551</v>
      </c>
      <c r="O377" s="1" t="s">
        <v>93</v>
      </c>
      <c r="P377" s="1" t="s">
        <v>342</v>
      </c>
      <c r="Q377" s="1" t="s">
        <v>286</v>
      </c>
      <c r="R377" s="1" t="s">
        <v>439</v>
      </c>
      <c r="S377" s="1" t="s">
        <v>7</v>
      </c>
      <c r="T377" s="1" t="s">
        <v>274</v>
      </c>
      <c r="U377" s="1" t="s">
        <v>147</v>
      </c>
      <c r="V377" s="1" t="s">
        <v>728</v>
      </c>
      <c r="W377" s="1" t="s">
        <v>93</v>
      </c>
      <c r="X377" s="1" t="s">
        <v>276</v>
      </c>
      <c r="Y377" s="1">
        <v>2294097251</v>
      </c>
      <c r="Z377" s="1" t="s">
        <v>58</v>
      </c>
      <c r="AA377" s="1" t="s">
        <v>93</v>
      </c>
      <c r="AB377" s="1">
        <v>856.44</v>
      </c>
      <c r="AC377" s="1">
        <v>62.14</v>
      </c>
      <c r="AD377" s="1">
        <v>0</v>
      </c>
      <c r="AE377" s="1">
        <v>0</v>
      </c>
      <c r="AF377" s="1">
        <v>0</v>
      </c>
      <c r="AG377" s="1">
        <v>0</v>
      </c>
      <c r="AH377" s="1">
        <v>0</v>
      </c>
      <c r="AI377" s="1" t="s">
        <v>1549</v>
      </c>
      <c r="AJ377" s="1" t="s">
        <v>1486</v>
      </c>
      <c r="AK377" s="1" t="s">
        <v>13</v>
      </c>
      <c r="AL377" s="1" t="s">
        <v>77</v>
      </c>
      <c r="AM377" s="1" t="s">
        <v>279</v>
      </c>
      <c r="AN377" s="1" t="s">
        <v>21</v>
      </c>
      <c r="AO377" s="1" t="s">
        <v>280</v>
      </c>
      <c r="AP377" s="1" t="s">
        <v>281</v>
      </c>
      <c r="AQ377" s="1" t="s">
        <v>37</v>
      </c>
    </row>
    <row r="378" spans="1:43" x14ac:dyDescent="0.3">
      <c r="A378" s="1">
        <v>24850329</v>
      </c>
      <c r="B378" s="1">
        <v>25687117</v>
      </c>
      <c r="C378" s="1" t="s">
        <v>266</v>
      </c>
      <c r="D378" s="4">
        <v>46204.730092592603</v>
      </c>
      <c r="E378" s="4">
        <v>46209.23642361111</v>
      </c>
      <c r="F378" s="1" t="s">
        <v>19</v>
      </c>
      <c r="G378" s="1" t="s">
        <v>22</v>
      </c>
      <c r="H378" s="1" t="s">
        <v>1550</v>
      </c>
      <c r="I378" s="1" t="s">
        <v>268</v>
      </c>
      <c r="J378" s="1" t="s">
        <v>1548</v>
      </c>
      <c r="K378" s="1" t="s">
        <v>1502</v>
      </c>
      <c r="L378" s="1" t="s">
        <v>1502</v>
      </c>
      <c r="M378" s="4">
        <v>46204.654166666667</v>
      </c>
      <c r="N378" s="1">
        <v>21551</v>
      </c>
      <c r="O378" s="1" t="s">
        <v>93</v>
      </c>
      <c r="P378" s="1" t="s">
        <v>342</v>
      </c>
      <c r="Q378" s="1" t="s">
        <v>286</v>
      </c>
      <c r="R378" s="1" t="s">
        <v>439</v>
      </c>
      <c r="S378" s="1" t="s">
        <v>7</v>
      </c>
      <c r="T378" s="1" t="s">
        <v>274</v>
      </c>
      <c r="U378" s="1" t="s">
        <v>147</v>
      </c>
      <c r="V378" s="1" t="s">
        <v>728</v>
      </c>
      <c r="W378" s="1" t="s">
        <v>93</v>
      </c>
      <c r="X378" s="1" t="s">
        <v>276</v>
      </c>
      <c r="Y378" s="1">
        <v>2294100581</v>
      </c>
      <c r="Z378" s="1" t="s">
        <v>58</v>
      </c>
      <c r="AA378" s="1" t="s">
        <v>93</v>
      </c>
      <c r="AB378" s="1">
        <v>658.08</v>
      </c>
      <c r="AC378" s="1">
        <v>52.72</v>
      </c>
      <c r="AD378" s="1">
        <v>0</v>
      </c>
      <c r="AE378" s="1">
        <v>0</v>
      </c>
      <c r="AF378" s="1">
        <v>0</v>
      </c>
      <c r="AG378" s="1">
        <v>0</v>
      </c>
      <c r="AH378" s="1">
        <v>0</v>
      </c>
      <c r="AI378" s="1" t="s">
        <v>1549</v>
      </c>
      <c r="AJ378" s="1" t="s">
        <v>1486</v>
      </c>
      <c r="AK378" s="1" t="s">
        <v>13</v>
      </c>
      <c r="AL378" s="1" t="s">
        <v>77</v>
      </c>
      <c r="AM378" s="1" t="s">
        <v>279</v>
      </c>
      <c r="AN378" s="1" t="s">
        <v>21</v>
      </c>
      <c r="AO378" s="1" t="s">
        <v>280</v>
      </c>
      <c r="AP378" s="1" t="s">
        <v>281</v>
      </c>
      <c r="AQ378" s="1" t="s">
        <v>37</v>
      </c>
    </row>
    <row r="379" spans="1:43" x14ac:dyDescent="0.3">
      <c r="A379" s="1">
        <v>24844029</v>
      </c>
      <c r="B379" s="1">
        <v>25680387</v>
      </c>
      <c r="C379" s="1" t="s">
        <v>266</v>
      </c>
      <c r="D379" s="4">
        <v>46203.716504629629</v>
      </c>
      <c r="E379" s="4">
        <v>46209.23642361111</v>
      </c>
      <c r="F379" s="1" t="s">
        <v>19</v>
      </c>
      <c r="G379" s="1" t="s">
        <v>24</v>
      </c>
      <c r="H379" s="1" t="s">
        <v>1551</v>
      </c>
      <c r="I379" s="1" t="s">
        <v>268</v>
      </c>
      <c r="J379" s="1" t="s">
        <v>1552</v>
      </c>
      <c r="K379" s="1" t="s">
        <v>1502</v>
      </c>
      <c r="L379" s="1" t="s">
        <v>1502</v>
      </c>
      <c r="M379" s="4">
        <v>46203.63958333333</v>
      </c>
      <c r="N379" s="1">
        <v>21509</v>
      </c>
      <c r="O379" s="1" t="s">
        <v>93</v>
      </c>
      <c r="P379" s="1" t="s">
        <v>342</v>
      </c>
      <c r="Q379" s="1" t="s">
        <v>286</v>
      </c>
      <c r="R379" s="1" t="s">
        <v>439</v>
      </c>
      <c r="S379" s="1" t="s">
        <v>7</v>
      </c>
      <c r="T379" s="1" t="s">
        <v>274</v>
      </c>
      <c r="U379" s="1" t="s">
        <v>147</v>
      </c>
      <c r="V379" s="1" t="s">
        <v>728</v>
      </c>
      <c r="W379" s="1" t="s">
        <v>93</v>
      </c>
      <c r="X379" s="1" t="s">
        <v>276</v>
      </c>
      <c r="Y379" s="1">
        <v>2615432896</v>
      </c>
      <c r="Z379" s="1" t="s">
        <v>58</v>
      </c>
      <c r="AA379" s="1" t="s">
        <v>93</v>
      </c>
      <c r="AB379" s="1">
        <v>1261.8900000000001</v>
      </c>
      <c r="AC379" s="1">
        <v>529.55999999999995</v>
      </c>
      <c r="AD379" s="1">
        <v>0</v>
      </c>
      <c r="AE379" s="1">
        <v>0</v>
      </c>
      <c r="AF379" s="1">
        <v>0</v>
      </c>
      <c r="AG379" s="1">
        <v>0</v>
      </c>
      <c r="AH379" s="1">
        <v>0</v>
      </c>
      <c r="AI379" s="1" t="s">
        <v>1553</v>
      </c>
      <c r="AJ379" s="1" t="s">
        <v>1486</v>
      </c>
      <c r="AK379" s="1" t="s">
        <v>13</v>
      </c>
      <c r="AL379" s="1" t="s">
        <v>77</v>
      </c>
      <c r="AM379" s="1" t="s">
        <v>279</v>
      </c>
      <c r="AN379" s="1" t="s">
        <v>21</v>
      </c>
      <c r="AO379" s="1" t="s">
        <v>280</v>
      </c>
      <c r="AP379" s="1" t="s">
        <v>281</v>
      </c>
      <c r="AQ379" s="1" t="s">
        <v>37</v>
      </c>
    </row>
    <row r="380" spans="1:43" x14ac:dyDescent="0.3">
      <c r="A380" s="1">
        <v>24844059</v>
      </c>
      <c r="B380" s="1">
        <v>25680416</v>
      </c>
      <c r="C380" s="1" t="s">
        <v>266</v>
      </c>
      <c r="D380" s="4">
        <v>46203.71738425926</v>
      </c>
      <c r="E380" s="4">
        <v>46209.23642361111</v>
      </c>
      <c r="F380" s="1" t="s">
        <v>19</v>
      </c>
      <c r="G380" s="1" t="s">
        <v>24</v>
      </c>
      <c r="H380" s="1" t="s">
        <v>1554</v>
      </c>
      <c r="I380" s="1" t="s">
        <v>268</v>
      </c>
      <c r="J380" s="1" t="s">
        <v>1555</v>
      </c>
      <c r="K380" s="1" t="s">
        <v>1502</v>
      </c>
      <c r="L380" s="1" t="s">
        <v>1502</v>
      </c>
      <c r="M380" s="4">
        <v>46203.491666666669</v>
      </c>
      <c r="N380" s="1">
        <v>21490</v>
      </c>
      <c r="O380" s="1" t="s">
        <v>93</v>
      </c>
      <c r="P380" s="1" t="s">
        <v>342</v>
      </c>
      <c r="Q380" s="1" t="s">
        <v>286</v>
      </c>
      <c r="R380" s="1" t="s">
        <v>439</v>
      </c>
      <c r="S380" s="1" t="s">
        <v>7</v>
      </c>
      <c r="T380" s="1" t="s">
        <v>274</v>
      </c>
      <c r="U380" s="1" t="s">
        <v>147</v>
      </c>
      <c r="V380" s="1" t="s">
        <v>728</v>
      </c>
      <c r="W380" s="1" t="s">
        <v>93</v>
      </c>
      <c r="X380" s="1" t="s">
        <v>276</v>
      </c>
      <c r="Y380" s="1">
        <v>2293895098</v>
      </c>
      <c r="Z380" s="1" t="s">
        <v>58</v>
      </c>
      <c r="AA380" s="1" t="s">
        <v>93</v>
      </c>
      <c r="AB380" s="1">
        <v>1371.72</v>
      </c>
      <c r="AC380" s="1">
        <v>62.62</v>
      </c>
      <c r="AD380" s="1">
        <v>0</v>
      </c>
      <c r="AE380" s="1">
        <v>0</v>
      </c>
      <c r="AF380" s="1">
        <v>0</v>
      </c>
      <c r="AG380" s="1">
        <v>0</v>
      </c>
      <c r="AH380" s="1">
        <v>0</v>
      </c>
      <c r="AI380" s="1" t="s">
        <v>1556</v>
      </c>
      <c r="AJ380" s="1" t="s">
        <v>1486</v>
      </c>
      <c r="AK380" s="1" t="s">
        <v>13</v>
      </c>
      <c r="AL380" s="1" t="s">
        <v>77</v>
      </c>
      <c r="AM380" s="1" t="s">
        <v>279</v>
      </c>
      <c r="AN380" s="1" t="s">
        <v>21</v>
      </c>
      <c r="AO380" s="1" t="s">
        <v>280</v>
      </c>
      <c r="AP380" s="1" t="s">
        <v>281</v>
      </c>
      <c r="AQ380" s="1" t="s">
        <v>37</v>
      </c>
    </row>
    <row r="381" spans="1:43" x14ac:dyDescent="0.3">
      <c r="A381" s="1">
        <v>24852459</v>
      </c>
      <c r="B381" s="1">
        <v>25689797</v>
      </c>
      <c r="C381" s="1" t="s">
        <v>266</v>
      </c>
      <c r="D381" s="4">
        <v>46204.965416666673</v>
      </c>
      <c r="E381" s="4">
        <v>46209.23642361111</v>
      </c>
      <c r="F381" s="1" t="s">
        <v>19</v>
      </c>
      <c r="G381" s="1" t="s">
        <v>22</v>
      </c>
      <c r="H381" s="1" t="s">
        <v>1557</v>
      </c>
      <c r="I381" s="1" t="s">
        <v>268</v>
      </c>
      <c r="J381" s="1" t="s">
        <v>1558</v>
      </c>
      <c r="K381" s="1" t="s">
        <v>1502</v>
      </c>
      <c r="L381" s="1" t="s">
        <v>1502</v>
      </c>
      <c r="M381" s="4">
        <v>46204.765972222223</v>
      </c>
      <c r="N381" s="1">
        <v>21569</v>
      </c>
      <c r="O381" s="1" t="s">
        <v>93</v>
      </c>
      <c r="P381" s="1" t="s">
        <v>342</v>
      </c>
      <c r="Q381" s="1" t="s">
        <v>286</v>
      </c>
      <c r="R381" s="1" t="s">
        <v>439</v>
      </c>
      <c r="S381" s="1" t="s">
        <v>7</v>
      </c>
      <c r="T381" s="1" t="s">
        <v>274</v>
      </c>
      <c r="U381" s="1" t="s">
        <v>147</v>
      </c>
      <c r="V381" s="1" t="s">
        <v>728</v>
      </c>
      <c r="W381" s="1" t="s">
        <v>93</v>
      </c>
      <c r="X381" s="1" t="s">
        <v>276</v>
      </c>
      <c r="Y381" s="1">
        <v>5232211050</v>
      </c>
      <c r="Z381" s="1" t="s">
        <v>58</v>
      </c>
      <c r="AA381" s="1" t="s">
        <v>93</v>
      </c>
      <c r="AB381" s="1">
        <v>28196.94</v>
      </c>
      <c r="AC381" s="1">
        <v>505.71</v>
      </c>
      <c r="AD381" s="1">
        <v>0</v>
      </c>
      <c r="AE381" s="1">
        <v>0</v>
      </c>
      <c r="AF381" s="1">
        <v>0</v>
      </c>
      <c r="AG381" s="1">
        <v>0</v>
      </c>
      <c r="AH381" s="1">
        <v>0</v>
      </c>
      <c r="AI381" s="1" t="s">
        <v>1559</v>
      </c>
      <c r="AJ381" s="1" t="s">
        <v>1486</v>
      </c>
      <c r="AK381" s="1" t="s">
        <v>13</v>
      </c>
      <c r="AL381" s="1" t="s">
        <v>77</v>
      </c>
      <c r="AM381" s="1" t="s">
        <v>279</v>
      </c>
      <c r="AN381" s="1" t="s">
        <v>21</v>
      </c>
      <c r="AO381" s="1" t="s">
        <v>280</v>
      </c>
      <c r="AP381" s="1" t="s">
        <v>281</v>
      </c>
      <c r="AQ381" s="1" t="s">
        <v>37</v>
      </c>
    </row>
    <row r="382" spans="1:43" x14ac:dyDescent="0.3">
      <c r="A382" s="1">
        <v>24861366</v>
      </c>
      <c r="B382" s="1">
        <v>25700157</v>
      </c>
      <c r="C382" s="1" t="s">
        <v>266</v>
      </c>
      <c r="D382" s="4">
        <v>46206.515509259261</v>
      </c>
      <c r="E382" s="4">
        <v>46206.719490740739</v>
      </c>
      <c r="F382" s="1" t="s">
        <v>22</v>
      </c>
      <c r="G382" s="1" t="s">
        <v>22</v>
      </c>
      <c r="H382" s="1" t="s">
        <v>1560</v>
      </c>
      <c r="I382" s="1" t="s">
        <v>17</v>
      </c>
      <c r="J382" s="1" t="s">
        <v>1561</v>
      </c>
      <c r="K382" s="1" t="s">
        <v>284</v>
      </c>
      <c r="L382" s="1" t="s">
        <v>284</v>
      </c>
      <c r="M382" s="4">
        <v>46206.370138888888</v>
      </c>
      <c r="N382" s="1" t="s">
        <v>1560</v>
      </c>
      <c r="O382" s="1" t="s">
        <v>93</v>
      </c>
      <c r="P382" s="1" t="s">
        <v>271</v>
      </c>
      <c r="Q382" s="1" t="s">
        <v>286</v>
      </c>
      <c r="R382" s="1" t="s">
        <v>286</v>
      </c>
      <c r="S382" s="1" t="s">
        <v>7</v>
      </c>
      <c r="T382" s="1" t="s">
        <v>274</v>
      </c>
      <c r="U382" s="1" t="s">
        <v>202</v>
      </c>
      <c r="V382" s="1" t="s">
        <v>1562</v>
      </c>
      <c r="W382" s="1" t="s">
        <v>93</v>
      </c>
      <c r="X382" s="1" t="s">
        <v>276</v>
      </c>
      <c r="Y382" s="1" t="s">
        <v>93</v>
      </c>
      <c r="Z382" s="1" t="s">
        <v>53</v>
      </c>
      <c r="AA382" s="1" t="s">
        <v>93</v>
      </c>
      <c r="AB382" s="1">
        <v>691.02</v>
      </c>
      <c r="AC382" s="1">
        <v>56.88</v>
      </c>
      <c r="AD382" s="1">
        <v>0</v>
      </c>
      <c r="AE382" s="1">
        <v>0</v>
      </c>
      <c r="AF382" s="1">
        <v>0</v>
      </c>
      <c r="AG382" s="1">
        <v>0</v>
      </c>
      <c r="AH382" s="1">
        <v>0</v>
      </c>
      <c r="AI382" s="1" t="s">
        <v>290</v>
      </c>
      <c r="AJ382" s="1" t="s">
        <v>645</v>
      </c>
      <c r="AK382" s="1" t="s">
        <v>17</v>
      </c>
      <c r="AL382" s="1" t="s">
        <v>86</v>
      </c>
      <c r="AM382" s="1" t="s">
        <v>279</v>
      </c>
      <c r="AN382" s="1" t="s">
        <v>21</v>
      </c>
      <c r="AO382" s="1" t="s">
        <v>280</v>
      </c>
      <c r="AP382" s="1" t="s">
        <v>324</v>
      </c>
      <c r="AQ382" s="1" t="s">
        <v>20</v>
      </c>
    </row>
    <row r="383" spans="1:43" x14ac:dyDescent="0.3">
      <c r="A383" s="1">
        <v>24862054</v>
      </c>
      <c r="B383" s="1">
        <v>25700966</v>
      </c>
      <c r="C383" s="1" t="s">
        <v>266</v>
      </c>
      <c r="D383" s="4">
        <v>46206.600185185183</v>
      </c>
      <c r="E383" s="4">
        <v>46206.71979166667</v>
      </c>
      <c r="F383" s="1" t="s">
        <v>22</v>
      </c>
      <c r="G383" s="1" t="s">
        <v>22</v>
      </c>
      <c r="H383" s="1" t="s">
        <v>1563</v>
      </c>
      <c r="I383" s="1" t="s">
        <v>17</v>
      </c>
      <c r="J383" s="1" t="s">
        <v>1564</v>
      </c>
      <c r="K383" s="1" t="s">
        <v>372</v>
      </c>
      <c r="L383" s="1" t="s">
        <v>284</v>
      </c>
      <c r="M383" s="4">
        <v>46206</v>
      </c>
      <c r="N383" s="1" t="s">
        <v>1563</v>
      </c>
      <c r="O383" s="1" t="s">
        <v>93</v>
      </c>
      <c r="P383" s="1" t="s">
        <v>271</v>
      </c>
      <c r="Q383" s="1" t="s">
        <v>320</v>
      </c>
      <c r="R383" s="1" t="s">
        <v>373</v>
      </c>
      <c r="S383" s="1" t="s">
        <v>7</v>
      </c>
      <c r="T383" s="1" t="s">
        <v>274</v>
      </c>
      <c r="U383" s="1" t="s">
        <v>202</v>
      </c>
      <c r="V383" s="1" t="s">
        <v>1562</v>
      </c>
      <c r="W383" s="1" t="s">
        <v>93</v>
      </c>
      <c r="X383" s="1" t="s">
        <v>276</v>
      </c>
      <c r="Y383" s="1">
        <v>5232184628</v>
      </c>
      <c r="Z383" s="1" t="s">
        <v>53</v>
      </c>
      <c r="AA383" s="1" t="s">
        <v>93</v>
      </c>
      <c r="AB383" s="1">
        <v>0</v>
      </c>
      <c r="AC383" s="1">
        <v>0</v>
      </c>
      <c r="AD383" s="1">
        <v>500</v>
      </c>
      <c r="AE383" s="1">
        <v>0</v>
      </c>
      <c r="AF383" s="1">
        <v>28.78</v>
      </c>
      <c r="AG383" s="1">
        <v>0</v>
      </c>
      <c r="AH383" s="1">
        <v>0</v>
      </c>
      <c r="AI383" s="1" t="s">
        <v>290</v>
      </c>
      <c r="AJ383" s="1" t="s">
        <v>641</v>
      </c>
      <c r="AK383" s="1" t="s">
        <v>17</v>
      </c>
      <c r="AL383" s="1" t="s">
        <v>67</v>
      </c>
      <c r="AM383" s="1" t="s">
        <v>323</v>
      </c>
      <c r="AN383" s="1" t="s">
        <v>21</v>
      </c>
      <c r="AO383" s="1" t="s">
        <v>280</v>
      </c>
      <c r="AP383" s="1" t="s">
        <v>324</v>
      </c>
      <c r="AQ383" s="1" t="s">
        <v>27</v>
      </c>
    </row>
    <row r="384" spans="1:43" x14ac:dyDescent="0.3">
      <c r="A384" s="1">
        <v>24847777</v>
      </c>
      <c r="B384" s="1">
        <v>25684262</v>
      </c>
      <c r="C384" s="1" t="s">
        <v>266</v>
      </c>
      <c r="D384" s="4">
        <v>46204.451689814807</v>
      </c>
      <c r="E384" s="4">
        <v>46209.23642361111</v>
      </c>
      <c r="F384" s="1" t="s">
        <v>19</v>
      </c>
      <c r="G384" s="1" t="s">
        <v>22</v>
      </c>
      <c r="H384" s="1" t="s">
        <v>1565</v>
      </c>
      <c r="I384" s="1" t="s">
        <v>268</v>
      </c>
      <c r="J384" s="1" t="s">
        <v>1566</v>
      </c>
      <c r="K384" s="1" t="s">
        <v>1502</v>
      </c>
      <c r="L384" s="1" t="s">
        <v>1502</v>
      </c>
      <c r="M384" s="4">
        <v>46204.411111111112</v>
      </c>
      <c r="N384" s="1">
        <v>21521</v>
      </c>
      <c r="O384" s="1" t="s">
        <v>93</v>
      </c>
      <c r="P384" s="1" t="s">
        <v>342</v>
      </c>
      <c r="Q384" s="1" t="s">
        <v>286</v>
      </c>
      <c r="R384" s="1" t="s">
        <v>439</v>
      </c>
      <c r="S384" s="1" t="s">
        <v>7</v>
      </c>
      <c r="T384" s="1" t="s">
        <v>274</v>
      </c>
      <c r="U384" s="1" t="s">
        <v>147</v>
      </c>
      <c r="V384" s="1" t="s">
        <v>728</v>
      </c>
      <c r="W384" s="1" t="s">
        <v>93</v>
      </c>
      <c r="X384" s="1" t="s">
        <v>276</v>
      </c>
      <c r="Y384" s="1">
        <v>5232211049</v>
      </c>
      <c r="Z384" s="1" t="s">
        <v>58</v>
      </c>
      <c r="AA384" s="1" t="s">
        <v>93</v>
      </c>
      <c r="AB384" s="1">
        <v>4089.51</v>
      </c>
      <c r="AC384" s="1">
        <v>429.87</v>
      </c>
      <c r="AD384" s="1">
        <v>0</v>
      </c>
      <c r="AE384" s="1">
        <v>0</v>
      </c>
      <c r="AF384" s="1">
        <v>0</v>
      </c>
      <c r="AG384" s="1">
        <v>0</v>
      </c>
      <c r="AH384" s="1">
        <v>0</v>
      </c>
      <c r="AI384" s="1" t="s">
        <v>1567</v>
      </c>
      <c r="AJ384" s="1" t="s">
        <v>1486</v>
      </c>
      <c r="AK384" s="1" t="s">
        <v>13</v>
      </c>
      <c r="AL384" s="1" t="s">
        <v>77</v>
      </c>
      <c r="AM384" s="1" t="s">
        <v>279</v>
      </c>
      <c r="AN384" s="1" t="s">
        <v>21</v>
      </c>
      <c r="AO384" s="1" t="s">
        <v>280</v>
      </c>
      <c r="AP384" s="1" t="s">
        <v>281</v>
      </c>
      <c r="AQ384" s="1" t="s">
        <v>37</v>
      </c>
    </row>
    <row r="385" spans="1:43" x14ac:dyDescent="0.3">
      <c r="A385" s="1">
        <v>24862055</v>
      </c>
      <c r="B385" s="1">
        <v>25700967</v>
      </c>
      <c r="C385" s="1" t="s">
        <v>266</v>
      </c>
      <c r="D385" s="4">
        <v>46206.60052083333</v>
      </c>
      <c r="E385" s="4">
        <v>46206.71979166667</v>
      </c>
      <c r="F385" s="1" t="s">
        <v>22</v>
      </c>
      <c r="G385" s="1" t="s">
        <v>22</v>
      </c>
      <c r="H385" s="1" t="s">
        <v>1568</v>
      </c>
      <c r="I385" s="1" t="s">
        <v>17</v>
      </c>
      <c r="J385" s="1" t="s">
        <v>1569</v>
      </c>
      <c r="K385" s="1" t="s">
        <v>1570</v>
      </c>
      <c r="L385" s="1" t="s">
        <v>284</v>
      </c>
      <c r="M385" s="4">
        <v>46206.39166666667</v>
      </c>
      <c r="N385" s="1" t="s">
        <v>1568</v>
      </c>
      <c r="O385" s="1" t="s">
        <v>93</v>
      </c>
      <c r="P385" s="1" t="s">
        <v>271</v>
      </c>
      <c r="Q385" s="1" t="s">
        <v>320</v>
      </c>
      <c r="R385" s="1" t="s">
        <v>373</v>
      </c>
      <c r="S385" s="1" t="s">
        <v>7</v>
      </c>
      <c r="T385" s="1" t="s">
        <v>274</v>
      </c>
      <c r="U385" s="1" t="s">
        <v>182</v>
      </c>
      <c r="V385" s="1" t="s">
        <v>1200</v>
      </c>
      <c r="W385" s="1" t="s">
        <v>93</v>
      </c>
      <c r="X385" s="1" t="s">
        <v>276</v>
      </c>
      <c r="Y385" s="1">
        <v>5232184632</v>
      </c>
      <c r="Z385" s="1" t="s">
        <v>53</v>
      </c>
      <c r="AA385" s="1" t="s">
        <v>93</v>
      </c>
      <c r="AB385" s="1">
        <v>0</v>
      </c>
      <c r="AC385" s="1">
        <v>0</v>
      </c>
      <c r="AD385" s="1">
        <v>500</v>
      </c>
      <c r="AE385" s="1">
        <v>0</v>
      </c>
      <c r="AF385" s="1">
        <v>4.67</v>
      </c>
      <c r="AG385" s="1">
        <v>0</v>
      </c>
      <c r="AH385" s="1">
        <v>0</v>
      </c>
      <c r="AI385" s="1" t="s">
        <v>290</v>
      </c>
      <c r="AJ385" s="1" t="s">
        <v>322</v>
      </c>
      <c r="AK385" s="1" t="s">
        <v>17</v>
      </c>
      <c r="AL385" s="1" t="s">
        <v>67</v>
      </c>
      <c r="AM385" s="1" t="s">
        <v>323</v>
      </c>
      <c r="AN385" s="1" t="s">
        <v>21</v>
      </c>
      <c r="AO385" s="1" t="s">
        <v>280</v>
      </c>
      <c r="AP385" s="1" t="s">
        <v>281</v>
      </c>
      <c r="AQ385" s="1" t="s">
        <v>37</v>
      </c>
    </row>
    <row r="386" spans="1:43" x14ac:dyDescent="0.3">
      <c r="A386" s="1">
        <v>24862058</v>
      </c>
      <c r="B386" s="1">
        <v>25700970</v>
      </c>
      <c r="C386" s="1" t="s">
        <v>266</v>
      </c>
      <c r="D386" s="4">
        <v>46206.600775462961</v>
      </c>
      <c r="E386" s="4">
        <v>46206.719814814824</v>
      </c>
      <c r="F386" s="1" t="s">
        <v>22</v>
      </c>
      <c r="G386" s="1" t="s">
        <v>22</v>
      </c>
      <c r="H386" s="1" t="s">
        <v>1571</v>
      </c>
      <c r="I386" s="1" t="s">
        <v>17</v>
      </c>
      <c r="J386" s="1" t="s">
        <v>1569</v>
      </c>
      <c r="K386" s="1" t="s">
        <v>1570</v>
      </c>
      <c r="L386" s="1" t="s">
        <v>284</v>
      </c>
      <c r="M386" s="4">
        <v>46206.400694444441</v>
      </c>
      <c r="N386" s="1" t="s">
        <v>1571</v>
      </c>
      <c r="O386" s="1" t="s">
        <v>93</v>
      </c>
      <c r="P386" s="1" t="s">
        <v>271</v>
      </c>
      <c r="Q386" s="1" t="s">
        <v>320</v>
      </c>
      <c r="R386" s="1" t="s">
        <v>373</v>
      </c>
      <c r="S386" s="1" t="s">
        <v>7</v>
      </c>
      <c r="T386" s="1" t="s">
        <v>274</v>
      </c>
      <c r="U386" s="1" t="s">
        <v>182</v>
      </c>
      <c r="V386" s="1" t="s">
        <v>1200</v>
      </c>
      <c r="W386" s="1" t="s">
        <v>93</v>
      </c>
      <c r="X386" s="1" t="s">
        <v>276</v>
      </c>
      <c r="Y386" s="1">
        <v>5232184637</v>
      </c>
      <c r="Z386" s="1" t="s">
        <v>53</v>
      </c>
      <c r="AA386" s="1" t="s">
        <v>93</v>
      </c>
      <c r="AB386" s="1">
        <v>0</v>
      </c>
      <c r="AC386" s="1">
        <v>0</v>
      </c>
      <c r="AD386" s="1">
        <v>500</v>
      </c>
      <c r="AE386" s="1">
        <v>0</v>
      </c>
      <c r="AF386" s="1">
        <v>7.83</v>
      </c>
      <c r="AG386" s="1">
        <v>0</v>
      </c>
      <c r="AH386" s="1">
        <v>0</v>
      </c>
      <c r="AI386" s="1" t="s">
        <v>290</v>
      </c>
      <c r="AJ386" s="1" t="s">
        <v>322</v>
      </c>
      <c r="AK386" s="1" t="s">
        <v>17</v>
      </c>
      <c r="AL386" s="1" t="s">
        <v>67</v>
      </c>
      <c r="AM386" s="1" t="s">
        <v>323</v>
      </c>
      <c r="AN386" s="1" t="s">
        <v>21</v>
      </c>
      <c r="AO386" s="1" t="s">
        <v>280</v>
      </c>
      <c r="AP386" s="1" t="s">
        <v>281</v>
      </c>
      <c r="AQ386" s="1" t="s">
        <v>37</v>
      </c>
    </row>
    <row r="387" spans="1:43" x14ac:dyDescent="0.3">
      <c r="A387" s="1">
        <v>24860639</v>
      </c>
      <c r="B387" s="1">
        <v>25699297</v>
      </c>
      <c r="C387" s="1" t="s">
        <v>266</v>
      </c>
      <c r="D387" s="4">
        <v>46206.460185185177</v>
      </c>
      <c r="E387" s="4">
        <v>46206.462175925917</v>
      </c>
      <c r="F387" s="1" t="s">
        <v>22</v>
      </c>
      <c r="G387" s="1" t="s">
        <v>22</v>
      </c>
      <c r="H387" s="1" t="s">
        <v>1572</v>
      </c>
      <c r="I387" s="1" t="s">
        <v>268</v>
      </c>
      <c r="J387" s="1" t="s">
        <v>1573</v>
      </c>
      <c r="K387" s="1" t="s">
        <v>376</v>
      </c>
      <c r="L387" s="1" t="s">
        <v>270</v>
      </c>
      <c r="M387" s="4">
        <v>46108.623611111107</v>
      </c>
      <c r="N387" s="1">
        <v>135792</v>
      </c>
      <c r="O387" s="1" t="s">
        <v>93</v>
      </c>
      <c r="P387" s="1" t="s">
        <v>271</v>
      </c>
      <c r="Q387" s="1" t="s">
        <v>303</v>
      </c>
      <c r="R387" s="1" t="s">
        <v>272</v>
      </c>
      <c r="S387" s="1" t="s">
        <v>7</v>
      </c>
      <c r="T387" s="1" t="s">
        <v>274</v>
      </c>
      <c r="U387" s="1" t="s">
        <v>197</v>
      </c>
      <c r="V387" s="1" t="s">
        <v>440</v>
      </c>
      <c r="W387" s="1" t="s">
        <v>93</v>
      </c>
      <c r="X387" s="1" t="s">
        <v>276</v>
      </c>
      <c r="Y387" s="1">
        <v>2279868353</v>
      </c>
      <c r="Z387" s="1" t="s">
        <v>114</v>
      </c>
      <c r="AA387" s="1" t="s">
        <v>93</v>
      </c>
      <c r="AB387" s="1">
        <v>1019.91</v>
      </c>
      <c r="AC387" s="1">
        <v>96.73</v>
      </c>
      <c r="AD387" s="1">
        <v>0</v>
      </c>
      <c r="AE387" s="1">
        <v>0</v>
      </c>
      <c r="AF387" s="1">
        <v>0</v>
      </c>
      <c r="AG387" s="1">
        <v>0</v>
      </c>
      <c r="AH387" s="1">
        <v>0</v>
      </c>
      <c r="AI387" s="1" t="s">
        <v>1574</v>
      </c>
      <c r="AJ387" s="1" t="s">
        <v>380</v>
      </c>
      <c r="AK387" s="1" t="s">
        <v>13</v>
      </c>
      <c r="AL387" s="1" t="s">
        <v>75</v>
      </c>
      <c r="AM387" s="1" t="s">
        <v>337</v>
      </c>
      <c r="AN387" s="1" t="s">
        <v>21</v>
      </c>
      <c r="AO387" s="1" t="s">
        <v>280</v>
      </c>
      <c r="AP387" s="1" t="s">
        <v>324</v>
      </c>
      <c r="AQ387" s="1" t="s">
        <v>125</v>
      </c>
    </row>
    <row r="388" spans="1:43" x14ac:dyDescent="0.3">
      <c r="A388" s="1">
        <v>24859364</v>
      </c>
      <c r="B388" s="1">
        <v>25697858</v>
      </c>
      <c r="C388" s="1" t="s">
        <v>266</v>
      </c>
      <c r="D388" s="4">
        <v>46205.977662037039</v>
      </c>
      <c r="E388" s="4">
        <v>46209.23642361111</v>
      </c>
      <c r="F388" s="1" t="s">
        <v>19</v>
      </c>
      <c r="G388" s="1" t="s">
        <v>22</v>
      </c>
      <c r="H388" s="1" t="s">
        <v>1575</v>
      </c>
      <c r="I388" s="1" t="s">
        <v>268</v>
      </c>
      <c r="J388" s="1" t="s">
        <v>1233</v>
      </c>
      <c r="K388" s="1" t="s">
        <v>1570</v>
      </c>
      <c r="L388" s="1" t="s">
        <v>1570</v>
      </c>
      <c r="M388" s="4">
        <v>46205.738888888889</v>
      </c>
      <c r="N388" s="1">
        <v>116313</v>
      </c>
      <c r="O388" s="1" t="s">
        <v>93</v>
      </c>
      <c r="P388" s="1" t="s">
        <v>271</v>
      </c>
      <c r="Q388" s="1" t="s">
        <v>286</v>
      </c>
      <c r="R388" s="1" t="s">
        <v>439</v>
      </c>
      <c r="S388" s="1" t="s">
        <v>7</v>
      </c>
      <c r="T388" s="1" t="s">
        <v>274</v>
      </c>
      <c r="U388" s="1" t="s">
        <v>149</v>
      </c>
      <c r="V388" s="1" t="s">
        <v>837</v>
      </c>
      <c r="W388" s="1" t="s">
        <v>93</v>
      </c>
      <c r="X388" s="1" t="s">
        <v>276</v>
      </c>
      <c r="Y388" s="1">
        <v>2294306326</v>
      </c>
      <c r="Z388" s="1" t="s">
        <v>48</v>
      </c>
      <c r="AA388" s="1" t="s">
        <v>93</v>
      </c>
      <c r="AB388" s="1">
        <v>2254.44</v>
      </c>
      <c r="AC388" s="1">
        <v>88.09</v>
      </c>
      <c r="AD388" s="1">
        <v>0</v>
      </c>
      <c r="AE388" s="1">
        <v>0</v>
      </c>
      <c r="AF388" s="1">
        <v>0</v>
      </c>
      <c r="AG388" s="1">
        <v>0</v>
      </c>
      <c r="AH388" s="1">
        <v>0</v>
      </c>
      <c r="AI388" s="1" t="s">
        <v>1576</v>
      </c>
      <c r="AJ388" s="1" t="s">
        <v>1486</v>
      </c>
      <c r="AK388" s="1" t="s">
        <v>13</v>
      </c>
      <c r="AL388" s="1" t="s">
        <v>77</v>
      </c>
      <c r="AM388" s="1" t="s">
        <v>279</v>
      </c>
      <c r="AN388" s="1" t="s">
        <v>21</v>
      </c>
      <c r="AO388" s="1" t="s">
        <v>280</v>
      </c>
      <c r="AP388" s="1" t="s">
        <v>281</v>
      </c>
      <c r="AQ388" s="1" t="s">
        <v>37</v>
      </c>
    </row>
    <row r="389" spans="1:43" x14ac:dyDescent="0.3">
      <c r="A389" s="1">
        <v>24857184</v>
      </c>
      <c r="B389" s="1">
        <v>25695177</v>
      </c>
      <c r="C389" s="1" t="s">
        <v>266</v>
      </c>
      <c r="D389" s="4">
        <v>46205.750416666669</v>
      </c>
      <c r="E389" s="4">
        <v>46209.23642361111</v>
      </c>
      <c r="F389" s="1" t="s">
        <v>19</v>
      </c>
      <c r="G389" s="1" t="s">
        <v>22</v>
      </c>
      <c r="H389" s="1" t="s">
        <v>1577</v>
      </c>
      <c r="I389" s="1" t="s">
        <v>268</v>
      </c>
      <c r="J389" s="1" t="s">
        <v>1578</v>
      </c>
      <c r="K389" s="1" t="s">
        <v>1570</v>
      </c>
      <c r="L389" s="1" t="s">
        <v>1570</v>
      </c>
      <c r="M389" s="4">
        <v>46205.580555555563</v>
      </c>
      <c r="N389" s="1">
        <v>116266</v>
      </c>
      <c r="O389" s="1" t="s">
        <v>93</v>
      </c>
      <c r="P389" s="1" t="s">
        <v>271</v>
      </c>
      <c r="Q389" s="1" t="s">
        <v>286</v>
      </c>
      <c r="R389" s="1" t="s">
        <v>439</v>
      </c>
      <c r="S389" s="1" t="s">
        <v>7</v>
      </c>
      <c r="T389" s="1" t="s">
        <v>274</v>
      </c>
      <c r="U389" s="1" t="s">
        <v>149</v>
      </c>
      <c r="V389" s="1" t="s">
        <v>837</v>
      </c>
      <c r="W389" s="1" t="s">
        <v>93</v>
      </c>
      <c r="X389" s="1" t="s">
        <v>276</v>
      </c>
      <c r="Y389" s="1">
        <v>2294261418</v>
      </c>
      <c r="Z389" s="1" t="s">
        <v>48</v>
      </c>
      <c r="AA389" s="1" t="s">
        <v>93</v>
      </c>
      <c r="AB389" s="1">
        <v>457.46</v>
      </c>
      <c r="AC389" s="1">
        <v>108.09</v>
      </c>
      <c r="AD389" s="1">
        <v>0</v>
      </c>
      <c r="AE389" s="1">
        <v>0</v>
      </c>
      <c r="AF389" s="1">
        <v>0</v>
      </c>
      <c r="AG389" s="1">
        <v>0</v>
      </c>
      <c r="AH389" s="1">
        <v>0</v>
      </c>
      <c r="AI389" s="1" t="s">
        <v>1579</v>
      </c>
      <c r="AJ389" s="1" t="s">
        <v>1486</v>
      </c>
      <c r="AK389" s="1" t="s">
        <v>13</v>
      </c>
      <c r="AL389" s="1" t="s">
        <v>77</v>
      </c>
      <c r="AM389" s="1" t="s">
        <v>279</v>
      </c>
      <c r="AN389" s="1" t="s">
        <v>21</v>
      </c>
      <c r="AO389" s="1" t="s">
        <v>280</v>
      </c>
      <c r="AP389" s="1" t="s">
        <v>281</v>
      </c>
      <c r="AQ389" s="1" t="s">
        <v>37</v>
      </c>
    </row>
    <row r="390" spans="1:43" x14ac:dyDescent="0.3">
      <c r="A390" s="1">
        <v>24859344</v>
      </c>
      <c r="B390" s="1">
        <v>25697836</v>
      </c>
      <c r="C390" s="1" t="s">
        <v>266</v>
      </c>
      <c r="D390" s="4">
        <v>46205.976076388892</v>
      </c>
      <c r="E390" s="4">
        <v>46209.23642361111</v>
      </c>
      <c r="F390" s="1" t="s">
        <v>19</v>
      </c>
      <c r="G390" s="1" t="s">
        <v>22</v>
      </c>
      <c r="H390" s="1" t="s">
        <v>1580</v>
      </c>
      <c r="I390" s="1" t="s">
        <v>268</v>
      </c>
      <c r="J390" s="1" t="s">
        <v>1488</v>
      </c>
      <c r="K390" s="1" t="s">
        <v>1570</v>
      </c>
      <c r="L390" s="1" t="s">
        <v>1570</v>
      </c>
      <c r="M390" s="4">
        <v>46205.736111111109</v>
      </c>
      <c r="N390" s="1">
        <v>116398</v>
      </c>
      <c r="O390" s="1" t="s">
        <v>93</v>
      </c>
      <c r="P390" s="1" t="s">
        <v>271</v>
      </c>
      <c r="Q390" s="1" t="s">
        <v>286</v>
      </c>
      <c r="R390" s="1" t="s">
        <v>439</v>
      </c>
      <c r="S390" s="1" t="s">
        <v>7</v>
      </c>
      <c r="T390" s="1" t="s">
        <v>274</v>
      </c>
      <c r="U390" s="1" t="s">
        <v>149</v>
      </c>
      <c r="V390" s="1" t="s">
        <v>837</v>
      </c>
      <c r="W390" s="1" t="s">
        <v>93</v>
      </c>
      <c r="X390" s="1" t="s">
        <v>276</v>
      </c>
      <c r="Y390" s="1">
        <v>2294304745</v>
      </c>
      <c r="Z390" s="1" t="s">
        <v>48</v>
      </c>
      <c r="AA390" s="1" t="s">
        <v>93</v>
      </c>
      <c r="AB390" s="1">
        <v>787.73</v>
      </c>
      <c r="AC390" s="1">
        <v>33.64</v>
      </c>
      <c r="AD390" s="1">
        <v>0</v>
      </c>
      <c r="AE390" s="1">
        <v>0</v>
      </c>
      <c r="AF390" s="1">
        <v>0</v>
      </c>
      <c r="AG390" s="1">
        <v>0</v>
      </c>
      <c r="AH390" s="1">
        <v>0</v>
      </c>
      <c r="AI390" s="1" t="s">
        <v>1490</v>
      </c>
      <c r="AJ390" s="1" t="s">
        <v>1486</v>
      </c>
      <c r="AK390" s="1" t="s">
        <v>13</v>
      </c>
      <c r="AL390" s="1" t="s">
        <v>77</v>
      </c>
      <c r="AM390" s="1" t="s">
        <v>279</v>
      </c>
      <c r="AN390" s="1" t="s">
        <v>21</v>
      </c>
      <c r="AO390" s="1" t="s">
        <v>280</v>
      </c>
      <c r="AP390" s="1" t="s">
        <v>281</v>
      </c>
      <c r="AQ390" s="1" t="s">
        <v>37</v>
      </c>
    </row>
    <row r="391" spans="1:43" x14ac:dyDescent="0.3">
      <c r="A391" s="1">
        <v>24858270</v>
      </c>
      <c r="B391" s="1">
        <v>25696523</v>
      </c>
      <c r="C391" s="1" t="s">
        <v>266</v>
      </c>
      <c r="D391" s="4">
        <v>46205.870833333327</v>
      </c>
      <c r="E391" s="4">
        <v>46206.719444444447</v>
      </c>
      <c r="F391" s="1" t="s">
        <v>22</v>
      </c>
      <c r="G391" s="1" t="s">
        <v>22</v>
      </c>
      <c r="H391" s="1" t="s">
        <v>1581</v>
      </c>
      <c r="I391" s="1" t="s">
        <v>17</v>
      </c>
      <c r="J391" s="1" t="s">
        <v>629</v>
      </c>
      <c r="K391" s="1" t="s">
        <v>472</v>
      </c>
      <c r="L391" s="1" t="s">
        <v>284</v>
      </c>
      <c r="M391" s="4">
        <v>46205.644444444442</v>
      </c>
      <c r="N391" s="1" t="s">
        <v>1581</v>
      </c>
      <c r="O391" s="1" t="s">
        <v>93</v>
      </c>
      <c r="P391" s="1" t="s">
        <v>271</v>
      </c>
      <c r="Q391" s="1" t="s">
        <v>286</v>
      </c>
      <c r="R391" s="1" t="s">
        <v>286</v>
      </c>
      <c r="S391" s="1" t="s">
        <v>7</v>
      </c>
      <c r="T391" s="1" t="s">
        <v>274</v>
      </c>
      <c r="U391" s="1" t="s">
        <v>183</v>
      </c>
      <c r="V391" s="1" t="s">
        <v>529</v>
      </c>
      <c r="W391" s="1" t="s">
        <v>288</v>
      </c>
      <c r="X391" s="1" t="s">
        <v>276</v>
      </c>
      <c r="Y391" s="1">
        <v>5232184627</v>
      </c>
      <c r="Z391" s="1" t="s">
        <v>97</v>
      </c>
      <c r="AA391" s="1" t="s">
        <v>93</v>
      </c>
      <c r="AB391" s="1">
        <v>592.23</v>
      </c>
      <c r="AC391" s="1">
        <v>0</v>
      </c>
      <c r="AD391" s="1">
        <v>443.53</v>
      </c>
      <c r="AE391" s="1">
        <v>0</v>
      </c>
      <c r="AF391" s="1">
        <v>0</v>
      </c>
      <c r="AG391" s="1">
        <v>0</v>
      </c>
      <c r="AH391" s="1">
        <v>0</v>
      </c>
      <c r="AI391" s="1" t="s">
        <v>290</v>
      </c>
      <c r="AJ391" s="1" t="s">
        <v>1098</v>
      </c>
      <c r="AK391" s="1" t="s">
        <v>17</v>
      </c>
      <c r="AL391" s="1" t="s">
        <v>71</v>
      </c>
      <c r="AM391" s="1" t="s">
        <v>337</v>
      </c>
      <c r="AN391" s="1" t="s">
        <v>21</v>
      </c>
      <c r="AO391" s="1" t="s">
        <v>280</v>
      </c>
      <c r="AP391" s="1" t="s">
        <v>324</v>
      </c>
      <c r="AQ391" s="1" t="s">
        <v>27</v>
      </c>
    </row>
    <row r="392" spans="1:43" x14ac:dyDescent="0.3">
      <c r="A392" s="1">
        <v>24862056</v>
      </c>
      <c r="B392" s="1">
        <v>25700968</v>
      </c>
      <c r="C392" s="1" t="s">
        <v>266</v>
      </c>
      <c r="D392" s="4">
        <v>46206.600590277783</v>
      </c>
      <c r="E392" s="4">
        <v>46206.719814814824</v>
      </c>
      <c r="F392" s="1" t="s">
        <v>22</v>
      </c>
      <c r="G392" s="1" t="s">
        <v>22</v>
      </c>
      <c r="H392" s="1" t="s">
        <v>1582</v>
      </c>
      <c r="I392" s="1" t="s">
        <v>17</v>
      </c>
      <c r="J392" s="1" t="s">
        <v>1583</v>
      </c>
      <c r="K392" s="1" t="s">
        <v>1570</v>
      </c>
      <c r="L392" s="1" t="s">
        <v>314</v>
      </c>
      <c r="M392" s="4">
        <v>46206.345138888893</v>
      </c>
      <c r="N392" s="1" t="s">
        <v>1582</v>
      </c>
      <c r="O392" s="1" t="s">
        <v>93</v>
      </c>
      <c r="P392" s="1" t="s">
        <v>271</v>
      </c>
      <c r="Q392" s="1" t="s">
        <v>320</v>
      </c>
      <c r="R392" s="1" t="s">
        <v>373</v>
      </c>
      <c r="S392" s="1" t="s">
        <v>7</v>
      </c>
      <c r="T392" s="1" t="s">
        <v>274</v>
      </c>
      <c r="U392" s="1" t="s">
        <v>205</v>
      </c>
      <c r="V392" s="1" t="s">
        <v>474</v>
      </c>
      <c r="W392" s="1" t="s">
        <v>93</v>
      </c>
      <c r="X392" s="1" t="s">
        <v>276</v>
      </c>
      <c r="Y392" s="1">
        <v>5232184633</v>
      </c>
      <c r="Z392" s="1" t="s">
        <v>56</v>
      </c>
      <c r="AA392" s="1" t="s">
        <v>93</v>
      </c>
      <c r="AB392" s="1">
        <v>0</v>
      </c>
      <c r="AC392" s="1">
        <v>0</v>
      </c>
      <c r="AD392" s="1">
        <v>471.06</v>
      </c>
      <c r="AE392" s="1">
        <v>0</v>
      </c>
      <c r="AF392" s="1">
        <v>0</v>
      </c>
      <c r="AG392" s="1">
        <v>0</v>
      </c>
      <c r="AH392" s="1">
        <v>0</v>
      </c>
      <c r="AI392" s="1" t="s">
        <v>290</v>
      </c>
      <c r="AJ392" s="1" t="s">
        <v>641</v>
      </c>
      <c r="AK392" s="1" t="s">
        <v>17</v>
      </c>
      <c r="AL392" s="1" t="s">
        <v>67</v>
      </c>
      <c r="AM392" s="1" t="s">
        <v>323</v>
      </c>
      <c r="AN392" s="1" t="s">
        <v>21</v>
      </c>
      <c r="AO392" s="1" t="s">
        <v>280</v>
      </c>
      <c r="AP392" s="1" t="s">
        <v>281</v>
      </c>
      <c r="AQ392" s="1" t="s">
        <v>37</v>
      </c>
    </row>
    <row r="393" spans="1:43" x14ac:dyDescent="0.3">
      <c r="A393" s="1">
        <v>24861401</v>
      </c>
      <c r="B393" s="1">
        <v>25700198</v>
      </c>
      <c r="C393" s="1" t="s">
        <v>266</v>
      </c>
      <c r="D393" s="4">
        <v>46206.520833333343</v>
      </c>
      <c r="E393" s="4">
        <v>46206.524444444447</v>
      </c>
      <c r="F393" s="1" t="s">
        <v>22</v>
      </c>
      <c r="G393" s="1" t="s">
        <v>22</v>
      </c>
      <c r="H393" s="1" t="s">
        <v>1584</v>
      </c>
      <c r="I393" s="1" t="s">
        <v>268</v>
      </c>
      <c r="J393" s="1" t="s">
        <v>326</v>
      </c>
      <c r="K393" s="1" t="s">
        <v>270</v>
      </c>
      <c r="L393" s="1" t="s">
        <v>270</v>
      </c>
      <c r="M393" s="4">
        <v>46178.748171296298</v>
      </c>
      <c r="N393" s="1">
        <v>38726</v>
      </c>
      <c r="O393" s="1" t="s">
        <v>93</v>
      </c>
      <c r="P393" s="1" t="s">
        <v>271</v>
      </c>
      <c r="Q393" s="1" t="s">
        <v>303</v>
      </c>
      <c r="R393" s="1" t="s">
        <v>272</v>
      </c>
      <c r="S393" s="1" t="s">
        <v>7</v>
      </c>
      <c r="T393" s="1" t="s">
        <v>365</v>
      </c>
      <c r="U393" s="1" t="s">
        <v>204</v>
      </c>
      <c r="V393" s="1" t="s">
        <v>1585</v>
      </c>
      <c r="W393" s="1" t="s">
        <v>93</v>
      </c>
      <c r="X393" s="1" t="s">
        <v>276</v>
      </c>
      <c r="Y393" s="1">
        <v>3025700198</v>
      </c>
      <c r="Z393" s="1" t="s">
        <v>115</v>
      </c>
      <c r="AA393" s="1" t="s">
        <v>93</v>
      </c>
      <c r="AB393" s="1">
        <v>329.76</v>
      </c>
      <c r="AC393" s="1">
        <v>33.64</v>
      </c>
      <c r="AD393" s="1">
        <v>0</v>
      </c>
      <c r="AE393" s="1">
        <v>0</v>
      </c>
      <c r="AF393" s="1">
        <v>0</v>
      </c>
      <c r="AG393" s="1">
        <v>0</v>
      </c>
      <c r="AH393" s="1">
        <v>0</v>
      </c>
      <c r="AI393" s="1" t="s">
        <v>1586</v>
      </c>
      <c r="AJ393" s="1" t="s">
        <v>462</v>
      </c>
      <c r="AK393" s="1" t="s">
        <v>13</v>
      </c>
      <c r="AL393" s="1" t="s">
        <v>78</v>
      </c>
      <c r="AM393" s="1" t="s">
        <v>337</v>
      </c>
      <c r="AN393" s="1" t="s">
        <v>21</v>
      </c>
      <c r="AO393" s="1" t="s">
        <v>280</v>
      </c>
      <c r="AP393" s="1" t="s">
        <v>281</v>
      </c>
      <c r="AQ393" s="1" t="s">
        <v>37</v>
      </c>
    </row>
    <row r="394" spans="1:43" x14ac:dyDescent="0.3">
      <c r="A394" s="1">
        <v>24844803</v>
      </c>
      <c r="B394" s="1">
        <v>25681178</v>
      </c>
      <c r="C394" s="1" t="s">
        <v>266</v>
      </c>
      <c r="D394" s="4">
        <v>46203.801655092589</v>
      </c>
      <c r="E394" s="4">
        <v>46206.715729166674</v>
      </c>
      <c r="F394" s="1" t="s">
        <v>22</v>
      </c>
      <c r="G394" s="1" t="s">
        <v>24</v>
      </c>
      <c r="H394" s="1" t="s">
        <v>1587</v>
      </c>
      <c r="I394" s="1" t="s">
        <v>17</v>
      </c>
      <c r="J394" s="1" t="s">
        <v>1588</v>
      </c>
      <c r="K394" s="1" t="s">
        <v>372</v>
      </c>
      <c r="L394" s="1" t="s">
        <v>1059</v>
      </c>
      <c r="M394" s="4">
        <v>46199.638194444437</v>
      </c>
      <c r="N394" s="1" t="s">
        <v>1589</v>
      </c>
      <c r="O394" s="1" t="s">
        <v>93</v>
      </c>
      <c r="P394" s="1" t="s">
        <v>271</v>
      </c>
      <c r="Q394" s="1" t="s">
        <v>303</v>
      </c>
      <c r="R394" s="1" t="s">
        <v>272</v>
      </c>
      <c r="S394" s="1" t="s">
        <v>7</v>
      </c>
      <c r="T394" s="1" t="s">
        <v>274</v>
      </c>
      <c r="U394" s="1" t="s">
        <v>177</v>
      </c>
      <c r="V394" s="1" t="s">
        <v>334</v>
      </c>
      <c r="W394" s="1" t="s">
        <v>288</v>
      </c>
      <c r="X394" s="1" t="s">
        <v>276</v>
      </c>
      <c r="Y394" s="1">
        <v>2615540228</v>
      </c>
      <c r="Z394" s="1" t="s">
        <v>56</v>
      </c>
      <c r="AA394" s="1" t="s">
        <v>93</v>
      </c>
      <c r="AB394" s="1">
        <v>3148.0147999999999</v>
      </c>
      <c r="AC394" s="1">
        <v>95.01</v>
      </c>
      <c r="AD394" s="1">
        <v>0</v>
      </c>
      <c r="AE394" s="1">
        <v>0</v>
      </c>
      <c r="AF394" s="1">
        <v>95.01</v>
      </c>
      <c r="AG394" s="1">
        <v>0</v>
      </c>
      <c r="AH394" s="1">
        <v>0</v>
      </c>
      <c r="AI394" s="1" t="s">
        <v>290</v>
      </c>
      <c r="AJ394" s="1" t="s">
        <v>1590</v>
      </c>
      <c r="AK394" s="1" t="s">
        <v>17</v>
      </c>
      <c r="AL394" s="1" t="s">
        <v>71</v>
      </c>
      <c r="AM394" s="1" t="s">
        <v>337</v>
      </c>
      <c r="AN394" s="1" t="s">
        <v>21</v>
      </c>
      <c r="AO394" s="1" t="s">
        <v>280</v>
      </c>
      <c r="AP394" s="1" t="s">
        <v>324</v>
      </c>
      <c r="AQ394" s="1" t="s">
        <v>27</v>
      </c>
    </row>
    <row r="395" spans="1:43" x14ac:dyDescent="0.3">
      <c r="A395" s="1">
        <v>24861203</v>
      </c>
      <c r="B395" s="1">
        <v>25699971</v>
      </c>
      <c r="C395" s="1" t="s">
        <v>266</v>
      </c>
      <c r="D395" s="4">
        <v>46206.498657407406</v>
      </c>
      <c r="E395" s="4">
        <v>46206.507905092592</v>
      </c>
      <c r="F395" s="1" t="s">
        <v>22</v>
      </c>
      <c r="G395" s="1" t="s">
        <v>22</v>
      </c>
      <c r="H395" s="1" t="s">
        <v>1591</v>
      </c>
      <c r="I395" s="1" t="s">
        <v>268</v>
      </c>
      <c r="J395" s="1" t="s">
        <v>1592</v>
      </c>
      <c r="K395" s="1" t="s">
        <v>270</v>
      </c>
      <c r="L395" s="1" t="s">
        <v>270</v>
      </c>
      <c r="M395" s="4">
        <v>46188.51226851852</v>
      </c>
      <c r="N395" s="1">
        <v>6364</v>
      </c>
      <c r="O395" s="1" t="s">
        <v>93</v>
      </c>
      <c r="P395" s="1" t="s">
        <v>271</v>
      </c>
      <c r="Q395" s="1" t="s">
        <v>454</v>
      </c>
      <c r="R395" s="1" t="s">
        <v>273</v>
      </c>
      <c r="S395" s="1" t="s">
        <v>7</v>
      </c>
      <c r="T395" s="1" t="s">
        <v>365</v>
      </c>
      <c r="U395" s="1" t="s">
        <v>199</v>
      </c>
      <c r="V395" s="1" t="s">
        <v>1361</v>
      </c>
      <c r="W395" s="1" t="s">
        <v>93</v>
      </c>
      <c r="X395" s="1" t="s">
        <v>276</v>
      </c>
      <c r="Y395" s="1">
        <v>3025699971</v>
      </c>
      <c r="Z395" s="1" t="s">
        <v>48</v>
      </c>
      <c r="AA395" s="1" t="s">
        <v>93</v>
      </c>
      <c r="AB395" s="1">
        <v>148.88</v>
      </c>
      <c r="AC395" s="1">
        <v>33.64</v>
      </c>
      <c r="AD395" s="1">
        <v>0</v>
      </c>
      <c r="AE395" s="1">
        <v>0</v>
      </c>
      <c r="AF395" s="1">
        <v>0</v>
      </c>
      <c r="AG395" s="1">
        <v>0</v>
      </c>
      <c r="AH395" s="1">
        <v>0</v>
      </c>
      <c r="AI395" s="1" t="s">
        <v>1593</v>
      </c>
      <c r="AJ395" s="1" t="s">
        <v>462</v>
      </c>
      <c r="AK395" s="1" t="s">
        <v>13</v>
      </c>
      <c r="AL395" s="1" t="s">
        <v>78</v>
      </c>
      <c r="AM395" s="1" t="s">
        <v>337</v>
      </c>
      <c r="AN395" s="1" t="s">
        <v>21</v>
      </c>
      <c r="AO395" s="1" t="s">
        <v>280</v>
      </c>
      <c r="AP395" s="1" t="s">
        <v>281</v>
      </c>
      <c r="AQ395" s="1" t="s">
        <v>37</v>
      </c>
    </row>
    <row r="396" spans="1:43" x14ac:dyDescent="0.3">
      <c r="A396" s="1">
        <v>24861208</v>
      </c>
      <c r="B396" s="1">
        <v>25699976</v>
      </c>
      <c r="C396" s="1" t="s">
        <v>266</v>
      </c>
      <c r="D396" s="4">
        <v>46206.499189814807</v>
      </c>
      <c r="E396" s="4">
        <v>46206.51121527778</v>
      </c>
      <c r="F396" s="1" t="s">
        <v>22</v>
      </c>
      <c r="G396" s="1" t="s">
        <v>22</v>
      </c>
      <c r="H396" s="1" t="s">
        <v>1594</v>
      </c>
      <c r="I396" s="1" t="s">
        <v>268</v>
      </c>
      <c r="J396" s="1" t="s">
        <v>1592</v>
      </c>
      <c r="K396" s="1" t="s">
        <v>270</v>
      </c>
      <c r="L396" s="1" t="s">
        <v>270</v>
      </c>
      <c r="M396" s="4">
        <v>46188.651504629634</v>
      </c>
      <c r="N396" s="1">
        <v>7867</v>
      </c>
      <c r="O396" s="1" t="s">
        <v>93</v>
      </c>
      <c r="P396" s="1" t="s">
        <v>271</v>
      </c>
      <c r="Q396" s="1" t="s">
        <v>454</v>
      </c>
      <c r="R396" s="1" t="s">
        <v>273</v>
      </c>
      <c r="S396" s="1" t="s">
        <v>7</v>
      </c>
      <c r="T396" s="1" t="s">
        <v>365</v>
      </c>
      <c r="U396" s="1" t="s">
        <v>186</v>
      </c>
      <c r="V396" s="1" t="s">
        <v>1595</v>
      </c>
      <c r="W396" s="1" t="s">
        <v>93</v>
      </c>
      <c r="X396" s="1" t="s">
        <v>276</v>
      </c>
      <c r="Y396" s="1">
        <v>3025699976</v>
      </c>
      <c r="Z396" s="1" t="s">
        <v>48</v>
      </c>
      <c r="AA396" s="1" t="s">
        <v>93</v>
      </c>
      <c r="AB396" s="1">
        <v>148.88</v>
      </c>
      <c r="AC396" s="1">
        <v>33.64</v>
      </c>
      <c r="AD396" s="1">
        <v>0</v>
      </c>
      <c r="AE396" s="1">
        <v>0</v>
      </c>
      <c r="AF396" s="1">
        <v>0</v>
      </c>
      <c r="AG396" s="1">
        <v>0</v>
      </c>
      <c r="AH396" s="1">
        <v>0</v>
      </c>
      <c r="AI396" s="1" t="s">
        <v>1596</v>
      </c>
      <c r="AJ396" s="1" t="s">
        <v>462</v>
      </c>
      <c r="AK396" s="1" t="s">
        <v>13</v>
      </c>
      <c r="AL396" s="1" t="s">
        <v>78</v>
      </c>
      <c r="AM396" s="1" t="s">
        <v>337</v>
      </c>
      <c r="AN396" s="1" t="s">
        <v>21</v>
      </c>
      <c r="AO396" s="1" t="s">
        <v>280</v>
      </c>
      <c r="AP396" s="1" t="s">
        <v>281</v>
      </c>
      <c r="AQ396" s="1" t="s">
        <v>37</v>
      </c>
    </row>
    <row r="397" spans="1:43" x14ac:dyDescent="0.3">
      <c r="A397" s="1">
        <v>24845303</v>
      </c>
      <c r="B397" s="1">
        <v>25688696</v>
      </c>
      <c r="C397" s="1" t="s">
        <v>294</v>
      </c>
      <c r="D397" s="4">
        <v>46203.872372685182</v>
      </c>
      <c r="E397" s="4">
        <v>46206.715740740743</v>
      </c>
      <c r="F397" s="1" t="s">
        <v>22</v>
      </c>
      <c r="G397" s="1" t="s">
        <v>24</v>
      </c>
      <c r="H397" s="1" t="s">
        <v>1597</v>
      </c>
      <c r="I397" s="1" t="s">
        <v>17</v>
      </c>
      <c r="J397" s="1" t="s">
        <v>1598</v>
      </c>
      <c r="K397" s="1" t="s">
        <v>472</v>
      </c>
      <c r="L397" s="1" t="s">
        <v>1059</v>
      </c>
      <c r="M397" s="4">
        <v>46203.613194444442</v>
      </c>
      <c r="N397" s="1" t="s">
        <v>1597</v>
      </c>
      <c r="O397" s="1" t="s">
        <v>93</v>
      </c>
      <c r="P397" s="1" t="s">
        <v>271</v>
      </c>
      <c r="Q397" s="1" t="s">
        <v>286</v>
      </c>
      <c r="R397" s="1" t="s">
        <v>286</v>
      </c>
      <c r="S397" s="1" t="s">
        <v>7</v>
      </c>
      <c r="T397" s="1" t="s">
        <v>274</v>
      </c>
      <c r="U397" s="1" t="s">
        <v>177</v>
      </c>
      <c r="V397" s="1" t="s">
        <v>321</v>
      </c>
      <c r="W397" s="1" t="s">
        <v>288</v>
      </c>
      <c r="X397" s="1" t="s">
        <v>276</v>
      </c>
      <c r="Y397" s="1" t="s">
        <v>93</v>
      </c>
      <c r="Z397" s="1" t="s">
        <v>111</v>
      </c>
      <c r="AA397" s="1" t="s">
        <v>93</v>
      </c>
      <c r="AB397" s="1">
        <v>3434</v>
      </c>
      <c r="AC397" s="1">
        <v>64.56</v>
      </c>
      <c r="AD397" s="1">
        <v>129.29</v>
      </c>
      <c r="AE397" s="1">
        <v>0</v>
      </c>
      <c r="AF397" s="1">
        <v>0</v>
      </c>
      <c r="AG397" s="1">
        <v>0</v>
      </c>
      <c r="AH397" s="1">
        <v>0</v>
      </c>
      <c r="AI397" s="1" t="s">
        <v>290</v>
      </c>
      <c r="AJ397" s="1" t="s">
        <v>1599</v>
      </c>
      <c r="AK397" s="1" t="s">
        <v>17</v>
      </c>
      <c r="AL397" s="1" t="s">
        <v>71</v>
      </c>
      <c r="AM397" s="1" t="s">
        <v>337</v>
      </c>
      <c r="AN397" s="1" t="s">
        <v>21</v>
      </c>
      <c r="AO397" s="1" t="s">
        <v>280</v>
      </c>
      <c r="AP397" s="1" t="s">
        <v>324</v>
      </c>
      <c r="AQ397" s="1" t="s">
        <v>27</v>
      </c>
    </row>
    <row r="398" spans="1:43" x14ac:dyDescent="0.3">
      <c r="A398" s="1">
        <v>24847682</v>
      </c>
      <c r="B398" s="1">
        <v>25684161</v>
      </c>
      <c r="C398" s="1" t="s">
        <v>266</v>
      </c>
      <c r="D398" s="4">
        <v>46204.446666666663</v>
      </c>
      <c r="E398" s="4">
        <v>46209.23642361111</v>
      </c>
      <c r="F398" s="1" t="s">
        <v>19</v>
      </c>
      <c r="G398" s="1" t="s">
        <v>22</v>
      </c>
      <c r="H398" s="1" t="s">
        <v>1600</v>
      </c>
      <c r="I398" s="1" t="s">
        <v>268</v>
      </c>
      <c r="J398" s="1" t="s">
        <v>1601</v>
      </c>
      <c r="K398" s="1" t="s">
        <v>1570</v>
      </c>
      <c r="L398" s="1" t="s">
        <v>1570</v>
      </c>
      <c r="M398" s="4">
        <v>46204.423611111109</v>
      </c>
      <c r="N398" s="1">
        <v>18069</v>
      </c>
      <c r="O398" s="1" t="s">
        <v>93</v>
      </c>
      <c r="P398" s="1" t="s">
        <v>271</v>
      </c>
      <c r="Q398" s="1" t="s">
        <v>286</v>
      </c>
      <c r="R398" s="1" t="s">
        <v>439</v>
      </c>
      <c r="S398" s="1" t="s">
        <v>7</v>
      </c>
      <c r="T398" s="1" t="s">
        <v>274</v>
      </c>
      <c r="U398" s="1" t="s">
        <v>165</v>
      </c>
      <c r="V398" s="1" t="s">
        <v>1484</v>
      </c>
      <c r="W398" s="1" t="s">
        <v>93</v>
      </c>
      <c r="X398" s="1" t="s">
        <v>276</v>
      </c>
      <c r="Y398" s="1">
        <v>2294047808</v>
      </c>
      <c r="Z398" s="1" t="s">
        <v>79</v>
      </c>
      <c r="AA398" s="1" t="s">
        <v>93</v>
      </c>
      <c r="AB398" s="1">
        <v>648.04999999999995</v>
      </c>
      <c r="AC398" s="1">
        <v>42.88</v>
      </c>
      <c r="AD398" s="1">
        <v>0</v>
      </c>
      <c r="AE398" s="1">
        <v>0</v>
      </c>
      <c r="AF398" s="1">
        <v>0</v>
      </c>
      <c r="AG398" s="1">
        <v>0</v>
      </c>
      <c r="AH398" s="1">
        <v>0</v>
      </c>
      <c r="AI398" s="1" t="s">
        <v>1602</v>
      </c>
      <c r="AJ398" s="1" t="s">
        <v>1486</v>
      </c>
      <c r="AK398" s="1" t="s">
        <v>13</v>
      </c>
      <c r="AL398" s="1" t="s">
        <v>77</v>
      </c>
      <c r="AM398" s="1" t="s">
        <v>279</v>
      </c>
      <c r="AN398" s="1" t="s">
        <v>21</v>
      </c>
      <c r="AO398" s="1" t="s">
        <v>280</v>
      </c>
      <c r="AP398" s="1" t="s">
        <v>281</v>
      </c>
      <c r="AQ398" s="1" t="s">
        <v>37</v>
      </c>
    </row>
    <row r="399" spans="1:43" x14ac:dyDescent="0.3">
      <c r="A399" s="1">
        <v>24862085</v>
      </c>
      <c r="B399" s="1">
        <v>25701020</v>
      </c>
      <c r="C399" s="1" t="s">
        <v>266</v>
      </c>
      <c r="D399" s="4">
        <v>46206.604675925933</v>
      </c>
      <c r="E399" s="4">
        <v>46206.722627314812</v>
      </c>
      <c r="F399" s="1" t="s">
        <v>22</v>
      </c>
      <c r="G399" s="1" t="s">
        <v>22</v>
      </c>
      <c r="H399" s="1" t="s">
        <v>1603</v>
      </c>
      <c r="I399" s="1" t="s">
        <v>17</v>
      </c>
      <c r="J399" s="1" t="s">
        <v>1604</v>
      </c>
      <c r="K399" s="1" t="s">
        <v>372</v>
      </c>
      <c r="L399" s="1" t="s">
        <v>1015</v>
      </c>
      <c r="M399" s="4">
        <v>46206.385416666657</v>
      </c>
      <c r="N399" s="1" t="s">
        <v>1603</v>
      </c>
      <c r="O399" s="1" t="s">
        <v>93</v>
      </c>
      <c r="P399" s="1" t="s">
        <v>271</v>
      </c>
      <c r="Q399" s="1" t="s">
        <v>320</v>
      </c>
      <c r="R399" s="1" t="s">
        <v>373</v>
      </c>
      <c r="S399" s="1" t="s">
        <v>7</v>
      </c>
      <c r="T399" s="1" t="s">
        <v>274</v>
      </c>
      <c r="U399" s="1" t="s">
        <v>145</v>
      </c>
      <c r="V399" s="1" t="s">
        <v>561</v>
      </c>
      <c r="W399" s="1" t="s">
        <v>93</v>
      </c>
      <c r="X399" s="1" t="s">
        <v>276</v>
      </c>
      <c r="Y399" s="1">
        <v>5232211797</v>
      </c>
      <c r="Z399" s="1" t="s">
        <v>55</v>
      </c>
      <c r="AA399" s="1" t="s">
        <v>93</v>
      </c>
      <c r="AB399" s="1">
        <v>0</v>
      </c>
      <c r="AC399" s="1">
        <v>0</v>
      </c>
      <c r="AD399" s="1">
        <v>500</v>
      </c>
      <c r="AE399" s="1">
        <v>0</v>
      </c>
      <c r="AF399" s="1">
        <v>71.52</v>
      </c>
      <c r="AG399" s="1">
        <v>0</v>
      </c>
      <c r="AH399" s="1">
        <v>0</v>
      </c>
      <c r="AI399" s="1" t="s">
        <v>290</v>
      </c>
      <c r="AJ399" s="1" t="s">
        <v>610</v>
      </c>
      <c r="AK399" s="1" t="s">
        <v>17</v>
      </c>
      <c r="AL399" s="1" t="s">
        <v>96</v>
      </c>
      <c r="AM399" s="1" t="s">
        <v>337</v>
      </c>
      <c r="AN399" s="1" t="s">
        <v>21</v>
      </c>
      <c r="AO399" s="1" t="s">
        <v>280</v>
      </c>
      <c r="AP399" s="1" t="s">
        <v>324</v>
      </c>
      <c r="AQ399" s="1" t="s">
        <v>27</v>
      </c>
    </row>
    <row r="400" spans="1:43" x14ac:dyDescent="0.3">
      <c r="A400" s="1">
        <v>24862050</v>
      </c>
      <c r="B400" s="1">
        <v>25700961</v>
      </c>
      <c r="C400" s="1" t="s">
        <v>266</v>
      </c>
      <c r="D400" s="4">
        <v>46206.599537037036</v>
      </c>
      <c r="E400" s="4">
        <v>46206.719756944447</v>
      </c>
      <c r="F400" s="1" t="s">
        <v>22</v>
      </c>
      <c r="G400" s="1" t="s">
        <v>22</v>
      </c>
      <c r="H400" s="1" t="s">
        <v>1605</v>
      </c>
      <c r="I400" s="1" t="s">
        <v>17</v>
      </c>
      <c r="J400" s="1" t="s">
        <v>1606</v>
      </c>
      <c r="K400" s="1" t="s">
        <v>528</v>
      </c>
      <c r="L400" s="1" t="s">
        <v>764</v>
      </c>
      <c r="M400" s="4">
        <v>46205.659722222219</v>
      </c>
      <c r="N400" s="1" t="s">
        <v>1605</v>
      </c>
      <c r="O400" s="1" t="s">
        <v>93</v>
      </c>
      <c r="P400" s="1" t="s">
        <v>271</v>
      </c>
      <c r="Q400" s="1" t="s">
        <v>286</v>
      </c>
      <c r="R400" s="1" t="s">
        <v>286</v>
      </c>
      <c r="S400" s="1" t="s">
        <v>7</v>
      </c>
      <c r="T400" s="1" t="s">
        <v>274</v>
      </c>
      <c r="U400" s="1" t="s">
        <v>212</v>
      </c>
      <c r="V400" s="1" t="s">
        <v>1096</v>
      </c>
      <c r="W400" s="1" t="s">
        <v>93</v>
      </c>
      <c r="X400" s="1" t="s">
        <v>276</v>
      </c>
      <c r="Y400" s="1">
        <v>9552144193</v>
      </c>
      <c r="Z400" s="1" t="s">
        <v>116</v>
      </c>
      <c r="AA400" s="1" t="s">
        <v>93</v>
      </c>
      <c r="AB400" s="1">
        <v>536.57000000000005</v>
      </c>
      <c r="AC400" s="1">
        <v>54.45</v>
      </c>
      <c r="AD400" s="1">
        <v>0</v>
      </c>
      <c r="AE400" s="1">
        <v>0</v>
      </c>
      <c r="AF400" s="1">
        <v>54.45</v>
      </c>
      <c r="AG400" s="1">
        <v>0</v>
      </c>
      <c r="AH400" s="1">
        <v>0</v>
      </c>
      <c r="AI400" s="1" t="s">
        <v>290</v>
      </c>
      <c r="AJ400" s="1" t="s">
        <v>1607</v>
      </c>
      <c r="AK400" s="1" t="s">
        <v>17</v>
      </c>
      <c r="AL400" s="1" t="s">
        <v>71</v>
      </c>
      <c r="AM400" s="1" t="s">
        <v>337</v>
      </c>
      <c r="AN400" s="1" t="s">
        <v>21</v>
      </c>
      <c r="AO400" s="1" t="s">
        <v>280</v>
      </c>
      <c r="AP400" s="1" t="s">
        <v>324</v>
      </c>
      <c r="AQ400" s="1" t="s">
        <v>27</v>
      </c>
    </row>
    <row r="401" spans="1:43" x14ac:dyDescent="0.3">
      <c r="A401" s="1">
        <v>24861093</v>
      </c>
      <c r="B401" s="1">
        <v>25699833</v>
      </c>
      <c r="C401" s="1" t="s">
        <v>266</v>
      </c>
      <c r="D401" s="4">
        <v>46206.486886574072</v>
      </c>
      <c r="E401" s="4">
        <v>46206.71947916667</v>
      </c>
      <c r="F401" s="1" t="s">
        <v>22</v>
      </c>
      <c r="G401" s="1" t="s">
        <v>22</v>
      </c>
      <c r="H401" s="1" t="s">
        <v>1608</v>
      </c>
      <c r="I401" s="1" t="s">
        <v>17</v>
      </c>
      <c r="J401" s="1" t="s">
        <v>1609</v>
      </c>
      <c r="K401" s="1" t="s">
        <v>372</v>
      </c>
      <c r="L401" s="1" t="s">
        <v>314</v>
      </c>
      <c r="M401" s="4">
        <v>46206.217361111107</v>
      </c>
      <c r="N401" s="1" t="s">
        <v>1608</v>
      </c>
      <c r="O401" s="1" t="s">
        <v>93</v>
      </c>
      <c r="P401" s="1" t="s">
        <v>271</v>
      </c>
      <c r="Q401" s="1" t="s">
        <v>320</v>
      </c>
      <c r="R401" s="1" t="s">
        <v>373</v>
      </c>
      <c r="S401" s="1" t="s">
        <v>7</v>
      </c>
      <c r="T401" s="1" t="s">
        <v>274</v>
      </c>
      <c r="U401" s="1" t="s">
        <v>145</v>
      </c>
      <c r="V401" s="1" t="s">
        <v>561</v>
      </c>
      <c r="W401" s="1" t="s">
        <v>93</v>
      </c>
      <c r="X401" s="1" t="s">
        <v>276</v>
      </c>
      <c r="Y401" s="1">
        <v>5232211790</v>
      </c>
      <c r="Z401" s="1" t="s">
        <v>55</v>
      </c>
      <c r="AA401" s="1" t="s">
        <v>93</v>
      </c>
      <c r="AB401" s="1">
        <v>0</v>
      </c>
      <c r="AC401" s="1">
        <v>0</v>
      </c>
      <c r="AD401" s="1">
        <v>500</v>
      </c>
      <c r="AE401" s="1">
        <v>0</v>
      </c>
      <c r="AF401" s="1">
        <v>2.78</v>
      </c>
      <c r="AG401" s="1">
        <v>0</v>
      </c>
      <c r="AH401" s="1">
        <v>0</v>
      </c>
      <c r="AI401" s="1" t="s">
        <v>290</v>
      </c>
      <c r="AJ401" s="1" t="s">
        <v>641</v>
      </c>
      <c r="AK401" s="1" t="s">
        <v>17</v>
      </c>
      <c r="AL401" s="1" t="s">
        <v>67</v>
      </c>
      <c r="AM401" s="1" t="s">
        <v>323</v>
      </c>
      <c r="AN401" s="1" t="s">
        <v>21</v>
      </c>
      <c r="AO401" s="1" t="s">
        <v>280</v>
      </c>
      <c r="AP401" s="1" t="s">
        <v>324</v>
      </c>
      <c r="AQ401" s="1" t="s">
        <v>27</v>
      </c>
    </row>
    <row r="402" spans="1:43" x14ac:dyDescent="0.3">
      <c r="A402" s="1">
        <v>24854627</v>
      </c>
      <c r="B402" s="1">
        <v>25692270</v>
      </c>
      <c r="C402" s="1" t="s">
        <v>266</v>
      </c>
      <c r="D402" s="4">
        <v>46205.521782407413</v>
      </c>
      <c r="E402" s="4">
        <v>46206.715787037043</v>
      </c>
      <c r="F402" s="1" t="s">
        <v>22</v>
      </c>
      <c r="G402" s="1" t="s">
        <v>22</v>
      </c>
      <c r="H402" s="1" t="s">
        <v>1610</v>
      </c>
      <c r="I402" s="1" t="s">
        <v>17</v>
      </c>
      <c r="J402" s="1" t="s">
        <v>1611</v>
      </c>
      <c r="K402" s="1" t="s">
        <v>372</v>
      </c>
      <c r="L402" s="1" t="s">
        <v>1015</v>
      </c>
      <c r="M402" s="4">
        <v>46202.630555555559</v>
      </c>
      <c r="N402" s="1" t="s">
        <v>1610</v>
      </c>
      <c r="O402" s="1" t="s">
        <v>93</v>
      </c>
      <c r="P402" s="1" t="s">
        <v>271</v>
      </c>
      <c r="Q402" s="1" t="s">
        <v>303</v>
      </c>
      <c r="R402" s="1" t="s">
        <v>272</v>
      </c>
      <c r="S402" s="1" t="s">
        <v>7</v>
      </c>
      <c r="T402" s="1" t="s">
        <v>274</v>
      </c>
      <c r="U402" s="1" t="s">
        <v>145</v>
      </c>
      <c r="V402" s="1" t="s">
        <v>561</v>
      </c>
      <c r="W402" s="1" t="s">
        <v>93</v>
      </c>
      <c r="X402" s="1" t="s">
        <v>276</v>
      </c>
      <c r="Y402" s="1">
        <v>5232169522</v>
      </c>
      <c r="Z402" s="1" t="s">
        <v>55</v>
      </c>
      <c r="AA402" s="1" t="s">
        <v>93</v>
      </c>
      <c r="AB402" s="1">
        <v>1277.7626</v>
      </c>
      <c r="AC402" s="1">
        <v>50.42</v>
      </c>
      <c r="AD402" s="1">
        <v>0</v>
      </c>
      <c r="AE402" s="1">
        <v>0</v>
      </c>
      <c r="AF402" s="1">
        <v>50.42</v>
      </c>
      <c r="AG402" s="1">
        <v>0</v>
      </c>
      <c r="AH402" s="1">
        <v>0</v>
      </c>
      <c r="AI402" s="1" t="s">
        <v>290</v>
      </c>
      <c r="AJ402" s="1" t="s">
        <v>610</v>
      </c>
      <c r="AK402" s="1" t="s">
        <v>17</v>
      </c>
      <c r="AL402" s="1" t="s">
        <v>96</v>
      </c>
      <c r="AM402" s="1" t="s">
        <v>337</v>
      </c>
      <c r="AN402" s="1" t="s">
        <v>21</v>
      </c>
      <c r="AO402" s="1" t="s">
        <v>280</v>
      </c>
      <c r="AP402" s="1" t="s">
        <v>324</v>
      </c>
      <c r="AQ402" s="1" t="s">
        <v>27</v>
      </c>
    </row>
    <row r="403" spans="1:43" x14ac:dyDescent="0.3">
      <c r="A403" s="1">
        <v>24861760</v>
      </c>
      <c r="B403" s="1">
        <v>25700607</v>
      </c>
      <c r="C403" s="1" t="s">
        <v>266</v>
      </c>
      <c r="D403" s="4">
        <v>46206.569988425923</v>
      </c>
      <c r="E403" s="4">
        <v>46206.719583333332</v>
      </c>
      <c r="F403" s="1" t="s">
        <v>22</v>
      </c>
      <c r="G403" s="1" t="s">
        <v>22</v>
      </c>
      <c r="H403" s="1" t="s">
        <v>1612</v>
      </c>
      <c r="I403" s="1" t="s">
        <v>17</v>
      </c>
      <c r="J403" s="1" t="s">
        <v>1613</v>
      </c>
      <c r="K403" s="1" t="s">
        <v>372</v>
      </c>
      <c r="L403" s="1" t="s">
        <v>1015</v>
      </c>
      <c r="M403" s="4">
        <v>46206.371527777781</v>
      </c>
      <c r="N403" s="1" t="s">
        <v>1612</v>
      </c>
      <c r="O403" s="1" t="s">
        <v>93</v>
      </c>
      <c r="P403" s="1" t="s">
        <v>271</v>
      </c>
      <c r="Q403" s="1" t="s">
        <v>320</v>
      </c>
      <c r="R403" s="1" t="s">
        <v>373</v>
      </c>
      <c r="S403" s="1" t="s">
        <v>7</v>
      </c>
      <c r="T403" s="1" t="s">
        <v>274</v>
      </c>
      <c r="U403" s="1" t="s">
        <v>145</v>
      </c>
      <c r="V403" s="1" t="s">
        <v>561</v>
      </c>
      <c r="W403" s="1" t="s">
        <v>93</v>
      </c>
      <c r="X403" s="1" t="s">
        <v>276</v>
      </c>
      <c r="Y403" s="1">
        <v>5232211794</v>
      </c>
      <c r="Z403" s="1" t="s">
        <v>55</v>
      </c>
      <c r="AA403" s="1" t="s">
        <v>93</v>
      </c>
      <c r="AB403" s="1">
        <v>0</v>
      </c>
      <c r="AC403" s="1">
        <v>0</v>
      </c>
      <c r="AD403" s="1">
        <v>500</v>
      </c>
      <c r="AE403" s="1">
        <v>0</v>
      </c>
      <c r="AF403" s="1">
        <v>0</v>
      </c>
      <c r="AG403" s="1">
        <v>0</v>
      </c>
      <c r="AH403" s="1">
        <v>0</v>
      </c>
      <c r="AI403" s="1" t="s">
        <v>290</v>
      </c>
      <c r="AJ403" s="1" t="s">
        <v>610</v>
      </c>
      <c r="AK403" s="1" t="s">
        <v>17</v>
      </c>
      <c r="AL403" s="1" t="s">
        <v>96</v>
      </c>
      <c r="AM403" s="1" t="s">
        <v>337</v>
      </c>
      <c r="AN403" s="1" t="s">
        <v>21</v>
      </c>
      <c r="AO403" s="1" t="s">
        <v>280</v>
      </c>
      <c r="AP403" s="1" t="s">
        <v>324</v>
      </c>
      <c r="AQ403" s="1" t="s">
        <v>27</v>
      </c>
    </row>
    <row r="404" spans="1:43" x14ac:dyDescent="0.3">
      <c r="A404" s="1">
        <v>24861763</v>
      </c>
      <c r="B404" s="1">
        <v>25700610</v>
      </c>
      <c r="C404" s="1" t="s">
        <v>266</v>
      </c>
      <c r="D404" s="4">
        <v>46206.570127314822</v>
      </c>
      <c r="E404" s="4">
        <v>46206.719606481478</v>
      </c>
      <c r="F404" s="1" t="s">
        <v>22</v>
      </c>
      <c r="G404" s="1" t="s">
        <v>22</v>
      </c>
      <c r="H404" s="1" t="s">
        <v>1614</v>
      </c>
      <c r="I404" s="1" t="s">
        <v>17</v>
      </c>
      <c r="J404" s="1" t="s">
        <v>1615</v>
      </c>
      <c r="K404" s="1" t="s">
        <v>372</v>
      </c>
      <c r="L404" s="1" t="s">
        <v>314</v>
      </c>
      <c r="M404" s="4">
        <v>46206.404166666667</v>
      </c>
      <c r="N404" s="1" t="s">
        <v>1614</v>
      </c>
      <c r="O404" s="1" t="s">
        <v>93</v>
      </c>
      <c r="P404" s="1" t="s">
        <v>271</v>
      </c>
      <c r="Q404" s="1" t="s">
        <v>320</v>
      </c>
      <c r="R404" s="1" t="s">
        <v>373</v>
      </c>
      <c r="S404" s="1" t="s">
        <v>7</v>
      </c>
      <c r="T404" s="1" t="s">
        <v>274</v>
      </c>
      <c r="U404" s="1" t="s">
        <v>145</v>
      </c>
      <c r="V404" s="1" t="s">
        <v>561</v>
      </c>
      <c r="W404" s="1" t="s">
        <v>93</v>
      </c>
      <c r="X404" s="1" t="s">
        <v>276</v>
      </c>
      <c r="Y404" s="1">
        <v>5232211795</v>
      </c>
      <c r="Z404" s="1" t="s">
        <v>55</v>
      </c>
      <c r="AA404" s="1" t="s">
        <v>93</v>
      </c>
      <c r="AB404" s="1">
        <v>0</v>
      </c>
      <c r="AC404" s="1">
        <v>0</v>
      </c>
      <c r="AD404" s="1">
        <v>500</v>
      </c>
      <c r="AE404" s="1">
        <v>0</v>
      </c>
      <c r="AF404" s="1">
        <v>82.59</v>
      </c>
      <c r="AG404" s="1">
        <v>0</v>
      </c>
      <c r="AH404" s="1">
        <v>0</v>
      </c>
      <c r="AI404" s="1" t="s">
        <v>290</v>
      </c>
      <c r="AJ404" s="1" t="s">
        <v>641</v>
      </c>
      <c r="AK404" s="1" t="s">
        <v>17</v>
      </c>
      <c r="AL404" s="1" t="s">
        <v>67</v>
      </c>
      <c r="AM404" s="1" t="s">
        <v>323</v>
      </c>
      <c r="AN404" s="1" t="s">
        <v>21</v>
      </c>
      <c r="AO404" s="1" t="s">
        <v>280</v>
      </c>
      <c r="AP404" s="1" t="s">
        <v>324</v>
      </c>
      <c r="AQ404" s="1" t="s">
        <v>27</v>
      </c>
    </row>
    <row r="405" spans="1:43" x14ac:dyDescent="0.3">
      <c r="A405" s="1">
        <v>24861204</v>
      </c>
      <c r="B405" s="1">
        <v>25699972</v>
      </c>
      <c r="C405" s="1" t="s">
        <v>266</v>
      </c>
      <c r="D405" s="4">
        <v>46206.498715277783</v>
      </c>
      <c r="E405" s="4">
        <v>46206.507905092592</v>
      </c>
      <c r="F405" s="1" t="s">
        <v>22</v>
      </c>
      <c r="G405" s="1" t="s">
        <v>22</v>
      </c>
      <c r="H405" s="1" t="s">
        <v>1616</v>
      </c>
      <c r="I405" s="1" t="s">
        <v>268</v>
      </c>
      <c r="J405" s="1" t="s">
        <v>1592</v>
      </c>
      <c r="K405" s="1" t="s">
        <v>270</v>
      </c>
      <c r="L405" s="1" t="s">
        <v>270</v>
      </c>
      <c r="M405" s="4">
        <v>46189.669398148151</v>
      </c>
      <c r="N405" s="1">
        <v>7789</v>
      </c>
      <c r="O405" s="1" t="s">
        <v>93</v>
      </c>
      <c r="P405" s="1" t="s">
        <v>271</v>
      </c>
      <c r="Q405" s="1" t="s">
        <v>454</v>
      </c>
      <c r="R405" s="1" t="s">
        <v>273</v>
      </c>
      <c r="S405" s="1" t="s">
        <v>7</v>
      </c>
      <c r="T405" s="1" t="s">
        <v>365</v>
      </c>
      <c r="U405" s="1" t="s">
        <v>1617</v>
      </c>
      <c r="V405" s="1" t="s">
        <v>1618</v>
      </c>
      <c r="W405" s="1" t="s">
        <v>93</v>
      </c>
      <c r="X405" s="1" t="s">
        <v>276</v>
      </c>
      <c r="Y405" s="1">
        <v>3025699972</v>
      </c>
      <c r="Z405" s="1" t="s">
        <v>1619</v>
      </c>
      <c r="AA405" s="1" t="s">
        <v>93</v>
      </c>
      <c r="AB405" s="1">
        <v>192.96</v>
      </c>
      <c r="AC405" s="1">
        <v>33.64</v>
      </c>
      <c r="AD405" s="1">
        <v>0</v>
      </c>
      <c r="AE405" s="1">
        <v>0</v>
      </c>
      <c r="AF405" s="1">
        <v>0</v>
      </c>
      <c r="AG405" s="1">
        <v>0</v>
      </c>
      <c r="AH405" s="1">
        <v>0</v>
      </c>
      <c r="AI405" s="1" t="s">
        <v>1620</v>
      </c>
      <c r="AJ405" s="1" t="s">
        <v>462</v>
      </c>
      <c r="AK405" s="1" t="s">
        <v>13</v>
      </c>
      <c r="AL405" s="1" t="s">
        <v>78</v>
      </c>
      <c r="AM405" s="1" t="s">
        <v>337</v>
      </c>
      <c r="AN405" s="1" t="s">
        <v>21</v>
      </c>
      <c r="AO405" s="1" t="s">
        <v>280</v>
      </c>
      <c r="AP405" s="1" t="s">
        <v>281</v>
      </c>
      <c r="AQ405" s="1" t="s">
        <v>37</v>
      </c>
    </row>
    <row r="406" spans="1:43" x14ac:dyDescent="0.3">
      <c r="A406" s="1">
        <v>24862066</v>
      </c>
      <c r="B406" s="1">
        <v>25700985</v>
      </c>
      <c r="C406" s="1" t="s">
        <v>266</v>
      </c>
      <c r="D406" s="4">
        <v>46206.601342592592</v>
      </c>
      <c r="E406" s="4">
        <v>46206.722615740742</v>
      </c>
      <c r="F406" s="1" t="s">
        <v>22</v>
      </c>
      <c r="G406" s="1" t="s">
        <v>22</v>
      </c>
      <c r="H406" s="1" t="s">
        <v>1621</v>
      </c>
      <c r="I406" s="1" t="s">
        <v>17</v>
      </c>
      <c r="J406" s="1" t="s">
        <v>1622</v>
      </c>
      <c r="K406" s="1" t="s">
        <v>372</v>
      </c>
      <c r="L406" s="1" t="s">
        <v>284</v>
      </c>
      <c r="M406" s="4">
        <v>46206</v>
      </c>
      <c r="N406" s="1" t="s">
        <v>1623</v>
      </c>
      <c r="O406" s="1" t="s">
        <v>93</v>
      </c>
      <c r="P406" s="1" t="s">
        <v>271</v>
      </c>
      <c r="Q406" s="1" t="s">
        <v>320</v>
      </c>
      <c r="R406" s="1" t="s">
        <v>373</v>
      </c>
      <c r="S406" s="1" t="s">
        <v>7</v>
      </c>
      <c r="T406" s="1" t="s">
        <v>274</v>
      </c>
      <c r="U406" s="1" t="s">
        <v>187</v>
      </c>
      <c r="V406" s="1" t="s">
        <v>1280</v>
      </c>
      <c r="W406" s="1" t="s">
        <v>93</v>
      </c>
      <c r="X406" s="1" t="s">
        <v>276</v>
      </c>
      <c r="Y406" s="1">
        <v>2615588576</v>
      </c>
      <c r="Z406" s="1" t="s">
        <v>105</v>
      </c>
      <c r="AA406" s="1" t="s">
        <v>93</v>
      </c>
      <c r="AB406" s="1">
        <v>0</v>
      </c>
      <c r="AC406" s="1">
        <v>0</v>
      </c>
      <c r="AD406" s="1">
        <v>500</v>
      </c>
      <c r="AE406" s="1">
        <v>0</v>
      </c>
      <c r="AF406" s="1">
        <v>18.72</v>
      </c>
      <c r="AG406" s="1">
        <v>0</v>
      </c>
      <c r="AH406" s="1">
        <v>0</v>
      </c>
      <c r="AI406" s="1" t="s">
        <v>290</v>
      </c>
      <c r="AJ406" s="1" t="s">
        <v>641</v>
      </c>
      <c r="AK406" s="1" t="s">
        <v>17</v>
      </c>
      <c r="AL406" s="1" t="s">
        <v>67</v>
      </c>
      <c r="AM406" s="1" t="s">
        <v>323</v>
      </c>
      <c r="AN406" s="1" t="s">
        <v>21</v>
      </c>
      <c r="AO406" s="1" t="s">
        <v>280</v>
      </c>
      <c r="AP406" s="1" t="s">
        <v>324</v>
      </c>
      <c r="AQ406" s="1" t="s">
        <v>27</v>
      </c>
    </row>
    <row r="407" spans="1:43" x14ac:dyDescent="0.3">
      <c r="A407" s="1">
        <v>24861319</v>
      </c>
      <c r="B407" s="1">
        <v>25700102</v>
      </c>
      <c r="C407" s="1" t="s">
        <v>266</v>
      </c>
      <c r="D407" s="4">
        <v>46206.507002314807</v>
      </c>
      <c r="E407" s="4">
        <v>46206.524398148147</v>
      </c>
      <c r="F407" s="1" t="s">
        <v>22</v>
      </c>
      <c r="G407" s="1" t="s">
        <v>22</v>
      </c>
      <c r="H407" s="1" t="s">
        <v>1624</v>
      </c>
      <c r="I407" s="1" t="s">
        <v>268</v>
      </c>
      <c r="J407" s="1" t="s">
        <v>1592</v>
      </c>
      <c r="K407" s="1" t="s">
        <v>270</v>
      </c>
      <c r="L407" s="1" t="s">
        <v>270</v>
      </c>
      <c r="M407" s="4">
        <v>46189.686388888891</v>
      </c>
      <c r="N407" s="1">
        <v>2489</v>
      </c>
      <c r="O407" s="1" t="s">
        <v>93</v>
      </c>
      <c r="P407" s="1" t="s">
        <v>271</v>
      </c>
      <c r="Q407" s="1" t="s">
        <v>454</v>
      </c>
      <c r="R407" s="1" t="s">
        <v>273</v>
      </c>
      <c r="S407" s="1" t="s">
        <v>7</v>
      </c>
      <c r="T407" s="1" t="s">
        <v>365</v>
      </c>
      <c r="U407" s="1" t="s">
        <v>1625</v>
      </c>
      <c r="V407" s="1" t="s">
        <v>1626</v>
      </c>
      <c r="W407" s="1" t="s">
        <v>93</v>
      </c>
      <c r="X407" s="1" t="s">
        <v>276</v>
      </c>
      <c r="Y407" s="1">
        <v>3025700102</v>
      </c>
      <c r="Z407" s="1" t="s">
        <v>117</v>
      </c>
      <c r="AA407" s="1" t="s">
        <v>93</v>
      </c>
      <c r="AB407" s="1">
        <v>166.36</v>
      </c>
      <c r="AC407" s="1">
        <v>33.64</v>
      </c>
      <c r="AD407" s="1">
        <v>0</v>
      </c>
      <c r="AE407" s="1">
        <v>0</v>
      </c>
      <c r="AF407" s="1">
        <v>0</v>
      </c>
      <c r="AG407" s="1">
        <v>0</v>
      </c>
      <c r="AH407" s="1">
        <v>0</v>
      </c>
      <c r="AI407" s="1" t="s">
        <v>1627</v>
      </c>
      <c r="AJ407" s="1" t="s">
        <v>462</v>
      </c>
      <c r="AK407" s="1" t="s">
        <v>13</v>
      </c>
      <c r="AL407" s="1" t="s">
        <v>78</v>
      </c>
      <c r="AM407" s="1" t="s">
        <v>337</v>
      </c>
      <c r="AN407" s="1" t="s">
        <v>21</v>
      </c>
      <c r="AO407" s="1" t="s">
        <v>280</v>
      </c>
      <c r="AP407" s="1" t="s">
        <v>281</v>
      </c>
      <c r="AQ407" s="1" t="s">
        <v>37</v>
      </c>
    </row>
    <row r="408" spans="1:43" x14ac:dyDescent="0.3">
      <c r="A408" s="1">
        <v>24861375</v>
      </c>
      <c r="B408" s="1">
        <v>25700172</v>
      </c>
      <c r="C408" s="1" t="s">
        <v>266</v>
      </c>
      <c r="D408" s="4">
        <v>46206.516053240739</v>
      </c>
      <c r="E408" s="4">
        <v>46206.719571759262</v>
      </c>
      <c r="F408" s="1" t="s">
        <v>22</v>
      </c>
      <c r="G408" s="1" t="s">
        <v>22</v>
      </c>
      <c r="H408" s="1" t="s">
        <v>1371</v>
      </c>
      <c r="I408" s="1" t="s">
        <v>17</v>
      </c>
      <c r="J408" s="1" t="s">
        <v>1628</v>
      </c>
      <c r="K408" s="1" t="s">
        <v>314</v>
      </c>
      <c r="L408" s="1" t="s">
        <v>314</v>
      </c>
      <c r="M408" s="4">
        <v>46206.388888888891</v>
      </c>
      <c r="N408" s="1" t="s">
        <v>1371</v>
      </c>
      <c r="O408" s="1" t="s">
        <v>93</v>
      </c>
      <c r="P408" s="1" t="s">
        <v>271</v>
      </c>
      <c r="Q408" s="1" t="s">
        <v>286</v>
      </c>
      <c r="R408" s="1" t="s">
        <v>439</v>
      </c>
      <c r="S408" s="1" t="s">
        <v>7</v>
      </c>
      <c r="T408" s="1" t="s">
        <v>274</v>
      </c>
      <c r="U408" s="1" t="s">
        <v>205</v>
      </c>
      <c r="V408" s="1" t="s">
        <v>474</v>
      </c>
      <c r="W408" s="1" t="s">
        <v>93</v>
      </c>
      <c r="X408" s="1" t="s">
        <v>276</v>
      </c>
      <c r="Y408" s="1" t="s">
        <v>93</v>
      </c>
      <c r="Z408" s="1" t="s">
        <v>56</v>
      </c>
      <c r="AA408" s="1" t="s">
        <v>93</v>
      </c>
      <c r="AB408" s="1">
        <v>3088.22</v>
      </c>
      <c r="AC408" s="1">
        <v>90.42</v>
      </c>
      <c r="AD408" s="1">
        <v>0</v>
      </c>
      <c r="AE408" s="1">
        <v>0</v>
      </c>
      <c r="AF408" s="1">
        <v>0</v>
      </c>
      <c r="AG408" s="1">
        <v>0</v>
      </c>
      <c r="AH408" s="1">
        <v>0</v>
      </c>
      <c r="AI408" s="1" t="s">
        <v>290</v>
      </c>
      <c r="AJ408" s="1" t="s">
        <v>645</v>
      </c>
      <c r="AK408" s="1" t="s">
        <v>17</v>
      </c>
      <c r="AL408" s="1" t="s">
        <v>86</v>
      </c>
      <c r="AM408" s="1" t="s">
        <v>279</v>
      </c>
      <c r="AN408" s="1" t="s">
        <v>21</v>
      </c>
      <c r="AO408" s="1" t="s">
        <v>280</v>
      </c>
      <c r="AP408" s="1" t="s">
        <v>324</v>
      </c>
      <c r="AQ408" s="1" t="s">
        <v>20</v>
      </c>
    </row>
    <row r="409" spans="1:43" x14ac:dyDescent="0.3">
      <c r="A409" s="1">
        <v>24861368</v>
      </c>
      <c r="B409" s="1">
        <v>25700163</v>
      </c>
      <c r="C409" s="1" t="s">
        <v>266</v>
      </c>
      <c r="D409" s="4">
        <v>46206.515625</v>
      </c>
      <c r="E409" s="4">
        <v>46206.719513888893</v>
      </c>
      <c r="F409" s="1" t="s">
        <v>22</v>
      </c>
      <c r="G409" s="1" t="s">
        <v>22</v>
      </c>
      <c r="H409" s="1" t="s">
        <v>1629</v>
      </c>
      <c r="I409" s="1" t="s">
        <v>17</v>
      </c>
      <c r="J409" s="1" t="s">
        <v>1367</v>
      </c>
      <c r="K409" s="1" t="s">
        <v>314</v>
      </c>
      <c r="L409" s="1" t="s">
        <v>314</v>
      </c>
      <c r="M409" s="4">
        <v>46206.370833333327</v>
      </c>
      <c r="N409" s="1" t="s">
        <v>1629</v>
      </c>
      <c r="O409" s="1" t="s">
        <v>93</v>
      </c>
      <c r="P409" s="1" t="s">
        <v>271</v>
      </c>
      <c r="Q409" s="1" t="s">
        <v>286</v>
      </c>
      <c r="R409" s="1" t="s">
        <v>439</v>
      </c>
      <c r="S409" s="1" t="s">
        <v>7</v>
      </c>
      <c r="T409" s="1" t="s">
        <v>274</v>
      </c>
      <c r="U409" s="1" t="s">
        <v>205</v>
      </c>
      <c r="V409" s="1" t="s">
        <v>474</v>
      </c>
      <c r="W409" s="1" t="s">
        <v>93</v>
      </c>
      <c r="X409" s="1" t="s">
        <v>276</v>
      </c>
      <c r="Y409" s="1" t="s">
        <v>93</v>
      </c>
      <c r="Z409" s="1" t="s">
        <v>56</v>
      </c>
      <c r="AA409" s="1" t="s">
        <v>93</v>
      </c>
      <c r="AB409" s="1">
        <v>3973.82</v>
      </c>
      <c r="AC409" s="1">
        <v>175.18</v>
      </c>
      <c r="AD409" s="1">
        <v>0</v>
      </c>
      <c r="AE409" s="1">
        <v>0</v>
      </c>
      <c r="AF409" s="1">
        <v>0</v>
      </c>
      <c r="AG409" s="1">
        <v>0</v>
      </c>
      <c r="AH409" s="1">
        <v>0</v>
      </c>
      <c r="AI409" s="1" t="s">
        <v>290</v>
      </c>
      <c r="AJ409" s="1" t="s">
        <v>645</v>
      </c>
      <c r="AK409" s="1" t="s">
        <v>17</v>
      </c>
      <c r="AL409" s="1" t="s">
        <v>86</v>
      </c>
      <c r="AM409" s="1" t="s">
        <v>279</v>
      </c>
      <c r="AN409" s="1" t="s">
        <v>21</v>
      </c>
      <c r="AO409" s="1" t="s">
        <v>280</v>
      </c>
      <c r="AP409" s="1" t="s">
        <v>324</v>
      </c>
      <c r="AQ409" s="1" t="s">
        <v>20</v>
      </c>
    </row>
    <row r="410" spans="1:43" x14ac:dyDescent="0.3">
      <c r="A410" s="1">
        <v>24861370</v>
      </c>
      <c r="B410" s="1">
        <v>25700165</v>
      </c>
      <c r="C410" s="1" t="s">
        <v>266</v>
      </c>
      <c r="D410" s="4">
        <v>46206.515763888892</v>
      </c>
      <c r="E410" s="4">
        <v>46206.719537037039</v>
      </c>
      <c r="F410" s="1" t="s">
        <v>22</v>
      </c>
      <c r="G410" s="1" t="s">
        <v>22</v>
      </c>
      <c r="H410" s="1" t="s">
        <v>1630</v>
      </c>
      <c r="I410" s="1" t="s">
        <v>17</v>
      </c>
      <c r="J410" s="1" t="s">
        <v>1628</v>
      </c>
      <c r="K410" s="1" t="s">
        <v>314</v>
      </c>
      <c r="L410" s="1" t="s">
        <v>314</v>
      </c>
      <c r="M410" s="4">
        <v>46206.369444444441</v>
      </c>
      <c r="N410" s="1" t="s">
        <v>1630</v>
      </c>
      <c r="O410" s="1" t="s">
        <v>93</v>
      </c>
      <c r="P410" s="1" t="s">
        <v>271</v>
      </c>
      <c r="Q410" s="1" t="s">
        <v>286</v>
      </c>
      <c r="R410" s="1" t="s">
        <v>439</v>
      </c>
      <c r="S410" s="1" t="s">
        <v>7</v>
      </c>
      <c r="T410" s="1" t="s">
        <v>274</v>
      </c>
      <c r="U410" s="1" t="s">
        <v>205</v>
      </c>
      <c r="V410" s="1" t="s">
        <v>474</v>
      </c>
      <c r="W410" s="1" t="s">
        <v>93</v>
      </c>
      <c r="X410" s="1" t="s">
        <v>276</v>
      </c>
      <c r="Y410" s="1" t="s">
        <v>93</v>
      </c>
      <c r="Z410" s="1" t="s">
        <v>56</v>
      </c>
      <c r="AA410" s="1" t="s">
        <v>93</v>
      </c>
      <c r="AB410" s="1">
        <v>3973.82</v>
      </c>
      <c r="AC410" s="1">
        <v>175.18</v>
      </c>
      <c r="AD410" s="1">
        <v>0</v>
      </c>
      <c r="AE410" s="1">
        <v>0</v>
      </c>
      <c r="AF410" s="1">
        <v>0</v>
      </c>
      <c r="AG410" s="1">
        <v>0</v>
      </c>
      <c r="AH410" s="1">
        <v>0</v>
      </c>
      <c r="AI410" s="1" t="s">
        <v>290</v>
      </c>
      <c r="AJ410" s="1" t="s">
        <v>645</v>
      </c>
      <c r="AK410" s="1" t="s">
        <v>17</v>
      </c>
      <c r="AL410" s="1" t="s">
        <v>86</v>
      </c>
      <c r="AM410" s="1" t="s">
        <v>279</v>
      </c>
      <c r="AN410" s="1" t="s">
        <v>21</v>
      </c>
      <c r="AO410" s="1" t="s">
        <v>280</v>
      </c>
      <c r="AP410" s="1" t="s">
        <v>324</v>
      </c>
      <c r="AQ410" s="1" t="s">
        <v>20</v>
      </c>
    </row>
    <row r="411" spans="1:43" x14ac:dyDescent="0.3">
      <c r="A411" s="1">
        <v>24861373</v>
      </c>
      <c r="B411" s="1">
        <v>25700168</v>
      </c>
      <c r="C411" s="1" t="s">
        <v>266</v>
      </c>
      <c r="D411" s="4">
        <v>46206.515949074077</v>
      </c>
      <c r="E411" s="4">
        <v>46206.719548611109</v>
      </c>
      <c r="F411" s="1" t="s">
        <v>22</v>
      </c>
      <c r="G411" s="1" t="s">
        <v>22</v>
      </c>
      <c r="H411" s="1" t="s">
        <v>1368</v>
      </c>
      <c r="I411" s="1" t="s">
        <v>17</v>
      </c>
      <c r="J411" s="1" t="s">
        <v>1367</v>
      </c>
      <c r="K411" s="1" t="s">
        <v>314</v>
      </c>
      <c r="L411" s="1" t="s">
        <v>314</v>
      </c>
      <c r="M411" s="4">
        <v>46206.386111111111</v>
      </c>
      <c r="N411" s="1" t="s">
        <v>1368</v>
      </c>
      <c r="O411" s="1" t="s">
        <v>93</v>
      </c>
      <c r="P411" s="1" t="s">
        <v>271</v>
      </c>
      <c r="Q411" s="1" t="s">
        <v>286</v>
      </c>
      <c r="R411" s="1" t="s">
        <v>439</v>
      </c>
      <c r="S411" s="1" t="s">
        <v>7</v>
      </c>
      <c r="T411" s="1" t="s">
        <v>274</v>
      </c>
      <c r="U411" s="1" t="s">
        <v>205</v>
      </c>
      <c r="V411" s="1" t="s">
        <v>474</v>
      </c>
      <c r="W411" s="1" t="s">
        <v>93</v>
      </c>
      <c r="X411" s="1" t="s">
        <v>276</v>
      </c>
      <c r="Y411" s="1" t="s">
        <v>93</v>
      </c>
      <c r="Z411" s="1" t="s">
        <v>56</v>
      </c>
      <c r="AA411" s="1" t="s">
        <v>93</v>
      </c>
      <c r="AB411" s="1">
        <v>3088.22</v>
      </c>
      <c r="AC411" s="1">
        <v>90.42</v>
      </c>
      <c r="AD411" s="1">
        <v>0</v>
      </c>
      <c r="AE411" s="1">
        <v>0</v>
      </c>
      <c r="AF411" s="1">
        <v>0</v>
      </c>
      <c r="AG411" s="1">
        <v>0</v>
      </c>
      <c r="AH411" s="1">
        <v>0</v>
      </c>
      <c r="AI411" s="1" t="s">
        <v>290</v>
      </c>
      <c r="AJ411" s="1" t="s">
        <v>645</v>
      </c>
      <c r="AK411" s="1" t="s">
        <v>17</v>
      </c>
      <c r="AL411" s="1" t="s">
        <v>86</v>
      </c>
      <c r="AM411" s="1" t="s">
        <v>279</v>
      </c>
      <c r="AN411" s="1" t="s">
        <v>21</v>
      </c>
      <c r="AO411" s="1" t="s">
        <v>280</v>
      </c>
      <c r="AP411" s="1" t="s">
        <v>324</v>
      </c>
      <c r="AQ411" s="1" t="s">
        <v>20</v>
      </c>
    </row>
    <row r="412" spans="1:43" x14ac:dyDescent="0.3">
      <c r="A412" s="1">
        <v>24839186</v>
      </c>
      <c r="B412" s="1">
        <v>25675942</v>
      </c>
      <c r="C412" s="1" t="s">
        <v>266</v>
      </c>
      <c r="D412" s="4">
        <v>46202.926203703697</v>
      </c>
      <c r="E412" s="4">
        <v>46202.928078703713</v>
      </c>
      <c r="F412" s="1" t="s">
        <v>24</v>
      </c>
      <c r="G412" s="1" t="s">
        <v>24</v>
      </c>
      <c r="H412" s="1" t="s">
        <v>1631</v>
      </c>
      <c r="I412" s="1" t="s">
        <v>268</v>
      </c>
      <c r="J412" s="1" t="s">
        <v>1632</v>
      </c>
      <c r="K412" s="1" t="s">
        <v>988</v>
      </c>
      <c r="L412" s="1" t="s">
        <v>988</v>
      </c>
      <c r="M412" s="4">
        <v>46202.713888888888</v>
      </c>
      <c r="N412" s="1">
        <v>68534</v>
      </c>
      <c r="O412" s="1" t="s">
        <v>93</v>
      </c>
      <c r="P412" s="1" t="s">
        <v>342</v>
      </c>
      <c r="Q412" s="1" t="s">
        <v>303</v>
      </c>
      <c r="R412" s="1" t="s">
        <v>272</v>
      </c>
      <c r="S412" s="1" t="s">
        <v>7</v>
      </c>
      <c r="T412" s="1" t="s">
        <v>274</v>
      </c>
      <c r="U412" s="1" t="s">
        <v>146</v>
      </c>
      <c r="V412" s="1" t="s">
        <v>1462</v>
      </c>
      <c r="W412" s="1" t="s">
        <v>93</v>
      </c>
      <c r="X412" s="1" t="s">
        <v>276</v>
      </c>
      <c r="Y412" s="1">
        <v>2293809345</v>
      </c>
      <c r="Z412" s="1" t="s">
        <v>57</v>
      </c>
      <c r="AA412" s="1" t="s">
        <v>93</v>
      </c>
      <c r="AB412" s="1">
        <v>0</v>
      </c>
      <c r="AC412" s="1">
        <v>0</v>
      </c>
      <c r="AD412" s="1">
        <v>0</v>
      </c>
      <c r="AE412" s="1">
        <v>0</v>
      </c>
      <c r="AF412" s="1">
        <v>0</v>
      </c>
      <c r="AG412" s="1">
        <v>0</v>
      </c>
      <c r="AH412" s="1">
        <v>0</v>
      </c>
      <c r="AI412" s="1" t="s">
        <v>1633</v>
      </c>
      <c r="AJ412" s="1" t="s">
        <v>462</v>
      </c>
      <c r="AK412" s="1" t="s">
        <v>13</v>
      </c>
      <c r="AL412" s="1" t="s">
        <v>78</v>
      </c>
      <c r="AM412" s="1" t="s">
        <v>337</v>
      </c>
      <c r="AN412" s="1" t="s">
        <v>21</v>
      </c>
      <c r="AO412" s="1" t="s">
        <v>280</v>
      </c>
      <c r="AP412" s="1" t="s">
        <v>324</v>
      </c>
      <c r="AQ412" s="1" t="s">
        <v>125</v>
      </c>
    </row>
    <row r="413" spans="1:43" x14ac:dyDescent="0.3">
      <c r="A413" s="1">
        <v>24861318</v>
      </c>
      <c r="B413" s="1">
        <v>25700101</v>
      </c>
      <c r="C413" s="1" t="s">
        <v>266</v>
      </c>
      <c r="D413" s="4">
        <v>46206.506851851853</v>
      </c>
      <c r="E413" s="4">
        <v>46206.524398148147</v>
      </c>
      <c r="F413" s="1" t="s">
        <v>22</v>
      </c>
      <c r="G413" s="1" t="s">
        <v>22</v>
      </c>
      <c r="H413" s="1" t="s">
        <v>1634</v>
      </c>
      <c r="I413" s="1" t="s">
        <v>268</v>
      </c>
      <c r="J413" s="1" t="s">
        <v>1592</v>
      </c>
      <c r="K413" s="1" t="s">
        <v>270</v>
      </c>
      <c r="L413" s="1" t="s">
        <v>270</v>
      </c>
      <c r="M413" s="4">
        <v>46188.683125000003</v>
      </c>
      <c r="N413" s="1">
        <v>690</v>
      </c>
      <c r="O413" s="1" t="s">
        <v>93</v>
      </c>
      <c r="P413" s="1" t="s">
        <v>271</v>
      </c>
      <c r="Q413" s="1" t="s">
        <v>454</v>
      </c>
      <c r="R413" s="1" t="s">
        <v>273</v>
      </c>
      <c r="S413" s="1" t="s">
        <v>7</v>
      </c>
      <c r="T413" s="1" t="s">
        <v>365</v>
      </c>
      <c r="U413" s="1" t="s">
        <v>1635</v>
      </c>
      <c r="V413" s="1" t="s">
        <v>1636</v>
      </c>
      <c r="W413" s="1" t="s">
        <v>93</v>
      </c>
      <c r="X413" s="1" t="s">
        <v>276</v>
      </c>
      <c r="Y413" s="1">
        <v>3025700101</v>
      </c>
      <c r="Z413" s="1" t="s">
        <v>117</v>
      </c>
      <c r="AA413" s="1" t="s">
        <v>93</v>
      </c>
      <c r="AB413" s="1">
        <v>192.96</v>
      </c>
      <c r="AC413" s="1">
        <v>33.64</v>
      </c>
      <c r="AD413" s="1">
        <v>0</v>
      </c>
      <c r="AE413" s="1">
        <v>0</v>
      </c>
      <c r="AF413" s="1">
        <v>0</v>
      </c>
      <c r="AG413" s="1">
        <v>0</v>
      </c>
      <c r="AH413" s="1">
        <v>0</v>
      </c>
      <c r="AI413" s="1" t="s">
        <v>1637</v>
      </c>
      <c r="AJ413" s="1" t="s">
        <v>462</v>
      </c>
      <c r="AK413" s="1" t="s">
        <v>13</v>
      </c>
      <c r="AL413" s="1" t="s">
        <v>78</v>
      </c>
      <c r="AM413" s="1" t="s">
        <v>337</v>
      </c>
      <c r="AN413" s="1" t="s">
        <v>21</v>
      </c>
      <c r="AO413" s="1" t="s">
        <v>280</v>
      </c>
      <c r="AP413" s="1" t="s">
        <v>281</v>
      </c>
      <c r="AQ413" s="1" t="s">
        <v>37</v>
      </c>
    </row>
    <row r="414" spans="1:43" x14ac:dyDescent="0.3">
      <c r="A414" s="1">
        <v>24862065</v>
      </c>
      <c r="B414" s="1">
        <v>25700980</v>
      </c>
      <c r="C414" s="1" t="s">
        <v>266</v>
      </c>
      <c r="D414" s="4">
        <v>46206.600949074083</v>
      </c>
      <c r="E414" s="4">
        <v>46206.722592592603</v>
      </c>
      <c r="F414" s="1" t="s">
        <v>22</v>
      </c>
      <c r="G414" s="1" t="s">
        <v>22</v>
      </c>
      <c r="H414" s="1" t="s">
        <v>1638</v>
      </c>
      <c r="I414" s="1" t="s">
        <v>17</v>
      </c>
      <c r="J414" s="1" t="s">
        <v>1639</v>
      </c>
      <c r="K414" s="1" t="s">
        <v>472</v>
      </c>
      <c r="L414" s="1" t="s">
        <v>1059</v>
      </c>
      <c r="M414" s="4">
        <v>46206.38958333333</v>
      </c>
      <c r="N414" s="1" t="s">
        <v>1640</v>
      </c>
      <c r="O414" s="1" t="s">
        <v>93</v>
      </c>
      <c r="P414" s="1" t="s">
        <v>271</v>
      </c>
      <c r="Q414" s="1" t="s">
        <v>286</v>
      </c>
      <c r="R414" s="1" t="s">
        <v>439</v>
      </c>
      <c r="S414" s="1" t="s">
        <v>7</v>
      </c>
      <c r="T414" s="1" t="s">
        <v>274</v>
      </c>
      <c r="U414" s="1" t="s">
        <v>216</v>
      </c>
      <c r="V414" s="1" t="s">
        <v>1066</v>
      </c>
      <c r="W414" s="1" t="s">
        <v>93</v>
      </c>
      <c r="X414" s="1" t="s">
        <v>276</v>
      </c>
      <c r="Y414" s="1">
        <v>2615339924</v>
      </c>
      <c r="Z414" s="1" t="s">
        <v>128</v>
      </c>
      <c r="AA414" s="1" t="s">
        <v>93</v>
      </c>
      <c r="AB414" s="1">
        <v>10944.81</v>
      </c>
      <c r="AC414" s="1">
        <v>64.56</v>
      </c>
      <c r="AD414" s="1">
        <v>337.63</v>
      </c>
      <c r="AE414" s="1">
        <v>0</v>
      </c>
      <c r="AF414" s="1">
        <v>64.56</v>
      </c>
      <c r="AG414" s="1">
        <v>0</v>
      </c>
      <c r="AH414" s="1">
        <v>0</v>
      </c>
      <c r="AI414" s="1" t="s">
        <v>290</v>
      </c>
      <c r="AJ414" s="1" t="s">
        <v>1641</v>
      </c>
      <c r="AK414" s="1" t="s">
        <v>17</v>
      </c>
      <c r="AL414" s="1" t="s">
        <v>71</v>
      </c>
      <c r="AM414" s="1" t="s">
        <v>337</v>
      </c>
      <c r="AN414" s="1" t="s">
        <v>21</v>
      </c>
      <c r="AO414" s="1" t="s">
        <v>280</v>
      </c>
      <c r="AP414" s="1" t="s">
        <v>324</v>
      </c>
      <c r="AQ414" s="1" t="s">
        <v>27</v>
      </c>
    </row>
    <row r="415" spans="1:43" x14ac:dyDescent="0.3">
      <c r="A415" s="1">
        <v>24852460</v>
      </c>
      <c r="B415" s="1">
        <v>25689798</v>
      </c>
      <c r="C415" s="1" t="s">
        <v>266</v>
      </c>
      <c r="D415" s="4">
        <v>46204.965428240743</v>
      </c>
      <c r="E415" s="4">
        <v>46209.23642361111</v>
      </c>
      <c r="F415" s="1" t="s">
        <v>19</v>
      </c>
      <c r="G415" s="1" t="s">
        <v>22</v>
      </c>
      <c r="H415" s="1" t="s">
        <v>1642</v>
      </c>
      <c r="I415" s="1" t="s">
        <v>268</v>
      </c>
      <c r="J415" s="1" t="s">
        <v>1558</v>
      </c>
      <c r="K415" s="1" t="s">
        <v>1502</v>
      </c>
      <c r="L415" s="1" t="s">
        <v>1502</v>
      </c>
      <c r="M415" s="4">
        <v>46204.765972222223</v>
      </c>
      <c r="N415" s="1">
        <v>21569</v>
      </c>
      <c r="O415" s="1" t="s">
        <v>93</v>
      </c>
      <c r="P415" s="1" t="s">
        <v>342</v>
      </c>
      <c r="Q415" s="1" t="s">
        <v>286</v>
      </c>
      <c r="R415" s="1" t="s">
        <v>439</v>
      </c>
      <c r="S415" s="1" t="s">
        <v>7</v>
      </c>
      <c r="T415" s="1" t="s">
        <v>274</v>
      </c>
      <c r="U415" s="1" t="s">
        <v>147</v>
      </c>
      <c r="V415" s="1" t="s">
        <v>728</v>
      </c>
      <c r="W415" s="1" t="s">
        <v>93</v>
      </c>
      <c r="X415" s="1" t="s">
        <v>1643</v>
      </c>
      <c r="Y415" s="1">
        <v>5232211051</v>
      </c>
      <c r="Z415" s="1" t="s">
        <v>58</v>
      </c>
      <c r="AA415" s="1" t="s">
        <v>93</v>
      </c>
      <c r="AB415" s="1">
        <v>1112.3399999999999</v>
      </c>
      <c r="AC415" s="1">
        <v>163.12</v>
      </c>
      <c r="AD415" s="1">
        <v>0</v>
      </c>
      <c r="AE415" s="1">
        <v>0</v>
      </c>
      <c r="AF415" s="1">
        <v>0</v>
      </c>
      <c r="AG415" s="1">
        <v>0</v>
      </c>
      <c r="AH415" s="1">
        <v>0</v>
      </c>
      <c r="AI415" s="1" t="s">
        <v>1559</v>
      </c>
      <c r="AJ415" s="1" t="s">
        <v>1486</v>
      </c>
      <c r="AK415" s="1" t="s">
        <v>13</v>
      </c>
      <c r="AL415" s="1" t="s">
        <v>77</v>
      </c>
      <c r="AM415" s="1" t="s">
        <v>279</v>
      </c>
      <c r="AN415" s="1" t="s">
        <v>21</v>
      </c>
      <c r="AO415" s="1" t="s">
        <v>280</v>
      </c>
      <c r="AP415" s="1" t="s">
        <v>281</v>
      </c>
      <c r="AQ415" s="1" t="s">
        <v>37</v>
      </c>
    </row>
    <row r="416" spans="1:43" x14ac:dyDescent="0.3">
      <c r="A416" s="1">
        <v>24857769</v>
      </c>
      <c r="B416" s="1">
        <v>25695857</v>
      </c>
      <c r="C416" s="1" t="s">
        <v>266</v>
      </c>
      <c r="D416" s="4">
        <v>46205.806921296287</v>
      </c>
      <c r="E416" s="4">
        <v>46206.719305555547</v>
      </c>
      <c r="F416" s="1" t="s">
        <v>22</v>
      </c>
      <c r="G416" s="1" t="s">
        <v>22</v>
      </c>
      <c r="H416" s="1" t="s">
        <v>1644</v>
      </c>
      <c r="I416" s="1" t="s">
        <v>17</v>
      </c>
      <c r="J416" s="1" t="s">
        <v>1645</v>
      </c>
      <c r="K416" s="1" t="s">
        <v>528</v>
      </c>
      <c r="L416" s="1" t="s">
        <v>1455</v>
      </c>
      <c r="M416" s="4">
        <v>46197.279166666667</v>
      </c>
      <c r="N416" s="1">
        <v>60255</v>
      </c>
      <c r="O416" s="1" t="s">
        <v>93</v>
      </c>
      <c r="P416" s="1" t="s">
        <v>342</v>
      </c>
      <c r="Q416" s="1" t="s">
        <v>303</v>
      </c>
      <c r="R416" s="1" t="s">
        <v>272</v>
      </c>
      <c r="S416" s="1" t="s">
        <v>7</v>
      </c>
      <c r="T416" s="1" t="s">
        <v>274</v>
      </c>
      <c r="U416" s="1" t="s">
        <v>211</v>
      </c>
      <c r="V416" s="1" t="s">
        <v>1457</v>
      </c>
      <c r="W416" s="1" t="s">
        <v>93</v>
      </c>
      <c r="X416" s="1" t="s">
        <v>661</v>
      </c>
      <c r="Y416" s="1">
        <v>5232171649</v>
      </c>
      <c r="Z416" s="1" t="s">
        <v>131</v>
      </c>
      <c r="AA416" s="1" t="s">
        <v>93</v>
      </c>
      <c r="AB416" s="1">
        <v>18084.169999999998</v>
      </c>
      <c r="AC416" s="1">
        <v>64.56</v>
      </c>
      <c r="AD416" s="1">
        <v>388.7</v>
      </c>
      <c r="AE416" s="1">
        <v>0</v>
      </c>
      <c r="AF416" s="1">
        <v>64.56</v>
      </c>
      <c r="AG416" s="1">
        <v>0</v>
      </c>
      <c r="AH416" s="1">
        <v>0</v>
      </c>
      <c r="AI416" s="1" t="s">
        <v>290</v>
      </c>
      <c r="AJ416" s="1" t="s">
        <v>1646</v>
      </c>
      <c r="AK416" s="1" t="s">
        <v>17</v>
      </c>
      <c r="AL416" s="1" t="s">
        <v>71</v>
      </c>
      <c r="AM416" s="1" t="s">
        <v>337</v>
      </c>
      <c r="AN416" s="1" t="s">
        <v>21</v>
      </c>
      <c r="AO416" s="1" t="s">
        <v>280</v>
      </c>
      <c r="AP416" s="1" t="s">
        <v>324</v>
      </c>
      <c r="AQ416" s="1" t="s">
        <v>27</v>
      </c>
    </row>
    <row r="417" spans="1:43" x14ac:dyDescent="0.3">
      <c r="A417" s="1">
        <v>24862003</v>
      </c>
      <c r="B417" s="1">
        <v>25700906</v>
      </c>
      <c r="C417" s="1" t="s">
        <v>266</v>
      </c>
      <c r="D417" s="4">
        <v>46206.596817129634</v>
      </c>
      <c r="E417" s="4">
        <v>46206.719618055547</v>
      </c>
      <c r="F417" s="1" t="s">
        <v>22</v>
      </c>
      <c r="G417" s="1" t="s">
        <v>22</v>
      </c>
      <c r="H417" s="1" t="s">
        <v>1647</v>
      </c>
      <c r="I417" s="1" t="s">
        <v>17</v>
      </c>
      <c r="J417" s="1" t="s">
        <v>1648</v>
      </c>
      <c r="K417" s="1" t="s">
        <v>472</v>
      </c>
      <c r="L417" s="1" t="s">
        <v>399</v>
      </c>
      <c r="M417" s="4">
        <v>46205</v>
      </c>
      <c r="N417" s="1" t="s">
        <v>1647</v>
      </c>
      <c r="O417" s="1" t="s">
        <v>93</v>
      </c>
      <c r="P417" s="1" t="s">
        <v>271</v>
      </c>
      <c r="Q417" s="1" t="s">
        <v>286</v>
      </c>
      <c r="R417" s="1" t="s">
        <v>286</v>
      </c>
      <c r="S417" s="1" t="s">
        <v>7</v>
      </c>
      <c r="T417" s="1" t="s">
        <v>274</v>
      </c>
      <c r="U417" s="1" t="s">
        <v>212</v>
      </c>
      <c r="V417" s="1" t="s">
        <v>401</v>
      </c>
      <c r="W417" s="1" t="s">
        <v>93</v>
      </c>
      <c r="X417" s="1" t="s">
        <v>1649</v>
      </c>
      <c r="Y417" s="1">
        <v>9552144191</v>
      </c>
      <c r="Z417" s="1" t="s">
        <v>116</v>
      </c>
      <c r="AA417" s="1" t="s">
        <v>93</v>
      </c>
      <c r="AB417" s="1">
        <v>17434.419999999998</v>
      </c>
      <c r="AC417" s="1">
        <v>159.93</v>
      </c>
      <c r="AD417" s="1">
        <v>692.51</v>
      </c>
      <c r="AE417" s="1">
        <v>0</v>
      </c>
      <c r="AF417" s="1">
        <v>159.93</v>
      </c>
      <c r="AG417" s="1">
        <v>0</v>
      </c>
      <c r="AH417" s="1">
        <v>0</v>
      </c>
      <c r="AI417" s="1" t="s">
        <v>290</v>
      </c>
      <c r="AJ417" s="1" t="s">
        <v>1650</v>
      </c>
      <c r="AK417" s="1" t="s">
        <v>17</v>
      </c>
      <c r="AL417" s="1" t="s">
        <v>71</v>
      </c>
      <c r="AM417" s="1" t="s">
        <v>337</v>
      </c>
      <c r="AN417" s="1" t="s">
        <v>21</v>
      </c>
      <c r="AO417" s="1" t="s">
        <v>280</v>
      </c>
      <c r="AP417" s="1" t="s">
        <v>324</v>
      </c>
      <c r="AQ417" s="1" t="s">
        <v>27</v>
      </c>
    </row>
    <row r="418" spans="1:43" x14ac:dyDescent="0.3">
      <c r="A418" s="1">
        <v>24858268</v>
      </c>
      <c r="B418" s="1">
        <v>25696521</v>
      </c>
      <c r="C418" s="1" t="s">
        <v>266</v>
      </c>
      <c r="D418" s="4">
        <v>46205.870486111111</v>
      </c>
      <c r="E418" s="4">
        <v>46206.721238425933</v>
      </c>
      <c r="F418" s="1" t="s">
        <v>22</v>
      </c>
      <c r="G418" s="1" t="s">
        <v>22</v>
      </c>
      <c r="H418" s="1" t="s">
        <v>1651</v>
      </c>
      <c r="I418" s="1" t="s">
        <v>17</v>
      </c>
      <c r="J418" s="1" t="s">
        <v>1652</v>
      </c>
      <c r="K418" s="1" t="s">
        <v>319</v>
      </c>
      <c r="L418" s="1" t="s">
        <v>319</v>
      </c>
      <c r="M418" s="4">
        <v>46205.607638888891</v>
      </c>
      <c r="N418" s="1" t="s">
        <v>1653</v>
      </c>
      <c r="O418" s="1" t="s">
        <v>93</v>
      </c>
      <c r="P418" s="1" t="s">
        <v>271</v>
      </c>
      <c r="Q418" s="1" t="s">
        <v>303</v>
      </c>
      <c r="R418" s="1" t="s">
        <v>272</v>
      </c>
      <c r="S418" s="1" t="s">
        <v>9</v>
      </c>
      <c r="T418" s="1" t="s">
        <v>274</v>
      </c>
      <c r="U418" s="1" t="s">
        <v>185</v>
      </c>
      <c r="V418" s="1" t="s">
        <v>316</v>
      </c>
      <c r="W418" s="1" t="s">
        <v>93</v>
      </c>
      <c r="X418" s="1" t="s">
        <v>1654</v>
      </c>
      <c r="Y418" s="1" t="s">
        <v>93</v>
      </c>
      <c r="Z418" s="1" t="s">
        <v>56</v>
      </c>
      <c r="AA418" s="1" t="s">
        <v>93</v>
      </c>
      <c r="AB418" s="1">
        <v>768</v>
      </c>
      <c r="AC418" s="1">
        <v>0</v>
      </c>
      <c r="AD418" s="1">
        <v>0</v>
      </c>
      <c r="AE418" s="1">
        <v>0</v>
      </c>
      <c r="AF418" s="1">
        <v>0</v>
      </c>
      <c r="AG418" s="1">
        <v>0</v>
      </c>
      <c r="AH418" s="1">
        <v>0</v>
      </c>
      <c r="AI418" s="1" t="s">
        <v>290</v>
      </c>
      <c r="AJ418" s="1" t="s">
        <v>1062</v>
      </c>
      <c r="AK418" s="1" t="s">
        <v>17</v>
      </c>
      <c r="AL418" s="1" t="s">
        <v>71</v>
      </c>
      <c r="AM418" s="1" t="s">
        <v>337</v>
      </c>
      <c r="AN418" s="1" t="s">
        <v>21</v>
      </c>
      <c r="AO418" s="1" t="s">
        <v>280</v>
      </c>
      <c r="AP418" s="1" t="s">
        <v>324</v>
      </c>
      <c r="AQ418" s="1" t="s">
        <v>27</v>
      </c>
    </row>
    <row r="419" spans="1:43" x14ac:dyDescent="0.3">
      <c r="A419" s="1">
        <v>24858269</v>
      </c>
      <c r="B419" s="1">
        <v>25696522</v>
      </c>
      <c r="C419" s="1" t="s">
        <v>266</v>
      </c>
      <c r="D419" s="4">
        <v>46205.870532407411</v>
      </c>
      <c r="E419" s="4">
        <v>46206.721238425933</v>
      </c>
      <c r="F419" s="1" t="s">
        <v>22</v>
      </c>
      <c r="G419" s="1" t="s">
        <v>22</v>
      </c>
      <c r="H419" s="1" t="s">
        <v>1655</v>
      </c>
      <c r="I419" s="1" t="s">
        <v>17</v>
      </c>
      <c r="J419" s="1" t="s">
        <v>1656</v>
      </c>
      <c r="K419" s="1" t="s">
        <v>319</v>
      </c>
      <c r="L419" s="1" t="s">
        <v>319</v>
      </c>
      <c r="M419" s="4">
        <v>46205.612500000003</v>
      </c>
      <c r="N419" s="1" t="s">
        <v>1657</v>
      </c>
      <c r="O419" s="1" t="s">
        <v>93</v>
      </c>
      <c r="P419" s="1" t="s">
        <v>271</v>
      </c>
      <c r="Q419" s="1" t="s">
        <v>303</v>
      </c>
      <c r="R419" s="1" t="s">
        <v>272</v>
      </c>
      <c r="S419" s="1" t="s">
        <v>9</v>
      </c>
      <c r="T419" s="1" t="s">
        <v>274</v>
      </c>
      <c r="U419" s="1" t="s">
        <v>185</v>
      </c>
      <c r="V419" s="1" t="s">
        <v>316</v>
      </c>
      <c r="W419" s="1" t="s">
        <v>93</v>
      </c>
      <c r="X419" s="1" t="s">
        <v>1654</v>
      </c>
      <c r="Y419" s="1" t="s">
        <v>93</v>
      </c>
      <c r="Z419" s="1" t="s">
        <v>56</v>
      </c>
      <c r="AA419" s="1" t="s">
        <v>93</v>
      </c>
      <c r="AB419" s="1">
        <v>768</v>
      </c>
      <c r="AC419" s="1">
        <v>0</v>
      </c>
      <c r="AD419" s="1">
        <v>0</v>
      </c>
      <c r="AE419" s="1">
        <v>0</v>
      </c>
      <c r="AF419" s="1">
        <v>0</v>
      </c>
      <c r="AG419" s="1">
        <v>0</v>
      </c>
      <c r="AH419" s="1">
        <v>0</v>
      </c>
      <c r="AI419" s="1" t="s">
        <v>290</v>
      </c>
      <c r="AJ419" s="1" t="s">
        <v>1062</v>
      </c>
      <c r="AK419" s="1" t="s">
        <v>17</v>
      </c>
      <c r="AL419" s="1" t="s">
        <v>71</v>
      </c>
      <c r="AM419" s="1" t="s">
        <v>337</v>
      </c>
      <c r="AN419" s="1" t="s">
        <v>21</v>
      </c>
      <c r="AO419" s="1" t="s">
        <v>280</v>
      </c>
      <c r="AP419" s="1" t="s">
        <v>324</v>
      </c>
      <c r="AQ419" s="1" t="s">
        <v>27</v>
      </c>
    </row>
    <row r="420" spans="1:43" x14ac:dyDescent="0.3">
      <c r="A420" s="1">
        <v>24848232</v>
      </c>
      <c r="B420" s="1">
        <v>25684783</v>
      </c>
      <c r="C420" s="1" t="s">
        <v>266</v>
      </c>
      <c r="D420" s="4">
        <v>46204.515925925924</v>
      </c>
      <c r="E420" s="4">
        <v>46205.136087962957</v>
      </c>
      <c r="F420" s="1" t="s">
        <v>22</v>
      </c>
      <c r="G420" s="1" t="s">
        <v>22</v>
      </c>
      <c r="H420" s="1" t="s">
        <v>1658</v>
      </c>
      <c r="I420" s="1" t="s">
        <v>14</v>
      </c>
      <c r="J420" s="1" t="s">
        <v>717</v>
      </c>
      <c r="K420" s="1" t="s">
        <v>718</v>
      </c>
      <c r="L420" s="1" t="s">
        <v>718</v>
      </c>
      <c r="M420" s="4">
        <v>46204</v>
      </c>
      <c r="N420" s="1">
        <v>4716891</v>
      </c>
      <c r="O420" s="1" t="s">
        <v>93</v>
      </c>
      <c r="P420" s="1" t="s">
        <v>342</v>
      </c>
      <c r="Q420" s="1" t="s">
        <v>286</v>
      </c>
      <c r="R420" s="1" t="s">
        <v>286</v>
      </c>
      <c r="S420" s="1" t="s">
        <v>9</v>
      </c>
      <c r="T420" s="1" t="s">
        <v>274</v>
      </c>
      <c r="U420" s="1" t="s">
        <v>142</v>
      </c>
      <c r="V420" s="1" t="s">
        <v>575</v>
      </c>
      <c r="W420" s="1" t="s">
        <v>93</v>
      </c>
      <c r="X420" s="1" t="s">
        <v>1659</v>
      </c>
      <c r="Y420" s="1" t="s">
        <v>93</v>
      </c>
      <c r="Z420" s="1" t="s">
        <v>50</v>
      </c>
      <c r="AA420" s="1" t="s">
        <v>93</v>
      </c>
      <c r="AB420" s="1">
        <v>888</v>
      </c>
      <c r="AC420" s="1">
        <v>266.39999999999998</v>
      </c>
      <c r="AD420" s="1">
        <v>0</v>
      </c>
      <c r="AE420" s="1">
        <v>0</v>
      </c>
      <c r="AF420" s="1">
        <v>0</v>
      </c>
      <c r="AG420" s="1">
        <v>0</v>
      </c>
      <c r="AH420" s="1">
        <v>0</v>
      </c>
      <c r="AI420" s="1" t="s">
        <v>1660</v>
      </c>
      <c r="AJ420" s="1" t="s">
        <v>707</v>
      </c>
      <c r="AK420" s="1" t="s">
        <v>14</v>
      </c>
      <c r="AL420" s="1" t="s">
        <v>69</v>
      </c>
      <c r="AM420" s="1" t="s">
        <v>337</v>
      </c>
      <c r="AN420" s="1" t="s">
        <v>21</v>
      </c>
      <c r="AO420" s="1" t="s">
        <v>280</v>
      </c>
      <c r="AP420" s="1" t="s">
        <v>324</v>
      </c>
      <c r="AQ420" s="1" t="s">
        <v>27</v>
      </c>
    </row>
    <row r="421" spans="1:43" x14ac:dyDescent="0.3">
      <c r="A421" s="1">
        <v>24838052</v>
      </c>
      <c r="B421" s="1">
        <v>25674779</v>
      </c>
      <c r="C421" s="1" t="s">
        <v>266</v>
      </c>
      <c r="D421" s="4">
        <v>46202.758888888893</v>
      </c>
      <c r="E421" s="4">
        <v>46203.168993055559</v>
      </c>
      <c r="F421" s="1" t="s">
        <v>24</v>
      </c>
      <c r="G421" s="1" t="s">
        <v>24</v>
      </c>
      <c r="H421" s="1" t="s">
        <v>1661</v>
      </c>
      <c r="I421" s="1" t="s">
        <v>14</v>
      </c>
      <c r="J421" s="1" t="s">
        <v>717</v>
      </c>
      <c r="K421" s="1" t="s">
        <v>718</v>
      </c>
      <c r="L421" s="1" t="s">
        <v>718</v>
      </c>
      <c r="M421" s="4">
        <v>46202</v>
      </c>
      <c r="N421" s="1">
        <v>4716282</v>
      </c>
      <c r="O421" s="1" t="s">
        <v>93</v>
      </c>
      <c r="P421" s="1" t="s">
        <v>342</v>
      </c>
      <c r="Q421" s="1" t="s">
        <v>286</v>
      </c>
      <c r="R421" s="1" t="s">
        <v>286</v>
      </c>
      <c r="S421" s="1" t="s">
        <v>9</v>
      </c>
      <c r="T421" s="1" t="s">
        <v>274</v>
      </c>
      <c r="U421" s="1" t="s">
        <v>142</v>
      </c>
      <c r="V421" s="1" t="s">
        <v>575</v>
      </c>
      <c r="W421" s="1" t="s">
        <v>93</v>
      </c>
      <c r="X421" s="1" t="s">
        <v>1659</v>
      </c>
      <c r="Y421" s="1" t="s">
        <v>93</v>
      </c>
      <c r="Z421" s="1" t="s">
        <v>50</v>
      </c>
      <c r="AA421" s="1" t="s">
        <v>93</v>
      </c>
      <c r="AB421" s="1">
        <v>2625</v>
      </c>
      <c r="AC421" s="1">
        <v>726.75</v>
      </c>
      <c r="AD421" s="1">
        <v>0</v>
      </c>
      <c r="AE421" s="1">
        <v>0</v>
      </c>
      <c r="AF421" s="1">
        <v>0</v>
      </c>
      <c r="AG421" s="1">
        <v>0</v>
      </c>
      <c r="AH421" s="1">
        <v>0</v>
      </c>
      <c r="AI421" s="1" t="s">
        <v>1662</v>
      </c>
      <c r="AJ421" s="1" t="s">
        <v>707</v>
      </c>
      <c r="AK421" s="1" t="s">
        <v>14</v>
      </c>
      <c r="AL421" s="1" t="s">
        <v>69</v>
      </c>
      <c r="AM421" s="1" t="s">
        <v>337</v>
      </c>
      <c r="AN421" s="1" t="s">
        <v>21</v>
      </c>
      <c r="AO421" s="1" t="s">
        <v>280</v>
      </c>
      <c r="AP421" s="1" t="s">
        <v>324</v>
      </c>
      <c r="AQ421" s="1" t="s">
        <v>27</v>
      </c>
    </row>
    <row r="422" spans="1:43" x14ac:dyDescent="0.3">
      <c r="A422" s="1">
        <v>24849121</v>
      </c>
      <c r="B422" s="1">
        <v>25685840</v>
      </c>
      <c r="C422" s="1" t="s">
        <v>266</v>
      </c>
      <c r="D422" s="4">
        <v>46204.648090277777</v>
      </c>
      <c r="E422" s="4">
        <v>46206.718182870369</v>
      </c>
      <c r="F422" s="1" t="s">
        <v>22</v>
      </c>
      <c r="G422" s="1" t="s">
        <v>22</v>
      </c>
      <c r="H422" s="1" t="s">
        <v>1663</v>
      </c>
      <c r="I422" s="1" t="s">
        <v>17</v>
      </c>
      <c r="J422" s="1" t="s">
        <v>1473</v>
      </c>
      <c r="K422" s="1" t="s">
        <v>1059</v>
      </c>
      <c r="L422" s="1" t="s">
        <v>1059</v>
      </c>
      <c r="M422" s="4">
        <v>46204.487500000003</v>
      </c>
      <c r="N422" s="1" t="s">
        <v>1472</v>
      </c>
      <c r="O422" s="1" t="s">
        <v>93</v>
      </c>
      <c r="P422" s="1" t="s">
        <v>342</v>
      </c>
      <c r="Q422" s="1" t="s">
        <v>303</v>
      </c>
      <c r="R422" s="1" t="s">
        <v>272</v>
      </c>
      <c r="S422" s="1" t="s">
        <v>9</v>
      </c>
      <c r="T422" s="1" t="s">
        <v>274</v>
      </c>
      <c r="U422" s="1" t="s">
        <v>198</v>
      </c>
      <c r="V422" s="1" t="s">
        <v>1060</v>
      </c>
      <c r="W422" s="1" t="s">
        <v>93</v>
      </c>
      <c r="X422" s="1" t="s">
        <v>1664</v>
      </c>
      <c r="Y422" s="1" t="s">
        <v>93</v>
      </c>
      <c r="Z422" s="1" t="s">
        <v>119</v>
      </c>
      <c r="AA422" s="1" t="s">
        <v>93</v>
      </c>
      <c r="AB422" s="1">
        <v>6400.8</v>
      </c>
      <c r="AC422" s="1">
        <v>0</v>
      </c>
      <c r="AD422" s="1">
        <v>0</v>
      </c>
      <c r="AE422" s="1">
        <v>0</v>
      </c>
      <c r="AF422" s="1">
        <v>0</v>
      </c>
      <c r="AG422" s="1">
        <v>0</v>
      </c>
      <c r="AH422" s="1">
        <v>0</v>
      </c>
      <c r="AI422" s="1" t="s">
        <v>290</v>
      </c>
      <c r="AJ422" s="1" t="s">
        <v>1062</v>
      </c>
      <c r="AK422" s="1" t="s">
        <v>17</v>
      </c>
      <c r="AL422" s="1" t="s">
        <v>71</v>
      </c>
      <c r="AM422" s="1" t="s">
        <v>337</v>
      </c>
      <c r="AN422" s="1" t="s">
        <v>21</v>
      </c>
      <c r="AO422" s="1" t="s">
        <v>280</v>
      </c>
      <c r="AP422" s="1" t="s">
        <v>324</v>
      </c>
      <c r="AQ422" s="1" t="s">
        <v>27</v>
      </c>
    </row>
    <row r="423" spans="1:43" x14ac:dyDescent="0.3">
      <c r="A423" s="1">
        <v>24834863</v>
      </c>
      <c r="B423" s="1">
        <v>25671646</v>
      </c>
      <c r="C423" s="1" t="s">
        <v>266</v>
      </c>
      <c r="D423" s="4">
        <v>46202.40892361111</v>
      </c>
      <c r="E423" s="4">
        <v>46202.415046296293</v>
      </c>
      <c r="F423" s="1" t="s">
        <v>24</v>
      </c>
      <c r="G423" s="1" t="s">
        <v>24</v>
      </c>
      <c r="H423" s="1" t="s">
        <v>1665</v>
      </c>
      <c r="I423" s="1" t="s">
        <v>16</v>
      </c>
      <c r="J423" s="1" t="s">
        <v>1666</v>
      </c>
      <c r="K423" s="1" t="s">
        <v>764</v>
      </c>
      <c r="L423" s="1" t="s">
        <v>764</v>
      </c>
      <c r="M423" s="4">
        <v>46202.411111111112</v>
      </c>
      <c r="N423" s="1" t="s">
        <v>93</v>
      </c>
      <c r="O423" s="1" t="s">
        <v>93</v>
      </c>
      <c r="P423" s="1" t="s">
        <v>342</v>
      </c>
      <c r="Q423" s="1" t="s">
        <v>454</v>
      </c>
      <c r="R423" s="1" t="s">
        <v>286</v>
      </c>
      <c r="S423" s="1" t="s">
        <v>3</v>
      </c>
      <c r="T423" s="1" t="s">
        <v>274</v>
      </c>
      <c r="U423" s="1" t="s">
        <v>193</v>
      </c>
      <c r="V423" s="1" t="s">
        <v>1041</v>
      </c>
      <c r="W423" s="1" t="s">
        <v>93</v>
      </c>
      <c r="X423" s="1" t="s">
        <v>1667</v>
      </c>
      <c r="Y423" s="1" t="s">
        <v>93</v>
      </c>
      <c r="Z423" s="1" t="s">
        <v>56</v>
      </c>
      <c r="AA423" s="1" t="s">
        <v>93</v>
      </c>
      <c r="AB423" s="1">
        <v>371.49</v>
      </c>
      <c r="AC423" s="1">
        <v>0</v>
      </c>
      <c r="AD423" s="1">
        <v>0</v>
      </c>
      <c r="AE423" s="1">
        <v>0</v>
      </c>
      <c r="AF423" s="1">
        <v>0</v>
      </c>
      <c r="AG423" s="1">
        <v>0</v>
      </c>
      <c r="AH423" s="1">
        <v>0</v>
      </c>
      <c r="AI423" s="1" t="s">
        <v>290</v>
      </c>
      <c r="AJ423" s="1" t="s">
        <v>641</v>
      </c>
      <c r="AK423" s="1" t="s">
        <v>16</v>
      </c>
      <c r="AL423" s="1" t="s">
        <v>67</v>
      </c>
      <c r="AM423" s="1" t="s">
        <v>323</v>
      </c>
      <c r="AN423" s="1" t="s">
        <v>21</v>
      </c>
      <c r="AO423" s="1" t="s">
        <v>280</v>
      </c>
      <c r="AP423" s="1" t="s">
        <v>324</v>
      </c>
      <c r="AQ423" s="1" t="s">
        <v>27</v>
      </c>
    </row>
    <row r="424" spans="1:43" x14ac:dyDescent="0.3">
      <c r="A424" s="1">
        <v>24854875</v>
      </c>
      <c r="B424" s="1">
        <v>25692575</v>
      </c>
      <c r="C424" s="1" t="s">
        <v>266</v>
      </c>
      <c r="D424" s="4">
        <v>46205.550625000003</v>
      </c>
      <c r="E424" s="4">
        <v>46205.553020833337</v>
      </c>
      <c r="F424" s="1" t="s">
        <v>22</v>
      </c>
      <c r="G424" s="1" t="s">
        <v>22</v>
      </c>
      <c r="H424" s="1">
        <v>23559154</v>
      </c>
      <c r="I424" s="1" t="s">
        <v>14</v>
      </c>
      <c r="J424" s="1" t="s">
        <v>1668</v>
      </c>
      <c r="K424" s="1" t="s">
        <v>770</v>
      </c>
      <c r="L424" s="1" t="s">
        <v>770</v>
      </c>
      <c r="M424" s="4">
        <v>46206.545138888891</v>
      </c>
      <c r="N424" s="1">
        <v>4717665</v>
      </c>
      <c r="O424" s="1" t="s">
        <v>93</v>
      </c>
      <c r="P424" s="1" t="s">
        <v>342</v>
      </c>
      <c r="Q424" s="1" t="s">
        <v>286</v>
      </c>
      <c r="R424" s="1" t="s">
        <v>286</v>
      </c>
      <c r="S424" s="1" t="s">
        <v>9</v>
      </c>
      <c r="T424" s="1" t="s">
        <v>274</v>
      </c>
      <c r="U424" s="1" t="s">
        <v>184</v>
      </c>
      <c r="V424" s="1" t="s">
        <v>772</v>
      </c>
      <c r="W424" s="1" t="s">
        <v>93</v>
      </c>
      <c r="X424" s="1" t="s">
        <v>1669</v>
      </c>
      <c r="Y424" s="1" t="s">
        <v>93</v>
      </c>
      <c r="Z424" s="1" t="s">
        <v>103</v>
      </c>
      <c r="AA424" s="1" t="s">
        <v>93</v>
      </c>
      <c r="AB424" s="1">
        <v>1102</v>
      </c>
      <c r="AC424" s="1">
        <v>55.1</v>
      </c>
      <c r="AD424" s="1">
        <v>0</v>
      </c>
      <c r="AE424" s="1">
        <v>0</v>
      </c>
      <c r="AF424" s="1">
        <v>0</v>
      </c>
      <c r="AG424" s="1">
        <v>0</v>
      </c>
      <c r="AH424" s="1">
        <v>0</v>
      </c>
      <c r="AI424" s="1" t="s">
        <v>1670</v>
      </c>
      <c r="AJ424" s="1" t="s">
        <v>702</v>
      </c>
      <c r="AK424" s="1" t="s">
        <v>14</v>
      </c>
      <c r="AL424" s="1" t="s">
        <v>67</v>
      </c>
      <c r="AM424" s="1" t="s">
        <v>323</v>
      </c>
      <c r="AN424" s="1" t="s">
        <v>21</v>
      </c>
      <c r="AO424" s="1" t="s">
        <v>280</v>
      </c>
      <c r="AP424" s="1" t="s">
        <v>324</v>
      </c>
      <c r="AQ424" s="1" t="s">
        <v>125</v>
      </c>
    </row>
    <row r="425" spans="1:43" x14ac:dyDescent="0.3">
      <c r="A425" s="1">
        <v>24853806</v>
      </c>
      <c r="B425" s="1">
        <v>25691357</v>
      </c>
      <c r="C425" s="1" t="s">
        <v>266</v>
      </c>
      <c r="D425" s="4">
        <v>46205.453287037039</v>
      </c>
      <c r="E425" s="4">
        <v>46205.454988425918</v>
      </c>
      <c r="F425" s="1" t="s">
        <v>22</v>
      </c>
      <c r="G425" s="1" t="s">
        <v>22</v>
      </c>
      <c r="H425" s="1" t="s">
        <v>1671</v>
      </c>
      <c r="I425" s="1" t="s">
        <v>14</v>
      </c>
      <c r="J425" s="1" t="s">
        <v>1672</v>
      </c>
      <c r="K425" s="1" t="s">
        <v>1673</v>
      </c>
      <c r="L425" s="1" t="s">
        <v>1673</v>
      </c>
      <c r="M425" s="4">
        <v>46205</v>
      </c>
      <c r="N425" s="1">
        <v>4716872</v>
      </c>
      <c r="O425" s="1" t="s">
        <v>93</v>
      </c>
      <c r="P425" s="1" t="s">
        <v>342</v>
      </c>
      <c r="Q425" s="1" t="s">
        <v>286</v>
      </c>
      <c r="R425" s="1" t="s">
        <v>286</v>
      </c>
      <c r="S425" s="1" t="s">
        <v>9</v>
      </c>
      <c r="T425" s="1" t="s">
        <v>274</v>
      </c>
      <c r="U425" s="1" t="s">
        <v>192</v>
      </c>
      <c r="V425" s="1" t="s">
        <v>1674</v>
      </c>
      <c r="W425" s="1" t="s">
        <v>93</v>
      </c>
      <c r="X425" s="1" t="s">
        <v>1675</v>
      </c>
      <c r="Y425" s="1" t="s">
        <v>93</v>
      </c>
      <c r="Z425" s="1" t="s">
        <v>56</v>
      </c>
      <c r="AA425" s="1" t="s">
        <v>93</v>
      </c>
      <c r="AB425" s="1">
        <v>401.2</v>
      </c>
      <c r="AC425" s="1">
        <v>0</v>
      </c>
      <c r="AD425" s="1">
        <v>0</v>
      </c>
      <c r="AE425" s="1">
        <v>0</v>
      </c>
      <c r="AF425" s="1">
        <v>0</v>
      </c>
      <c r="AG425" s="1">
        <v>0</v>
      </c>
      <c r="AH425" s="1">
        <v>0</v>
      </c>
      <c r="AI425" s="1" t="s">
        <v>1676</v>
      </c>
      <c r="AJ425" s="1" t="s">
        <v>1677</v>
      </c>
      <c r="AK425" s="1" t="s">
        <v>14</v>
      </c>
      <c r="AL425" s="1" t="s">
        <v>84</v>
      </c>
      <c r="AM425" s="1" t="s">
        <v>452</v>
      </c>
      <c r="AN425" s="1" t="s">
        <v>21</v>
      </c>
      <c r="AO425" s="1" t="s">
        <v>280</v>
      </c>
      <c r="AP425" s="1" t="s">
        <v>324</v>
      </c>
      <c r="AQ425" s="1" t="s">
        <v>20</v>
      </c>
    </row>
    <row r="426" spans="1:43" x14ac:dyDescent="0.3">
      <c r="A426" s="1">
        <v>24861202</v>
      </c>
      <c r="B426" s="1">
        <v>25699970</v>
      </c>
      <c r="C426" s="1" t="s">
        <v>266</v>
      </c>
      <c r="D426" s="4">
        <v>46206.498657407406</v>
      </c>
      <c r="E426" s="4">
        <v>46206.507893518523</v>
      </c>
      <c r="F426" s="1" t="s">
        <v>22</v>
      </c>
      <c r="G426" s="1" t="s">
        <v>22</v>
      </c>
      <c r="H426" s="1" t="s">
        <v>1678</v>
      </c>
      <c r="I426" s="1" t="s">
        <v>268</v>
      </c>
      <c r="J426" s="1" t="s">
        <v>1592</v>
      </c>
      <c r="K426" s="1" t="s">
        <v>270</v>
      </c>
      <c r="L426" s="1" t="s">
        <v>270</v>
      </c>
      <c r="M426" s="4">
        <v>46188.51226851852</v>
      </c>
      <c r="N426" s="1">
        <v>6364</v>
      </c>
      <c r="O426" s="1" t="s">
        <v>93</v>
      </c>
      <c r="P426" s="1" t="s">
        <v>271</v>
      </c>
      <c r="Q426" s="1" t="s">
        <v>454</v>
      </c>
      <c r="R426" s="1" t="s">
        <v>273</v>
      </c>
      <c r="S426" s="1" t="s">
        <v>7</v>
      </c>
      <c r="T426" s="1" t="s">
        <v>365</v>
      </c>
      <c r="U426" s="1" t="s">
        <v>199</v>
      </c>
      <c r="V426" s="1" t="s">
        <v>1361</v>
      </c>
      <c r="W426" s="1" t="s">
        <v>93</v>
      </c>
      <c r="X426" s="1" t="s">
        <v>500</v>
      </c>
      <c r="Y426" s="1">
        <v>3025699970</v>
      </c>
      <c r="Z426" s="1" t="s">
        <v>48</v>
      </c>
      <c r="AA426" s="1" t="s">
        <v>93</v>
      </c>
      <c r="AB426" s="1">
        <v>321.89999999999998</v>
      </c>
      <c r="AC426" s="1">
        <v>35.15</v>
      </c>
      <c r="AD426" s="1">
        <v>0</v>
      </c>
      <c r="AE426" s="1">
        <v>0</v>
      </c>
      <c r="AF426" s="1">
        <v>0</v>
      </c>
      <c r="AG426" s="1">
        <v>0</v>
      </c>
      <c r="AH426" s="1">
        <v>0</v>
      </c>
      <c r="AI426" s="1" t="s">
        <v>1593</v>
      </c>
      <c r="AJ426" s="1" t="s">
        <v>462</v>
      </c>
      <c r="AK426" s="1" t="s">
        <v>13</v>
      </c>
      <c r="AL426" s="1" t="s">
        <v>78</v>
      </c>
      <c r="AM426" s="1" t="s">
        <v>337</v>
      </c>
      <c r="AN426" s="1" t="s">
        <v>21</v>
      </c>
      <c r="AO426" s="1" t="s">
        <v>280</v>
      </c>
      <c r="AP426" s="1" t="s">
        <v>281</v>
      </c>
      <c r="AQ426" s="1" t="s">
        <v>37</v>
      </c>
    </row>
    <row r="427" spans="1:43" x14ac:dyDescent="0.3">
      <c r="A427" s="1">
        <v>24861207</v>
      </c>
      <c r="B427" s="1">
        <v>25699975</v>
      </c>
      <c r="C427" s="1" t="s">
        <v>266</v>
      </c>
      <c r="D427" s="4">
        <v>46206.499166666668</v>
      </c>
      <c r="E427" s="4">
        <v>46206.51121527778</v>
      </c>
      <c r="F427" s="1" t="s">
        <v>22</v>
      </c>
      <c r="G427" s="1" t="s">
        <v>22</v>
      </c>
      <c r="H427" s="1" t="s">
        <v>1679</v>
      </c>
      <c r="I427" s="1" t="s">
        <v>268</v>
      </c>
      <c r="J427" s="1" t="s">
        <v>1592</v>
      </c>
      <c r="K427" s="1" t="s">
        <v>270</v>
      </c>
      <c r="L427" s="1" t="s">
        <v>270</v>
      </c>
      <c r="M427" s="4">
        <v>46188.651504629634</v>
      </c>
      <c r="N427" s="1">
        <v>7867</v>
      </c>
      <c r="O427" s="1" t="s">
        <v>93</v>
      </c>
      <c r="P427" s="1" t="s">
        <v>271</v>
      </c>
      <c r="Q427" s="1" t="s">
        <v>454</v>
      </c>
      <c r="R427" s="1" t="s">
        <v>273</v>
      </c>
      <c r="S427" s="1" t="s">
        <v>7</v>
      </c>
      <c r="T427" s="1" t="s">
        <v>365</v>
      </c>
      <c r="U427" s="1" t="s">
        <v>186</v>
      </c>
      <c r="V427" s="1" t="s">
        <v>1595</v>
      </c>
      <c r="W427" s="1" t="s">
        <v>93</v>
      </c>
      <c r="X427" s="1" t="s">
        <v>500</v>
      </c>
      <c r="Y427" s="1">
        <v>3025699975</v>
      </c>
      <c r="Z427" s="1" t="s">
        <v>48</v>
      </c>
      <c r="AA427" s="1" t="s">
        <v>93</v>
      </c>
      <c r="AB427" s="1">
        <v>459.9</v>
      </c>
      <c r="AC427" s="1">
        <v>35.15</v>
      </c>
      <c r="AD427" s="1">
        <v>0</v>
      </c>
      <c r="AE427" s="1">
        <v>0</v>
      </c>
      <c r="AF427" s="1">
        <v>0</v>
      </c>
      <c r="AG427" s="1">
        <v>0</v>
      </c>
      <c r="AH427" s="1">
        <v>0</v>
      </c>
      <c r="AI427" s="1" t="s">
        <v>1596</v>
      </c>
      <c r="AJ427" s="1" t="s">
        <v>462</v>
      </c>
      <c r="AK427" s="1" t="s">
        <v>13</v>
      </c>
      <c r="AL427" s="1" t="s">
        <v>78</v>
      </c>
      <c r="AM427" s="1" t="s">
        <v>337</v>
      </c>
      <c r="AN427" s="1" t="s">
        <v>21</v>
      </c>
      <c r="AO427" s="1" t="s">
        <v>280</v>
      </c>
      <c r="AP427" s="1" t="s">
        <v>281</v>
      </c>
      <c r="AQ427" s="1" t="s">
        <v>37</v>
      </c>
    </row>
    <row r="428" spans="1:43" x14ac:dyDescent="0.3">
      <c r="A428" s="1">
        <v>24853839</v>
      </c>
      <c r="B428" s="1">
        <v>25691393</v>
      </c>
      <c r="C428" s="1" t="s">
        <v>266</v>
      </c>
      <c r="D428" s="4">
        <v>46205.45385416667</v>
      </c>
      <c r="E428" s="4">
        <v>46205.456006944441</v>
      </c>
      <c r="F428" s="1" t="s">
        <v>22</v>
      </c>
      <c r="G428" s="1" t="s">
        <v>22</v>
      </c>
      <c r="H428" s="1" t="s">
        <v>1680</v>
      </c>
      <c r="I428" s="1" t="s">
        <v>268</v>
      </c>
      <c r="J428" s="1" t="s">
        <v>1681</v>
      </c>
      <c r="K428" s="1" t="s">
        <v>777</v>
      </c>
      <c r="L428" s="1" t="s">
        <v>777</v>
      </c>
      <c r="M428" s="4">
        <v>46205.404861111107</v>
      </c>
      <c r="N428" s="1">
        <v>128601</v>
      </c>
      <c r="O428" s="1" t="s">
        <v>93</v>
      </c>
      <c r="P428" s="1" t="s">
        <v>342</v>
      </c>
      <c r="Q428" s="1" t="s">
        <v>286</v>
      </c>
      <c r="R428" s="1" t="s">
        <v>286</v>
      </c>
      <c r="S428" s="1" t="s">
        <v>7</v>
      </c>
      <c r="T428" s="1" t="s">
        <v>274</v>
      </c>
      <c r="U428" s="1" t="s">
        <v>158</v>
      </c>
      <c r="V428" s="1" t="s">
        <v>389</v>
      </c>
      <c r="W428" s="1" t="s">
        <v>93</v>
      </c>
      <c r="X428" s="1" t="s">
        <v>500</v>
      </c>
      <c r="Y428" s="1">
        <v>3025691393</v>
      </c>
      <c r="Z428" s="1" t="s">
        <v>70</v>
      </c>
      <c r="AA428" s="1" t="s">
        <v>93</v>
      </c>
      <c r="AB428" s="1">
        <v>0</v>
      </c>
      <c r="AC428" s="1">
        <v>175</v>
      </c>
      <c r="AD428" s="1">
        <v>0</v>
      </c>
      <c r="AE428" s="1">
        <v>0</v>
      </c>
      <c r="AF428" s="1">
        <v>0</v>
      </c>
      <c r="AG428" s="1">
        <v>0</v>
      </c>
      <c r="AH428" s="1">
        <v>0</v>
      </c>
      <c r="AI428" s="1" t="s">
        <v>1682</v>
      </c>
      <c r="AJ428" s="1" t="s">
        <v>403</v>
      </c>
      <c r="AK428" s="1" t="s">
        <v>13</v>
      </c>
      <c r="AL428" s="1" t="s">
        <v>73</v>
      </c>
      <c r="AM428" s="1" t="s">
        <v>337</v>
      </c>
      <c r="AN428" s="1" t="s">
        <v>21</v>
      </c>
      <c r="AO428" s="1" t="s">
        <v>280</v>
      </c>
      <c r="AP428" s="1" t="s">
        <v>324</v>
      </c>
      <c r="AQ428" s="1" t="s">
        <v>125</v>
      </c>
    </row>
    <row r="429" spans="1:43" x14ac:dyDescent="0.3">
      <c r="A429" s="1">
        <v>24853840</v>
      </c>
      <c r="B429" s="1">
        <v>25691394</v>
      </c>
      <c r="C429" s="1" t="s">
        <v>266</v>
      </c>
      <c r="D429" s="4">
        <v>46205.453865740739</v>
      </c>
      <c r="E429" s="4">
        <v>46205.456006944441</v>
      </c>
      <c r="F429" s="1" t="s">
        <v>22</v>
      </c>
      <c r="G429" s="1" t="s">
        <v>22</v>
      </c>
      <c r="H429" s="1" t="s">
        <v>1683</v>
      </c>
      <c r="I429" s="1" t="s">
        <v>268</v>
      </c>
      <c r="J429" s="1" t="s">
        <v>1681</v>
      </c>
      <c r="K429" s="1" t="s">
        <v>777</v>
      </c>
      <c r="L429" s="1" t="s">
        <v>777</v>
      </c>
      <c r="M429" s="4">
        <v>46205.404861111107</v>
      </c>
      <c r="N429" s="1">
        <v>128601</v>
      </c>
      <c r="O429" s="1" t="s">
        <v>93</v>
      </c>
      <c r="P429" s="1" t="s">
        <v>342</v>
      </c>
      <c r="Q429" s="1" t="s">
        <v>286</v>
      </c>
      <c r="R429" s="1" t="s">
        <v>286</v>
      </c>
      <c r="S429" s="1" t="s">
        <v>7</v>
      </c>
      <c r="T429" s="1" t="s">
        <v>274</v>
      </c>
      <c r="U429" s="1" t="s">
        <v>158</v>
      </c>
      <c r="V429" s="1" t="s">
        <v>389</v>
      </c>
      <c r="W429" s="1" t="s">
        <v>93</v>
      </c>
      <c r="X429" s="1" t="s">
        <v>500</v>
      </c>
      <c r="Y429" s="1">
        <v>3025691394</v>
      </c>
      <c r="Z429" s="1" t="s">
        <v>70</v>
      </c>
      <c r="AA429" s="1" t="s">
        <v>93</v>
      </c>
      <c r="AB429" s="1">
        <v>0</v>
      </c>
      <c r="AC429" s="1">
        <v>175</v>
      </c>
      <c r="AD429" s="1">
        <v>0</v>
      </c>
      <c r="AE429" s="1">
        <v>0</v>
      </c>
      <c r="AF429" s="1">
        <v>0</v>
      </c>
      <c r="AG429" s="1">
        <v>0</v>
      </c>
      <c r="AH429" s="1">
        <v>0</v>
      </c>
      <c r="AI429" s="1" t="s">
        <v>1682</v>
      </c>
      <c r="AJ429" s="1" t="s">
        <v>403</v>
      </c>
      <c r="AK429" s="1" t="s">
        <v>13</v>
      </c>
      <c r="AL429" s="1" t="s">
        <v>73</v>
      </c>
      <c r="AM429" s="1" t="s">
        <v>337</v>
      </c>
      <c r="AN429" s="1" t="s">
        <v>21</v>
      </c>
      <c r="AO429" s="1" t="s">
        <v>280</v>
      </c>
      <c r="AP429" s="1" t="s">
        <v>324</v>
      </c>
      <c r="AQ429" s="1" t="s">
        <v>125</v>
      </c>
    </row>
    <row r="430" spans="1:43" x14ac:dyDescent="0.3">
      <c r="A430" s="1">
        <v>24843269</v>
      </c>
      <c r="B430" s="1">
        <v>25679578</v>
      </c>
      <c r="C430" s="1" t="s">
        <v>266</v>
      </c>
      <c r="D430" s="4">
        <v>46203.689571759263</v>
      </c>
      <c r="E430" s="4">
        <v>46203.702488425923</v>
      </c>
      <c r="F430" s="1" t="s">
        <v>24</v>
      </c>
      <c r="G430" s="1" t="s">
        <v>24</v>
      </c>
      <c r="H430" s="1" t="s">
        <v>1684</v>
      </c>
      <c r="I430" s="1" t="s">
        <v>268</v>
      </c>
      <c r="J430" s="1" t="s">
        <v>1685</v>
      </c>
      <c r="K430" s="1" t="s">
        <v>1489</v>
      </c>
      <c r="L430" s="1" t="s">
        <v>1489</v>
      </c>
      <c r="M430" s="4">
        <v>46203.484027777777</v>
      </c>
      <c r="N430" s="1">
        <v>133667</v>
      </c>
      <c r="O430" s="1" t="s">
        <v>93</v>
      </c>
      <c r="P430" s="1" t="s">
        <v>342</v>
      </c>
      <c r="Q430" s="1" t="s">
        <v>286</v>
      </c>
      <c r="R430" s="1" t="s">
        <v>286</v>
      </c>
      <c r="S430" s="1" t="s">
        <v>7</v>
      </c>
      <c r="T430" s="1" t="s">
        <v>274</v>
      </c>
      <c r="U430" s="1" t="s">
        <v>181</v>
      </c>
      <c r="V430" s="1" t="s">
        <v>1686</v>
      </c>
      <c r="W430" s="1" t="s">
        <v>93</v>
      </c>
      <c r="X430" s="1" t="s">
        <v>500</v>
      </c>
      <c r="Y430" s="1">
        <v>3025679577</v>
      </c>
      <c r="Z430" s="1" t="s">
        <v>99</v>
      </c>
      <c r="AA430" s="1" t="s">
        <v>93</v>
      </c>
      <c r="AB430" s="1">
        <v>1008.9</v>
      </c>
      <c r="AC430" s="1">
        <v>55.17</v>
      </c>
      <c r="AD430" s="1">
        <v>0</v>
      </c>
      <c r="AE430" s="1">
        <v>0</v>
      </c>
      <c r="AF430" s="1">
        <v>0</v>
      </c>
      <c r="AG430" s="1">
        <v>0</v>
      </c>
      <c r="AH430" s="1">
        <v>0</v>
      </c>
      <c r="AI430" s="1" t="s">
        <v>1687</v>
      </c>
      <c r="AJ430" s="1" t="s">
        <v>604</v>
      </c>
      <c r="AK430" s="1" t="s">
        <v>13</v>
      </c>
      <c r="AL430" s="1" t="s">
        <v>71</v>
      </c>
      <c r="AM430" s="1" t="s">
        <v>337</v>
      </c>
      <c r="AN430" s="1" t="s">
        <v>21</v>
      </c>
      <c r="AO430" s="1" t="s">
        <v>280</v>
      </c>
      <c r="AP430" s="1" t="s">
        <v>324</v>
      </c>
      <c r="AQ430" s="1" t="s">
        <v>125</v>
      </c>
    </row>
    <row r="431" spans="1:43" x14ac:dyDescent="0.3">
      <c r="A431" s="1">
        <v>24849618</v>
      </c>
      <c r="B431" s="1">
        <v>25686384</v>
      </c>
      <c r="C431" s="1" t="s">
        <v>266</v>
      </c>
      <c r="D431" s="4">
        <v>46204.701064814813</v>
      </c>
      <c r="E431" s="4">
        <v>46204.705752314818</v>
      </c>
      <c r="F431" s="1" t="s">
        <v>22</v>
      </c>
      <c r="G431" s="1" t="s">
        <v>22</v>
      </c>
      <c r="H431" s="1" t="s">
        <v>1688</v>
      </c>
      <c r="I431" s="1" t="s">
        <v>268</v>
      </c>
      <c r="J431" s="1" t="s">
        <v>1689</v>
      </c>
      <c r="K431" s="1" t="s">
        <v>676</v>
      </c>
      <c r="L431" s="1" t="s">
        <v>676</v>
      </c>
      <c r="M431" s="4">
        <v>46204.57708333333</v>
      </c>
      <c r="N431" s="1">
        <v>133746</v>
      </c>
      <c r="O431" s="1" t="s">
        <v>93</v>
      </c>
      <c r="P431" s="1" t="s">
        <v>342</v>
      </c>
      <c r="Q431" s="1" t="s">
        <v>286</v>
      </c>
      <c r="R431" s="1" t="s">
        <v>439</v>
      </c>
      <c r="S431" s="1" t="s">
        <v>7</v>
      </c>
      <c r="T431" s="1" t="s">
        <v>274</v>
      </c>
      <c r="U431" s="1" t="s">
        <v>181</v>
      </c>
      <c r="V431" s="1" t="s">
        <v>1033</v>
      </c>
      <c r="W431" s="1" t="s">
        <v>93</v>
      </c>
      <c r="X431" s="1" t="s">
        <v>500</v>
      </c>
      <c r="Y431" s="1">
        <v>3025686384</v>
      </c>
      <c r="Z431" s="1" t="s">
        <v>99</v>
      </c>
      <c r="AA431" s="1" t="s">
        <v>93</v>
      </c>
      <c r="AB431" s="1">
        <v>0</v>
      </c>
      <c r="AC431" s="1">
        <v>0</v>
      </c>
      <c r="AD431" s="1">
        <v>0</v>
      </c>
      <c r="AE431" s="1">
        <v>0</v>
      </c>
      <c r="AF431" s="1">
        <v>0</v>
      </c>
      <c r="AG431" s="1">
        <v>0</v>
      </c>
      <c r="AH431" s="1">
        <v>0</v>
      </c>
      <c r="AI431" s="1" t="s">
        <v>1690</v>
      </c>
      <c r="AJ431" s="1" t="s">
        <v>604</v>
      </c>
      <c r="AK431" s="1" t="s">
        <v>13</v>
      </c>
      <c r="AL431" s="1" t="s">
        <v>71</v>
      </c>
      <c r="AM431" s="1" t="s">
        <v>337</v>
      </c>
      <c r="AN431" s="1" t="s">
        <v>21</v>
      </c>
      <c r="AO431" s="1" t="s">
        <v>280</v>
      </c>
      <c r="AP431" s="1" t="s">
        <v>324</v>
      </c>
      <c r="AQ431" s="1" t="s">
        <v>125</v>
      </c>
    </row>
    <row r="432" spans="1:43" x14ac:dyDescent="0.3">
      <c r="A432" s="1">
        <v>24860441</v>
      </c>
      <c r="B432" s="1">
        <v>25699034</v>
      </c>
      <c r="C432" s="1" t="s">
        <v>266</v>
      </c>
      <c r="D432" s="4">
        <v>46206.429131944453</v>
      </c>
      <c r="E432" s="4">
        <v>46206.719444444447</v>
      </c>
      <c r="F432" s="1" t="s">
        <v>22</v>
      </c>
      <c r="G432" s="1" t="s">
        <v>22</v>
      </c>
      <c r="H432" s="1" t="s">
        <v>1691</v>
      </c>
      <c r="I432" s="1" t="s">
        <v>17</v>
      </c>
      <c r="J432" s="1" t="s">
        <v>1692</v>
      </c>
      <c r="K432" s="1" t="s">
        <v>1693</v>
      </c>
      <c r="L432" s="1" t="s">
        <v>1693</v>
      </c>
      <c r="M432" s="4">
        <v>46206.263194444437</v>
      </c>
      <c r="N432" s="1" t="s">
        <v>1691</v>
      </c>
      <c r="O432" s="1" t="s">
        <v>93</v>
      </c>
      <c r="P432" s="1" t="s">
        <v>342</v>
      </c>
      <c r="Q432" s="1" t="s">
        <v>320</v>
      </c>
      <c r="R432" s="1" t="s">
        <v>320</v>
      </c>
      <c r="S432" s="1" t="s">
        <v>7</v>
      </c>
      <c r="T432" s="1" t="s">
        <v>274</v>
      </c>
      <c r="U432" s="1" t="s">
        <v>153</v>
      </c>
      <c r="V432" s="1" t="s">
        <v>465</v>
      </c>
      <c r="W432" s="1" t="s">
        <v>93</v>
      </c>
      <c r="X432" s="1" t="s">
        <v>500</v>
      </c>
      <c r="Y432" s="1" t="s">
        <v>93</v>
      </c>
      <c r="Z432" s="1" t="s">
        <v>64</v>
      </c>
      <c r="AA432" s="1" t="s">
        <v>93</v>
      </c>
      <c r="AB432" s="1">
        <v>0</v>
      </c>
      <c r="AC432" s="1">
        <v>0</v>
      </c>
      <c r="AD432" s="1">
        <v>0</v>
      </c>
      <c r="AE432" s="1">
        <v>0</v>
      </c>
      <c r="AF432" s="1">
        <v>0</v>
      </c>
      <c r="AG432" s="1">
        <v>0</v>
      </c>
      <c r="AH432" s="1">
        <v>0</v>
      </c>
      <c r="AI432" s="1" t="s">
        <v>290</v>
      </c>
      <c r="AJ432" s="1" t="s">
        <v>462</v>
      </c>
      <c r="AK432" s="1" t="s">
        <v>17</v>
      </c>
      <c r="AL432" s="1" t="s">
        <v>78</v>
      </c>
      <c r="AM432" s="1" t="s">
        <v>337</v>
      </c>
      <c r="AN432" s="1" t="s">
        <v>21</v>
      </c>
      <c r="AO432" s="1" t="s">
        <v>280</v>
      </c>
      <c r="AP432" s="1" t="s">
        <v>324</v>
      </c>
      <c r="AQ432" s="1" t="s">
        <v>27</v>
      </c>
    </row>
    <row r="433" spans="1:43" x14ac:dyDescent="0.3">
      <c r="A433" s="1">
        <v>24836416</v>
      </c>
      <c r="B433" s="1">
        <v>25673088</v>
      </c>
      <c r="C433" s="1" t="s">
        <v>266</v>
      </c>
      <c r="D433" s="4">
        <v>46202.606817129628</v>
      </c>
      <c r="E433" s="4">
        <v>46206.221365740741</v>
      </c>
      <c r="F433" s="1" t="s">
        <v>22</v>
      </c>
      <c r="G433" s="1" t="s">
        <v>24</v>
      </c>
      <c r="H433" s="1" t="s">
        <v>1694</v>
      </c>
      <c r="I433" s="1" t="s">
        <v>16</v>
      </c>
      <c r="J433" s="1" t="s">
        <v>1695</v>
      </c>
      <c r="K433" s="1" t="s">
        <v>1127</v>
      </c>
      <c r="L433" s="1" t="s">
        <v>1127</v>
      </c>
      <c r="M433" s="4">
        <v>46059.679166666669</v>
      </c>
      <c r="N433" s="1" t="s">
        <v>1696</v>
      </c>
      <c r="O433" s="1" t="s">
        <v>93</v>
      </c>
      <c r="P433" s="1" t="s">
        <v>342</v>
      </c>
      <c r="Q433" s="1" t="s">
        <v>286</v>
      </c>
      <c r="R433" s="1" t="s">
        <v>439</v>
      </c>
      <c r="S433" s="1" t="s">
        <v>7</v>
      </c>
      <c r="T433" s="1" t="s">
        <v>274</v>
      </c>
      <c r="U433" s="1" t="s">
        <v>153</v>
      </c>
      <c r="V433" s="1" t="s">
        <v>1697</v>
      </c>
      <c r="W433" s="1" t="s">
        <v>288</v>
      </c>
      <c r="X433" s="1" t="s">
        <v>500</v>
      </c>
      <c r="Y433" s="1">
        <v>3025673094</v>
      </c>
      <c r="Z433" s="1" t="s">
        <v>64</v>
      </c>
      <c r="AA433" s="1" t="s">
        <v>93</v>
      </c>
      <c r="AB433" s="1">
        <v>2722.67</v>
      </c>
      <c r="AC433" s="1">
        <v>56.52</v>
      </c>
      <c r="AD433" s="1">
        <v>1424.09</v>
      </c>
      <c r="AE433" s="1">
        <v>0</v>
      </c>
      <c r="AF433" s="1">
        <v>0</v>
      </c>
      <c r="AG433" s="1">
        <v>0</v>
      </c>
      <c r="AH433" s="1">
        <v>21.9</v>
      </c>
      <c r="AI433" s="1" t="s">
        <v>290</v>
      </c>
      <c r="AJ433" s="1" t="s">
        <v>512</v>
      </c>
      <c r="AK433" s="1" t="s">
        <v>16</v>
      </c>
      <c r="AL433" s="1" t="s">
        <v>90</v>
      </c>
      <c r="AM433" s="1" t="s">
        <v>513</v>
      </c>
      <c r="AN433" s="1" t="s">
        <v>30</v>
      </c>
      <c r="AO433" s="1" t="s">
        <v>280</v>
      </c>
      <c r="AP433" s="1" t="s">
        <v>324</v>
      </c>
      <c r="AQ433" s="1" t="s">
        <v>27</v>
      </c>
    </row>
    <row r="434" spans="1:43" x14ac:dyDescent="0.3">
      <c r="A434" s="1">
        <v>24861317</v>
      </c>
      <c r="B434" s="1">
        <v>25700100</v>
      </c>
      <c r="C434" s="1" t="s">
        <v>266</v>
      </c>
      <c r="D434" s="4">
        <v>46206.506851851853</v>
      </c>
      <c r="E434" s="4">
        <v>46206.524386574078</v>
      </c>
      <c r="F434" s="1" t="s">
        <v>22</v>
      </c>
      <c r="G434" s="1" t="s">
        <v>22</v>
      </c>
      <c r="H434" s="1" t="s">
        <v>1698</v>
      </c>
      <c r="I434" s="1" t="s">
        <v>268</v>
      </c>
      <c r="J434" s="1" t="s">
        <v>1592</v>
      </c>
      <c r="K434" s="1" t="s">
        <v>270</v>
      </c>
      <c r="L434" s="1" t="s">
        <v>270</v>
      </c>
      <c r="M434" s="4">
        <v>46188.683125000003</v>
      </c>
      <c r="N434" s="1">
        <v>690</v>
      </c>
      <c r="O434" s="1" t="s">
        <v>93</v>
      </c>
      <c r="P434" s="1" t="s">
        <v>271</v>
      </c>
      <c r="Q434" s="1" t="s">
        <v>454</v>
      </c>
      <c r="R434" s="1" t="s">
        <v>273</v>
      </c>
      <c r="S434" s="1" t="s">
        <v>7</v>
      </c>
      <c r="T434" s="1" t="s">
        <v>365</v>
      </c>
      <c r="U434" s="1" t="s">
        <v>1635</v>
      </c>
      <c r="V434" s="1" t="s">
        <v>1636</v>
      </c>
      <c r="W434" s="1" t="s">
        <v>93</v>
      </c>
      <c r="X434" s="1" t="s">
        <v>500</v>
      </c>
      <c r="Y434" s="1">
        <v>3025700100</v>
      </c>
      <c r="Z434" s="1" t="s">
        <v>117</v>
      </c>
      <c r="AA434" s="1" t="s">
        <v>93</v>
      </c>
      <c r="AB434" s="1">
        <v>295.89999999999998</v>
      </c>
      <c r="AC434" s="1">
        <v>62.62</v>
      </c>
      <c r="AD434" s="1">
        <v>0</v>
      </c>
      <c r="AE434" s="1">
        <v>0</v>
      </c>
      <c r="AF434" s="1">
        <v>0</v>
      </c>
      <c r="AG434" s="1">
        <v>0</v>
      </c>
      <c r="AH434" s="1">
        <v>0</v>
      </c>
      <c r="AI434" s="1" t="s">
        <v>1637</v>
      </c>
      <c r="AJ434" s="1" t="s">
        <v>462</v>
      </c>
      <c r="AK434" s="1" t="s">
        <v>13</v>
      </c>
      <c r="AL434" s="1" t="s">
        <v>78</v>
      </c>
      <c r="AM434" s="1" t="s">
        <v>337</v>
      </c>
      <c r="AN434" s="1" t="s">
        <v>21</v>
      </c>
      <c r="AO434" s="1" t="s">
        <v>280</v>
      </c>
      <c r="AP434" s="1" t="s">
        <v>281</v>
      </c>
      <c r="AQ434" s="1" t="s">
        <v>37</v>
      </c>
    </row>
    <row r="435" spans="1:43" x14ac:dyDescent="0.3">
      <c r="A435" s="1">
        <v>24858271</v>
      </c>
      <c r="B435" s="1">
        <v>25696524</v>
      </c>
      <c r="C435" s="1" t="s">
        <v>266</v>
      </c>
      <c r="D435" s="4">
        <v>46205.870983796303</v>
      </c>
      <c r="E435" s="4">
        <v>46206.721250000002</v>
      </c>
      <c r="F435" s="1" t="s">
        <v>22</v>
      </c>
      <c r="G435" s="1" t="s">
        <v>22</v>
      </c>
      <c r="H435" s="1" t="s">
        <v>1699</v>
      </c>
      <c r="I435" s="1" t="s">
        <v>17</v>
      </c>
      <c r="J435" s="1" t="s">
        <v>1700</v>
      </c>
      <c r="K435" s="1" t="s">
        <v>284</v>
      </c>
      <c r="L435" s="1" t="s">
        <v>284</v>
      </c>
      <c r="M435" s="4">
        <v>46205.644444444442</v>
      </c>
      <c r="N435" s="1" t="s">
        <v>1581</v>
      </c>
      <c r="O435" s="1" t="s">
        <v>93</v>
      </c>
      <c r="P435" s="1" t="s">
        <v>271</v>
      </c>
      <c r="Q435" s="1" t="s">
        <v>286</v>
      </c>
      <c r="R435" s="1" t="s">
        <v>286</v>
      </c>
      <c r="S435" s="1" t="s">
        <v>9</v>
      </c>
      <c r="T435" s="1" t="s">
        <v>274</v>
      </c>
      <c r="U435" s="1" t="s">
        <v>183</v>
      </c>
      <c r="V435" s="1" t="s">
        <v>529</v>
      </c>
      <c r="W435" s="1" t="s">
        <v>288</v>
      </c>
      <c r="X435" s="1" t="s">
        <v>1701</v>
      </c>
      <c r="Y435" s="1" t="s">
        <v>93</v>
      </c>
      <c r="Z435" s="1" t="s">
        <v>97</v>
      </c>
      <c r="AA435" s="1" t="s">
        <v>93</v>
      </c>
      <c r="AB435" s="1">
        <v>1467.4996000000001</v>
      </c>
      <c r="AC435" s="1">
        <v>56.48</v>
      </c>
      <c r="AD435" s="1">
        <v>0</v>
      </c>
      <c r="AE435" s="1">
        <v>0</v>
      </c>
      <c r="AF435" s="1">
        <v>0</v>
      </c>
      <c r="AG435" s="1">
        <v>0</v>
      </c>
      <c r="AH435" s="1">
        <v>39</v>
      </c>
      <c r="AI435" s="1" t="s">
        <v>290</v>
      </c>
      <c r="AJ435" s="1" t="s">
        <v>1098</v>
      </c>
      <c r="AK435" s="1" t="s">
        <v>17</v>
      </c>
      <c r="AL435" s="1" t="s">
        <v>71</v>
      </c>
      <c r="AM435" s="1" t="s">
        <v>337</v>
      </c>
      <c r="AN435" s="1" t="s">
        <v>21</v>
      </c>
      <c r="AO435" s="1" t="s">
        <v>280</v>
      </c>
      <c r="AP435" s="1" t="s">
        <v>324</v>
      </c>
      <c r="AQ435" s="1" t="s">
        <v>20</v>
      </c>
    </row>
    <row r="436" spans="1:43" x14ac:dyDescent="0.3">
      <c r="A436" s="1">
        <v>24844568</v>
      </c>
      <c r="B436" s="1">
        <v>25680936</v>
      </c>
      <c r="C436" s="1" t="s">
        <v>266</v>
      </c>
      <c r="D436" s="4">
        <v>46203.773020833331</v>
      </c>
      <c r="E436" s="4">
        <v>46206.71769675926</v>
      </c>
      <c r="F436" s="1" t="s">
        <v>22</v>
      </c>
      <c r="G436" s="1" t="s">
        <v>24</v>
      </c>
      <c r="H436" s="1" t="s">
        <v>1702</v>
      </c>
      <c r="I436" s="1" t="s">
        <v>17</v>
      </c>
      <c r="J436" s="1" t="s">
        <v>1703</v>
      </c>
      <c r="K436" s="1" t="s">
        <v>319</v>
      </c>
      <c r="L436" s="1" t="s">
        <v>319</v>
      </c>
      <c r="M436" s="4">
        <v>46203.61041666667</v>
      </c>
      <c r="N436" s="1" t="s">
        <v>1704</v>
      </c>
      <c r="O436" s="1" t="s">
        <v>93</v>
      </c>
      <c r="P436" s="1" t="s">
        <v>342</v>
      </c>
      <c r="Q436" s="1" t="s">
        <v>303</v>
      </c>
      <c r="R436" s="1" t="s">
        <v>272</v>
      </c>
      <c r="S436" s="1" t="s">
        <v>9</v>
      </c>
      <c r="T436" s="1" t="s">
        <v>274</v>
      </c>
      <c r="U436" s="1" t="s">
        <v>226</v>
      </c>
      <c r="V436" s="1" t="s">
        <v>1705</v>
      </c>
      <c r="W436" s="1" t="s">
        <v>93</v>
      </c>
      <c r="X436" s="1" t="s">
        <v>1706</v>
      </c>
      <c r="Y436" s="1" t="s">
        <v>93</v>
      </c>
      <c r="Z436" s="1" t="s">
        <v>116</v>
      </c>
      <c r="AA436" s="1" t="s">
        <v>93</v>
      </c>
      <c r="AB436" s="1">
        <v>1499.48</v>
      </c>
      <c r="AC436" s="1">
        <v>0</v>
      </c>
      <c r="AD436" s="1">
        <v>0</v>
      </c>
      <c r="AE436" s="1">
        <v>0</v>
      </c>
      <c r="AF436" s="1">
        <v>0</v>
      </c>
      <c r="AG436" s="1">
        <v>0</v>
      </c>
      <c r="AH436" s="1">
        <v>0</v>
      </c>
      <c r="AI436" s="1" t="s">
        <v>290</v>
      </c>
      <c r="AJ436" s="1" t="s">
        <v>707</v>
      </c>
      <c r="AK436" s="1" t="s">
        <v>17</v>
      </c>
      <c r="AL436" s="1" t="s">
        <v>69</v>
      </c>
      <c r="AM436" s="1" t="s">
        <v>337</v>
      </c>
      <c r="AN436" s="1" t="s">
        <v>21</v>
      </c>
      <c r="AO436" s="1" t="s">
        <v>280</v>
      </c>
      <c r="AP436" s="1" t="s">
        <v>324</v>
      </c>
      <c r="AQ436" s="1" t="s">
        <v>27</v>
      </c>
    </row>
    <row r="437" spans="1:43" x14ac:dyDescent="0.3">
      <c r="A437" s="1">
        <v>24861753</v>
      </c>
      <c r="B437" s="1">
        <v>25700599</v>
      </c>
      <c r="C437" s="1" t="s">
        <v>294</v>
      </c>
      <c r="D437" s="4">
        <v>46206.568796296298</v>
      </c>
      <c r="E437" s="4">
        <v>46206.571145833332</v>
      </c>
      <c r="F437" s="1" t="s">
        <v>22</v>
      </c>
      <c r="G437" s="1" t="s">
        <v>22</v>
      </c>
      <c r="H437" s="1" t="s">
        <v>1458</v>
      </c>
      <c r="I437" s="1" t="s">
        <v>17</v>
      </c>
      <c r="J437" s="1" t="s">
        <v>1459</v>
      </c>
      <c r="K437" s="1" t="s">
        <v>1455</v>
      </c>
      <c r="L437" s="1" t="s">
        <v>1455</v>
      </c>
      <c r="M437" s="4">
        <v>46205.597916666673</v>
      </c>
      <c r="N437" s="1">
        <v>9999</v>
      </c>
      <c r="O437" s="1" t="s">
        <v>93</v>
      </c>
      <c r="P437" s="1" t="s">
        <v>342</v>
      </c>
      <c r="Q437" s="1" t="s">
        <v>286</v>
      </c>
      <c r="R437" s="1" t="s">
        <v>286</v>
      </c>
      <c r="S437" s="1" t="s">
        <v>9</v>
      </c>
      <c r="T437" s="1" t="s">
        <v>274</v>
      </c>
      <c r="U437" s="1" t="s">
        <v>211</v>
      </c>
      <c r="V437" s="1" t="s">
        <v>1457</v>
      </c>
      <c r="W437" s="1" t="s">
        <v>93</v>
      </c>
      <c r="X437" s="1" t="s">
        <v>1707</v>
      </c>
      <c r="Y437" s="1" t="s">
        <v>93</v>
      </c>
      <c r="Z437" s="1" t="s">
        <v>131</v>
      </c>
      <c r="AA437" s="1" t="s">
        <v>93</v>
      </c>
      <c r="AB437" s="1">
        <v>2519.5749999999998</v>
      </c>
      <c r="AC437" s="1">
        <v>88.02</v>
      </c>
      <c r="AD437" s="1">
        <v>0</v>
      </c>
      <c r="AE437" s="1">
        <v>0</v>
      </c>
      <c r="AF437" s="1">
        <v>0</v>
      </c>
      <c r="AG437" s="1">
        <v>0</v>
      </c>
      <c r="AH437" s="1">
        <v>0</v>
      </c>
      <c r="AI437" s="1" t="s">
        <v>290</v>
      </c>
      <c r="AJ437" s="1" t="s">
        <v>410</v>
      </c>
      <c r="AK437" s="1" t="s">
        <v>17</v>
      </c>
      <c r="AL437" s="1" t="s">
        <v>65</v>
      </c>
      <c r="AM437" s="1" t="s">
        <v>292</v>
      </c>
      <c r="AN437" s="1" t="s">
        <v>21</v>
      </c>
      <c r="AO437" s="1" t="s">
        <v>280</v>
      </c>
      <c r="AP437" s="1" t="s">
        <v>324</v>
      </c>
      <c r="AQ437" s="1" t="s">
        <v>20</v>
      </c>
    </row>
    <row r="438" spans="1:43" x14ac:dyDescent="0.3">
      <c r="A438" s="1">
        <v>24861376</v>
      </c>
      <c r="B438" s="1">
        <v>25700175</v>
      </c>
      <c r="C438" s="1" t="s">
        <v>382</v>
      </c>
      <c r="D438" s="4">
        <v>46206.516099537039</v>
      </c>
      <c r="E438" s="4">
        <v>46206.51829861111</v>
      </c>
      <c r="F438" s="1" t="s">
        <v>22</v>
      </c>
      <c r="G438" s="1" t="s">
        <v>22</v>
      </c>
      <c r="H438" s="1" t="s">
        <v>1384</v>
      </c>
      <c r="I438" s="1" t="s">
        <v>17</v>
      </c>
      <c r="J438" s="1" t="s">
        <v>1370</v>
      </c>
      <c r="K438" s="1" t="s">
        <v>314</v>
      </c>
      <c r="L438" s="1" t="s">
        <v>314</v>
      </c>
      <c r="M438" s="4">
        <v>46206.388888888891</v>
      </c>
      <c r="N438" s="1" t="s">
        <v>1371</v>
      </c>
      <c r="O438" s="1" t="s">
        <v>93</v>
      </c>
      <c r="P438" s="1" t="s">
        <v>271</v>
      </c>
      <c r="Q438" s="1" t="s">
        <v>286</v>
      </c>
      <c r="R438" s="1" t="s">
        <v>286</v>
      </c>
      <c r="S438" s="1" t="s">
        <v>9</v>
      </c>
      <c r="T438" s="1" t="s">
        <v>274</v>
      </c>
      <c r="U438" s="1" t="s">
        <v>205</v>
      </c>
      <c r="V438" s="1" t="s">
        <v>474</v>
      </c>
      <c r="W438" s="1" t="s">
        <v>93</v>
      </c>
      <c r="X438" s="1" t="s">
        <v>1708</v>
      </c>
      <c r="Y438" s="1" t="s">
        <v>93</v>
      </c>
      <c r="Z438" s="1" t="s">
        <v>56</v>
      </c>
      <c r="AA438" s="1" t="s">
        <v>93</v>
      </c>
      <c r="AB438" s="1">
        <v>517.5</v>
      </c>
      <c r="AC438" s="1">
        <v>25.88</v>
      </c>
      <c r="AD438" s="1">
        <v>0</v>
      </c>
      <c r="AE438" s="1">
        <v>0</v>
      </c>
      <c r="AF438" s="1">
        <v>0</v>
      </c>
      <c r="AG438" s="1">
        <v>0</v>
      </c>
      <c r="AH438" s="1">
        <v>0</v>
      </c>
      <c r="AI438" s="1" t="s">
        <v>290</v>
      </c>
      <c r="AJ438" s="1" t="s">
        <v>291</v>
      </c>
      <c r="AK438" s="1" t="s">
        <v>17</v>
      </c>
      <c r="AL438" s="1" t="s">
        <v>65</v>
      </c>
      <c r="AM438" s="1" t="s">
        <v>292</v>
      </c>
      <c r="AN438" s="1" t="s">
        <v>21</v>
      </c>
      <c r="AO438" s="1" t="s">
        <v>293</v>
      </c>
      <c r="AP438" s="1" t="s">
        <v>281</v>
      </c>
      <c r="AQ438" s="1" t="s">
        <v>34</v>
      </c>
    </row>
    <row r="439" spans="1:43" x14ac:dyDescent="0.3">
      <c r="A439" s="1">
        <v>24861374</v>
      </c>
      <c r="B439" s="1">
        <v>25700169</v>
      </c>
      <c r="C439" s="1" t="s">
        <v>266</v>
      </c>
      <c r="D439" s="4">
        <v>46206.516006944446</v>
      </c>
      <c r="E439" s="4">
        <v>46206.518287037034</v>
      </c>
      <c r="F439" s="1" t="s">
        <v>22</v>
      </c>
      <c r="G439" s="1" t="s">
        <v>22</v>
      </c>
      <c r="H439" s="1" t="s">
        <v>1366</v>
      </c>
      <c r="I439" s="1" t="s">
        <v>17</v>
      </c>
      <c r="J439" s="1" t="s">
        <v>1367</v>
      </c>
      <c r="K439" s="1" t="s">
        <v>314</v>
      </c>
      <c r="L439" s="1" t="s">
        <v>314</v>
      </c>
      <c r="M439" s="4">
        <v>46206.386111111111</v>
      </c>
      <c r="N439" s="1" t="s">
        <v>1368</v>
      </c>
      <c r="O439" s="1" t="s">
        <v>93</v>
      </c>
      <c r="P439" s="1" t="s">
        <v>271</v>
      </c>
      <c r="Q439" s="1" t="s">
        <v>286</v>
      </c>
      <c r="R439" s="1" t="s">
        <v>286</v>
      </c>
      <c r="S439" s="1" t="s">
        <v>9</v>
      </c>
      <c r="T439" s="1" t="s">
        <v>274</v>
      </c>
      <c r="U439" s="1" t="s">
        <v>205</v>
      </c>
      <c r="V439" s="1" t="s">
        <v>474</v>
      </c>
      <c r="W439" s="1" t="s">
        <v>93</v>
      </c>
      <c r="X439" s="1" t="s">
        <v>1708</v>
      </c>
      <c r="Y439" s="1" t="s">
        <v>93</v>
      </c>
      <c r="Z439" s="1" t="s">
        <v>56</v>
      </c>
      <c r="AA439" s="1" t="s">
        <v>93</v>
      </c>
      <c r="AB439" s="1">
        <v>450</v>
      </c>
      <c r="AC439" s="1">
        <v>22.5</v>
      </c>
      <c r="AD439" s="1">
        <v>0</v>
      </c>
      <c r="AE439" s="1">
        <v>0</v>
      </c>
      <c r="AF439" s="1">
        <v>0</v>
      </c>
      <c r="AG439" s="1">
        <v>0</v>
      </c>
      <c r="AH439" s="1">
        <v>0</v>
      </c>
      <c r="AI439" s="1" t="s">
        <v>290</v>
      </c>
      <c r="AJ439" s="1" t="s">
        <v>291</v>
      </c>
      <c r="AK439" s="1" t="s">
        <v>17</v>
      </c>
      <c r="AL439" s="1" t="s">
        <v>65</v>
      </c>
      <c r="AM439" s="1" t="s">
        <v>292</v>
      </c>
      <c r="AN439" s="1" t="s">
        <v>21</v>
      </c>
      <c r="AO439" s="1" t="s">
        <v>293</v>
      </c>
      <c r="AP439" s="1" t="s">
        <v>281</v>
      </c>
      <c r="AQ439" s="1" t="s">
        <v>34</v>
      </c>
    </row>
    <row r="440" spans="1:43" x14ac:dyDescent="0.3">
      <c r="A440" s="1">
        <v>24861376</v>
      </c>
      <c r="B440" s="1">
        <v>25700173</v>
      </c>
      <c r="C440" s="1" t="s">
        <v>266</v>
      </c>
      <c r="D440" s="4">
        <v>46206.516099537039</v>
      </c>
      <c r="E440" s="4">
        <v>46206.51829861111</v>
      </c>
      <c r="F440" s="1" t="s">
        <v>22</v>
      </c>
      <c r="G440" s="1" t="s">
        <v>22</v>
      </c>
      <c r="H440" s="1" t="s">
        <v>1384</v>
      </c>
      <c r="I440" s="1" t="s">
        <v>17</v>
      </c>
      <c r="J440" s="1" t="s">
        <v>1370</v>
      </c>
      <c r="K440" s="1" t="s">
        <v>314</v>
      </c>
      <c r="L440" s="1" t="s">
        <v>314</v>
      </c>
      <c r="M440" s="4">
        <v>46206.388888888891</v>
      </c>
      <c r="N440" s="1" t="s">
        <v>1371</v>
      </c>
      <c r="O440" s="1" t="s">
        <v>93</v>
      </c>
      <c r="P440" s="1" t="s">
        <v>271</v>
      </c>
      <c r="Q440" s="1" t="s">
        <v>286</v>
      </c>
      <c r="R440" s="1" t="s">
        <v>286</v>
      </c>
      <c r="S440" s="1" t="s">
        <v>9</v>
      </c>
      <c r="T440" s="1" t="s">
        <v>274</v>
      </c>
      <c r="U440" s="1" t="s">
        <v>205</v>
      </c>
      <c r="V440" s="1" t="s">
        <v>474</v>
      </c>
      <c r="W440" s="1" t="s">
        <v>93</v>
      </c>
      <c r="X440" s="1" t="s">
        <v>1708</v>
      </c>
      <c r="Y440" s="1" t="s">
        <v>93</v>
      </c>
      <c r="Z440" s="1" t="s">
        <v>56</v>
      </c>
      <c r="AA440" s="1" t="s">
        <v>93</v>
      </c>
      <c r="AB440" s="1">
        <v>450</v>
      </c>
      <c r="AC440" s="1">
        <v>22.5</v>
      </c>
      <c r="AD440" s="1">
        <v>0</v>
      </c>
      <c r="AE440" s="1">
        <v>0</v>
      </c>
      <c r="AF440" s="1">
        <v>0</v>
      </c>
      <c r="AG440" s="1">
        <v>0</v>
      </c>
      <c r="AH440" s="1">
        <v>0</v>
      </c>
      <c r="AI440" s="1" t="s">
        <v>290</v>
      </c>
      <c r="AJ440" s="1" t="s">
        <v>291</v>
      </c>
      <c r="AK440" s="1" t="s">
        <v>17</v>
      </c>
      <c r="AL440" s="1" t="s">
        <v>65</v>
      </c>
      <c r="AM440" s="1" t="s">
        <v>292</v>
      </c>
      <c r="AN440" s="1" t="s">
        <v>21</v>
      </c>
      <c r="AO440" s="1" t="s">
        <v>293</v>
      </c>
      <c r="AP440" s="1" t="s">
        <v>281</v>
      </c>
      <c r="AQ440" s="1" t="s">
        <v>34</v>
      </c>
    </row>
    <row r="441" spans="1:43" x14ac:dyDescent="0.3">
      <c r="A441" s="1">
        <v>24861374</v>
      </c>
      <c r="B441" s="1">
        <v>25700171</v>
      </c>
      <c r="C441" s="1" t="s">
        <v>382</v>
      </c>
      <c r="D441" s="4">
        <v>46206.516006944446</v>
      </c>
      <c r="E441" s="4">
        <v>46206.518287037034</v>
      </c>
      <c r="F441" s="1" t="s">
        <v>22</v>
      </c>
      <c r="G441" s="1" t="s">
        <v>22</v>
      </c>
      <c r="H441" s="1" t="s">
        <v>1366</v>
      </c>
      <c r="I441" s="1" t="s">
        <v>17</v>
      </c>
      <c r="J441" s="1" t="s">
        <v>1367</v>
      </c>
      <c r="K441" s="1" t="s">
        <v>314</v>
      </c>
      <c r="L441" s="1" t="s">
        <v>314</v>
      </c>
      <c r="M441" s="4">
        <v>46206.386111111111</v>
      </c>
      <c r="N441" s="1" t="s">
        <v>1368</v>
      </c>
      <c r="O441" s="1" t="s">
        <v>93</v>
      </c>
      <c r="P441" s="1" t="s">
        <v>271</v>
      </c>
      <c r="Q441" s="1" t="s">
        <v>286</v>
      </c>
      <c r="R441" s="1" t="s">
        <v>286</v>
      </c>
      <c r="S441" s="1" t="s">
        <v>9</v>
      </c>
      <c r="T441" s="1" t="s">
        <v>274</v>
      </c>
      <c r="U441" s="1" t="s">
        <v>205</v>
      </c>
      <c r="V441" s="1" t="s">
        <v>474</v>
      </c>
      <c r="W441" s="1" t="s">
        <v>93</v>
      </c>
      <c r="X441" s="1" t="s">
        <v>1708</v>
      </c>
      <c r="Y441" s="1" t="s">
        <v>93</v>
      </c>
      <c r="Z441" s="1" t="s">
        <v>56</v>
      </c>
      <c r="AA441" s="1" t="s">
        <v>93</v>
      </c>
      <c r="AB441" s="1">
        <v>450</v>
      </c>
      <c r="AC441" s="1">
        <v>22.5</v>
      </c>
      <c r="AD441" s="1">
        <v>0</v>
      </c>
      <c r="AE441" s="1">
        <v>0</v>
      </c>
      <c r="AF441" s="1">
        <v>0</v>
      </c>
      <c r="AG441" s="1">
        <v>0</v>
      </c>
      <c r="AH441" s="1">
        <v>0</v>
      </c>
      <c r="AI441" s="1" t="s">
        <v>290</v>
      </c>
      <c r="AJ441" s="1" t="s">
        <v>291</v>
      </c>
      <c r="AK441" s="1" t="s">
        <v>17</v>
      </c>
      <c r="AL441" s="1" t="s">
        <v>65</v>
      </c>
      <c r="AM441" s="1" t="s">
        <v>292</v>
      </c>
      <c r="AN441" s="1" t="s">
        <v>21</v>
      </c>
      <c r="AO441" s="1" t="s">
        <v>293</v>
      </c>
      <c r="AP441" s="1" t="s">
        <v>281</v>
      </c>
      <c r="AQ441" s="1" t="s">
        <v>34</v>
      </c>
    </row>
    <row r="442" spans="1:43" x14ac:dyDescent="0.3">
      <c r="A442" s="1">
        <v>24844110</v>
      </c>
      <c r="B442" s="1">
        <v>25680468</v>
      </c>
      <c r="C442" s="1" t="s">
        <v>266</v>
      </c>
      <c r="D442" s="4">
        <v>46203.718969907408</v>
      </c>
      <c r="E442" s="4">
        <v>46203.809710648151</v>
      </c>
      <c r="F442" s="1" t="s">
        <v>24</v>
      </c>
      <c r="G442" s="1" t="s">
        <v>24</v>
      </c>
      <c r="H442" s="1" t="s">
        <v>1709</v>
      </c>
      <c r="I442" s="1" t="s">
        <v>268</v>
      </c>
      <c r="J442" s="1" t="s">
        <v>1710</v>
      </c>
      <c r="K442" s="1" t="s">
        <v>270</v>
      </c>
      <c r="L442" s="1" t="s">
        <v>270</v>
      </c>
      <c r="M442" s="4">
        <v>46203.456250000003</v>
      </c>
      <c r="N442" s="1">
        <v>1583</v>
      </c>
      <c r="O442" s="1" t="s">
        <v>93</v>
      </c>
      <c r="P442" s="1" t="s">
        <v>271</v>
      </c>
      <c r="Q442" s="1" t="s">
        <v>286</v>
      </c>
      <c r="R442" s="1" t="s">
        <v>286</v>
      </c>
      <c r="S442" s="1" t="s">
        <v>9</v>
      </c>
      <c r="T442" s="1" t="s">
        <v>274</v>
      </c>
      <c r="U442" s="1" t="s">
        <v>93</v>
      </c>
      <c r="V442" s="1" t="s">
        <v>93</v>
      </c>
      <c r="W442" s="1" t="s">
        <v>93</v>
      </c>
      <c r="X442" s="1" t="s">
        <v>1711</v>
      </c>
      <c r="Y442" s="1" t="s">
        <v>93</v>
      </c>
      <c r="Z442" s="1" t="s">
        <v>93</v>
      </c>
      <c r="AA442" s="1" t="s">
        <v>93</v>
      </c>
      <c r="AB442" s="1">
        <v>8452.125</v>
      </c>
      <c r="AC442" s="1">
        <v>0</v>
      </c>
      <c r="AD442" s="1">
        <v>0</v>
      </c>
      <c r="AE442" s="1">
        <v>0</v>
      </c>
      <c r="AF442" s="1">
        <v>0</v>
      </c>
      <c r="AG442" s="1">
        <v>1648.3</v>
      </c>
      <c r="AH442" s="1">
        <v>0</v>
      </c>
      <c r="AI442" s="1" t="s">
        <v>1712</v>
      </c>
      <c r="AJ442" s="1" t="s">
        <v>541</v>
      </c>
      <c r="AK442" s="1" t="s">
        <v>13</v>
      </c>
      <c r="AL442" s="1" t="s">
        <v>100</v>
      </c>
      <c r="AM442" s="1" t="s">
        <v>337</v>
      </c>
      <c r="AN442" s="1" t="s">
        <v>21</v>
      </c>
      <c r="AO442" s="1" t="s">
        <v>280</v>
      </c>
      <c r="AP442" s="1" t="s">
        <v>324</v>
      </c>
      <c r="AQ442" s="1" t="s">
        <v>125</v>
      </c>
    </row>
    <row r="443" spans="1:43" x14ac:dyDescent="0.3">
      <c r="A443" s="1">
        <v>24848939</v>
      </c>
      <c r="B443" s="1">
        <v>25685636</v>
      </c>
      <c r="C443" s="1" t="s">
        <v>266</v>
      </c>
      <c r="D443" s="4">
        <v>46204.627199074072</v>
      </c>
      <c r="E443" s="4">
        <v>46204.628738425927</v>
      </c>
      <c r="F443" s="1" t="s">
        <v>22</v>
      </c>
      <c r="G443" s="1" t="s">
        <v>22</v>
      </c>
      <c r="H443" s="1">
        <v>23543234</v>
      </c>
      <c r="I443" s="1" t="s">
        <v>14</v>
      </c>
      <c r="J443" s="1" t="s">
        <v>1713</v>
      </c>
      <c r="K443" s="1" t="s">
        <v>770</v>
      </c>
      <c r="L443" s="1" t="s">
        <v>770</v>
      </c>
      <c r="M443" s="4">
        <v>46205.620138888888</v>
      </c>
      <c r="N443" s="1">
        <v>4716815</v>
      </c>
      <c r="O443" s="1" t="s">
        <v>93</v>
      </c>
      <c r="P443" s="1" t="s">
        <v>342</v>
      </c>
      <c r="Q443" s="1" t="s">
        <v>303</v>
      </c>
      <c r="R443" s="1" t="s">
        <v>272</v>
      </c>
      <c r="S443" s="1" t="s">
        <v>9</v>
      </c>
      <c r="T443" s="1" t="s">
        <v>274</v>
      </c>
      <c r="U443" s="1" t="s">
        <v>217</v>
      </c>
      <c r="V443" s="1" t="s">
        <v>699</v>
      </c>
      <c r="W443" s="1" t="s">
        <v>93</v>
      </c>
      <c r="X443" s="1" t="s">
        <v>1714</v>
      </c>
      <c r="Y443" s="1" t="s">
        <v>93</v>
      </c>
      <c r="Z443" s="1" t="s">
        <v>130</v>
      </c>
      <c r="AA443" s="1" t="s">
        <v>93</v>
      </c>
      <c r="AB443" s="1">
        <v>418</v>
      </c>
      <c r="AC443" s="1">
        <v>20.9</v>
      </c>
      <c r="AD443" s="1">
        <v>0</v>
      </c>
      <c r="AE443" s="1">
        <v>0</v>
      </c>
      <c r="AF443" s="1">
        <v>0</v>
      </c>
      <c r="AG443" s="1">
        <v>0</v>
      </c>
      <c r="AH443" s="1">
        <v>0</v>
      </c>
      <c r="AI443" s="1" t="s">
        <v>1715</v>
      </c>
      <c r="AJ443" s="1" t="s">
        <v>702</v>
      </c>
      <c r="AK443" s="1" t="s">
        <v>14</v>
      </c>
      <c r="AL443" s="1" t="s">
        <v>67</v>
      </c>
      <c r="AM443" s="1" t="s">
        <v>323</v>
      </c>
      <c r="AN443" s="1" t="s">
        <v>21</v>
      </c>
      <c r="AO443" s="1" t="s">
        <v>280</v>
      </c>
      <c r="AP443" s="1" t="s">
        <v>324</v>
      </c>
      <c r="AQ443" s="1" t="s">
        <v>125</v>
      </c>
    </row>
    <row r="444" spans="1:43" x14ac:dyDescent="0.3">
      <c r="A444" s="1">
        <v>24847429</v>
      </c>
      <c r="B444" s="1">
        <v>25683886</v>
      </c>
      <c r="C444" s="1" t="s">
        <v>266</v>
      </c>
      <c r="D444" s="4">
        <v>46204.437037037038</v>
      </c>
      <c r="E444" s="4">
        <v>46206.425254629627</v>
      </c>
      <c r="F444" s="1" t="s">
        <v>22</v>
      </c>
      <c r="G444" s="1" t="s">
        <v>22</v>
      </c>
      <c r="H444" s="1" t="s">
        <v>1397</v>
      </c>
      <c r="I444" s="1" t="s">
        <v>17</v>
      </c>
      <c r="J444" s="1" t="s">
        <v>1398</v>
      </c>
      <c r="K444" s="1" t="s">
        <v>596</v>
      </c>
      <c r="L444" s="1" t="s">
        <v>596</v>
      </c>
      <c r="M444" s="4">
        <v>46202.3125</v>
      </c>
      <c r="N444" s="1" t="s">
        <v>1399</v>
      </c>
      <c r="O444" s="1" t="s">
        <v>93</v>
      </c>
      <c r="P444" s="1" t="s">
        <v>342</v>
      </c>
      <c r="Q444" s="1" t="s">
        <v>388</v>
      </c>
      <c r="R444" s="1" t="s">
        <v>388</v>
      </c>
      <c r="S444" s="1" t="s">
        <v>9</v>
      </c>
      <c r="T444" s="1" t="s">
        <v>274</v>
      </c>
      <c r="U444" s="1" t="s">
        <v>141</v>
      </c>
      <c r="V444" s="1" t="s">
        <v>581</v>
      </c>
      <c r="W444" s="1" t="s">
        <v>93</v>
      </c>
      <c r="X444" s="1" t="s">
        <v>1716</v>
      </c>
      <c r="Y444" s="1" t="s">
        <v>93</v>
      </c>
      <c r="Z444" s="1" t="s">
        <v>47</v>
      </c>
      <c r="AA444" s="1" t="s">
        <v>93</v>
      </c>
      <c r="AB444" s="1">
        <v>214.2</v>
      </c>
      <c r="AC444" s="1">
        <v>0</v>
      </c>
      <c r="AD444" s="1">
        <v>0</v>
      </c>
      <c r="AE444" s="1">
        <v>0</v>
      </c>
      <c r="AF444" s="1">
        <v>0</v>
      </c>
      <c r="AG444" s="1">
        <v>0</v>
      </c>
      <c r="AH444" s="1">
        <v>0</v>
      </c>
      <c r="AI444" s="1" t="s">
        <v>290</v>
      </c>
      <c r="AJ444" s="1" t="s">
        <v>291</v>
      </c>
      <c r="AK444" s="1" t="s">
        <v>17</v>
      </c>
      <c r="AL444" s="1" t="s">
        <v>65</v>
      </c>
      <c r="AM444" s="1" t="s">
        <v>292</v>
      </c>
      <c r="AN444" s="1" t="s">
        <v>21</v>
      </c>
      <c r="AO444" s="1" t="s">
        <v>280</v>
      </c>
      <c r="AP444" s="1" t="s">
        <v>324</v>
      </c>
      <c r="AQ444" s="1" t="s">
        <v>20</v>
      </c>
    </row>
    <row r="445" spans="1:43" x14ac:dyDescent="0.3">
      <c r="A445" s="1">
        <v>24837666</v>
      </c>
      <c r="B445" s="1">
        <v>25674349</v>
      </c>
      <c r="C445" s="1" t="s">
        <v>266</v>
      </c>
      <c r="D445" s="4">
        <v>46202.724108796298</v>
      </c>
      <c r="E445" s="4">
        <v>46206.717488425929</v>
      </c>
      <c r="F445" s="1" t="s">
        <v>22</v>
      </c>
      <c r="G445" s="1" t="s">
        <v>24</v>
      </c>
      <c r="H445" s="1" t="s">
        <v>1717</v>
      </c>
      <c r="I445" s="1" t="s">
        <v>17</v>
      </c>
      <c r="J445" s="1" t="s">
        <v>1718</v>
      </c>
      <c r="K445" s="1" t="s">
        <v>319</v>
      </c>
      <c r="L445" s="1" t="s">
        <v>319</v>
      </c>
      <c r="M445" s="4">
        <v>46202.568055555559</v>
      </c>
      <c r="N445" s="1" t="s">
        <v>1719</v>
      </c>
      <c r="O445" s="1" t="s">
        <v>93</v>
      </c>
      <c r="P445" s="1" t="s">
        <v>342</v>
      </c>
      <c r="Q445" s="1" t="s">
        <v>303</v>
      </c>
      <c r="R445" s="1" t="s">
        <v>272</v>
      </c>
      <c r="S445" s="1" t="s">
        <v>9</v>
      </c>
      <c r="T445" s="1" t="s">
        <v>274</v>
      </c>
      <c r="U445" s="1" t="s">
        <v>210</v>
      </c>
      <c r="V445" s="1" t="s">
        <v>450</v>
      </c>
      <c r="W445" s="1" t="s">
        <v>93</v>
      </c>
      <c r="X445" s="1" t="s">
        <v>1720</v>
      </c>
      <c r="Y445" s="1" t="s">
        <v>93</v>
      </c>
      <c r="Z445" s="1" t="s">
        <v>93</v>
      </c>
      <c r="AA445" s="1" t="s">
        <v>93</v>
      </c>
      <c r="AB445" s="1">
        <v>330</v>
      </c>
      <c r="AC445" s="1">
        <v>0</v>
      </c>
      <c r="AD445" s="1">
        <v>0</v>
      </c>
      <c r="AE445" s="1">
        <v>0</v>
      </c>
      <c r="AF445" s="1">
        <v>0</v>
      </c>
      <c r="AG445" s="1">
        <v>0</v>
      </c>
      <c r="AH445" s="1">
        <v>0</v>
      </c>
      <c r="AI445" s="1" t="s">
        <v>290</v>
      </c>
      <c r="AJ445" s="1" t="s">
        <v>451</v>
      </c>
      <c r="AK445" s="1" t="s">
        <v>17</v>
      </c>
      <c r="AL445" s="1" t="s">
        <v>84</v>
      </c>
      <c r="AM445" s="1" t="s">
        <v>452</v>
      </c>
      <c r="AN445" s="1" t="s">
        <v>21</v>
      </c>
      <c r="AO445" s="1" t="s">
        <v>280</v>
      </c>
      <c r="AP445" s="1" t="s">
        <v>324</v>
      </c>
      <c r="AQ445" s="1" t="s">
        <v>20</v>
      </c>
    </row>
    <row r="446" spans="1:43" x14ac:dyDescent="0.3">
      <c r="A446" s="1">
        <v>24856167</v>
      </c>
      <c r="B446" s="1">
        <v>25694106</v>
      </c>
      <c r="C446" s="1" t="s">
        <v>266</v>
      </c>
      <c r="D446" s="4">
        <v>46205.710532407407</v>
      </c>
      <c r="E446" s="4">
        <v>46205.712268518517</v>
      </c>
      <c r="F446" s="1" t="s">
        <v>22</v>
      </c>
      <c r="G446" s="1" t="s">
        <v>22</v>
      </c>
      <c r="H446" s="1">
        <v>23561067</v>
      </c>
      <c r="I446" s="1" t="s">
        <v>14</v>
      </c>
      <c r="J446" s="1" t="s">
        <v>1721</v>
      </c>
      <c r="K446" s="1" t="s">
        <v>1722</v>
      </c>
      <c r="L446" s="1" t="s">
        <v>1722</v>
      </c>
      <c r="M446" s="4">
        <v>46206</v>
      </c>
      <c r="N446" s="1">
        <v>4717155</v>
      </c>
      <c r="O446" s="1" t="s">
        <v>93</v>
      </c>
      <c r="P446" s="1" t="s">
        <v>342</v>
      </c>
      <c r="Q446" s="1" t="s">
        <v>388</v>
      </c>
      <c r="R446" s="1" t="s">
        <v>388</v>
      </c>
      <c r="S446" s="1" t="s">
        <v>9</v>
      </c>
      <c r="T446" s="1" t="s">
        <v>274</v>
      </c>
      <c r="U446" s="1" t="s">
        <v>176</v>
      </c>
      <c r="V446" s="1" t="s">
        <v>1723</v>
      </c>
      <c r="W446" s="1" t="s">
        <v>93</v>
      </c>
      <c r="X446" s="1" t="s">
        <v>1724</v>
      </c>
      <c r="Y446" s="1" t="s">
        <v>93</v>
      </c>
      <c r="Z446" s="1" t="s">
        <v>81</v>
      </c>
      <c r="AA446" s="1" t="s">
        <v>93</v>
      </c>
      <c r="AB446" s="1">
        <v>367</v>
      </c>
      <c r="AC446" s="1">
        <v>0</v>
      </c>
      <c r="AD446" s="1">
        <v>0</v>
      </c>
      <c r="AE446" s="1">
        <v>0</v>
      </c>
      <c r="AF446" s="1">
        <v>0</v>
      </c>
      <c r="AG446" s="1">
        <v>0</v>
      </c>
      <c r="AH446" s="1">
        <v>0</v>
      </c>
      <c r="AI446" s="1" t="s">
        <v>1725</v>
      </c>
      <c r="AJ446" s="1" t="s">
        <v>702</v>
      </c>
      <c r="AK446" s="1" t="s">
        <v>14</v>
      </c>
      <c r="AL446" s="1" t="s">
        <v>67</v>
      </c>
      <c r="AM446" s="1" t="s">
        <v>323</v>
      </c>
      <c r="AN446" s="1" t="s">
        <v>21</v>
      </c>
      <c r="AO446" s="1" t="s">
        <v>280</v>
      </c>
      <c r="AP446" s="1" t="s">
        <v>324</v>
      </c>
      <c r="AQ446" s="1" t="s">
        <v>27</v>
      </c>
    </row>
    <row r="447" spans="1:43" x14ac:dyDescent="0.3">
      <c r="A447" s="1">
        <v>24837053</v>
      </c>
      <c r="B447" s="1">
        <v>25673702</v>
      </c>
      <c r="C447" s="1" t="s">
        <v>266</v>
      </c>
      <c r="D447" s="4">
        <v>46202.678877314807</v>
      </c>
      <c r="E447" s="4">
        <v>46206.717476851853</v>
      </c>
      <c r="F447" s="1" t="s">
        <v>22</v>
      </c>
      <c r="G447" s="1" t="s">
        <v>24</v>
      </c>
      <c r="H447" s="1" t="s">
        <v>1726</v>
      </c>
      <c r="I447" s="1" t="s">
        <v>17</v>
      </c>
      <c r="J447" s="1" t="s">
        <v>1727</v>
      </c>
      <c r="K447" s="1" t="s">
        <v>505</v>
      </c>
      <c r="L447" s="1" t="s">
        <v>505</v>
      </c>
      <c r="M447" s="4">
        <v>46199.606944444437</v>
      </c>
      <c r="N447" s="1" t="s">
        <v>1728</v>
      </c>
      <c r="O447" s="1" t="s">
        <v>93</v>
      </c>
      <c r="P447" s="1" t="s">
        <v>271</v>
      </c>
      <c r="Q447" s="1" t="s">
        <v>286</v>
      </c>
      <c r="R447" s="1" t="s">
        <v>286</v>
      </c>
      <c r="S447" s="1" t="s">
        <v>9</v>
      </c>
      <c r="T447" s="1" t="s">
        <v>274</v>
      </c>
      <c r="U447" s="1" t="s">
        <v>174</v>
      </c>
      <c r="V447" s="1" t="s">
        <v>366</v>
      </c>
      <c r="W447" s="1" t="s">
        <v>288</v>
      </c>
      <c r="X447" s="1" t="s">
        <v>1729</v>
      </c>
      <c r="Y447" s="1" t="s">
        <v>93</v>
      </c>
      <c r="Z447" s="1" t="s">
        <v>101</v>
      </c>
      <c r="AA447" s="1" t="s">
        <v>93</v>
      </c>
      <c r="AB447" s="1">
        <v>6435</v>
      </c>
      <c r="AC447" s="1">
        <v>308.24</v>
      </c>
      <c r="AD447" s="1">
        <v>0</v>
      </c>
      <c r="AE447" s="1">
        <v>0</v>
      </c>
      <c r="AF447" s="1">
        <v>0</v>
      </c>
      <c r="AG447" s="1">
        <v>0</v>
      </c>
      <c r="AH447" s="1">
        <v>25.95</v>
      </c>
      <c r="AI447" s="1" t="s">
        <v>290</v>
      </c>
      <c r="AJ447" s="1" t="s">
        <v>707</v>
      </c>
      <c r="AK447" s="1" t="s">
        <v>17</v>
      </c>
      <c r="AL447" s="1" t="s">
        <v>69</v>
      </c>
      <c r="AM447" s="1" t="s">
        <v>337</v>
      </c>
      <c r="AN447" s="1" t="s">
        <v>21</v>
      </c>
      <c r="AO447" s="1" t="s">
        <v>280</v>
      </c>
      <c r="AP447" s="1" t="s">
        <v>324</v>
      </c>
      <c r="AQ447" s="1" t="s">
        <v>27</v>
      </c>
    </row>
    <row r="448" spans="1:43" x14ac:dyDescent="0.3">
      <c r="A448" s="1">
        <v>24848005</v>
      </c>
      <c r="B448" s="1">
        <v>25684531</v>
      </c>
      <c r="C448" s="1" t="s">
        <v>266</v>
      </c>
      <c r="D448" s="4">
        <v>46204.480462962973</v>
      </c>
      <c r="E448" s="4">
        <v>46206.718171296299</v>
      </c>
      <c r="F448" s="1" t="s">
        <v>22</v>
      </c>
      <c r="G448" s="1" t="s">
        <v>22</v>
      </c>
      <c r="H448" s="1" t="s">
        <v>1730</v>
      </c>
      <c r="I448" s="1" t="s">
        <v>17</v>
      </c>
      <c r="J448" s="1" t="s">
        <v>1731</v>
      </c>
      <c r="K448" s="1" t="s">
        <v>764</v>
      </c>
      <c r="L448" s="1" t="s">
        <v>764</v>
      </c>
      <c r="M448" s="4">
        <v>46197.580555555563</v>
      </c>
      <c r="N448" s="1" t="s">
        <v>1732</v>
      </c>
      <c r="O448" s="1" t="s">
        <v>93</v>
      </c>
      <c r="P448" s="1" t="s">
        <v>342</v>
      </c>
      <c r="Q448" s="1" t="s">
        <v>303</v>
      </c>
      <c r="R448" s="1" t="s">
        <v>272</v>
      </c>
      <c r="S448" s="1" t="s">
        <v>9</v>
      </c>
      <c r="T448" s="1" t="s">
        <v>274</v>
      </c>
      <c r="U448" s="1" t="s">
        <v>195</v>
      </c>
      <c r="V448" s="1" t="s">
        <v>766</v>
      </c>
      <c r="W448" s="1" t="s">
        <v>93</v>
      </c>
      <c r="X448" s="1" t="s">
        <v>1733</v>
      </c>
      <c r="Y448" s="1" t="s">
        <v>93</v>
      </c>
      <c r="Z448" s="1" t="s">
        <v>53</v>
      </c>
      <c r="AA448" s="1" t="s">
        <v>93</v>
      </c>
      <c r="AB448" s="1">
        <v>2634.2359999999999</v>
      </c>
      <c r="AC448" s="1">
        <v>494819</v>
      </c>
      <c r="AD448" s="1">
        <v>0</v>
      </c>
      <c r="AE448" s="1">
        <v>0</v>
      </c>
      <c r="AF448" s="1">
        <v>0</v>
      </c>
      <c r="AG448" s="1">
        <v>0</v>
      </c>
      <c r="AH448" s="1">
        <v>0</v>
      </c>
      <c r="AI448" s="1" t="s">
        <v>290</v>
      </c>
      <c r="AJ448" s="1" t="s">
        <v>403</v>
      </c>
      <c r="AK448" s="1" t="s">
        <v>17</v>
      </c>
      <c r="AL448" s="1" t="s">
        <v>73</v>
      </c>
      <c r="AM448" s="1" t="s">
        <v>337</v>
      </c>
      <c r="AN448" s="1" t="s">
        <v>21</v>
      </c>
      <c r="AO448" s="1" t="s">
        <v>280</v>
      </c>
      <c r="AP448" s="1" t="s">
        <v>324</v>
      </c>
      <c r="AQ448" s="1" t="s">
        <v>27</v>
      </c>
    </row>
    <row r="449" spans="1:43" x14ac:dyDescent="0.3">
      <c r="A449" s="1">
        <v>24848580</v>
      </c>
      <c r="B449" s="1">
        <v>25685207</v>
      </c>
      <c r="C449" s="1" t="s">
        <v>266</v>
      </c>
      <c r="D449" s="4">
        <v>46204.571400462963</v>
      </c>
      <c r="E449" s="4">
        <v>46204.573923611111</v>
      </c>
      <c r="F449" s="1" t="s">
        <v>22</v>
      </c>
      <c r="G449" s="1" t="s">
        <v>22</v>
      </c>
      <c r="H449" s="1">
        <v>23540852</v>
      </c>
      <c r="I449" s="1" t="s">
        <v>14</v>
      </c>
      <c r="J449" s="1" t="s">
        <v>1734</v>
      </c>
      <c r="K449" s="1" t="s">
        <v>547</v>
      </c>
      <c r="L449" s="1" t="s">
        <v>547</v>
      </c>
      <c r="M449" s="4">
        <v>46204.543749999997</v>
      </c>
      <c r="N449" s="1">
        <v>4716935</v>
      </c>
      <c r="O449" s="1" t="s">
        <v>93</v>
      </c>
      <c r="P449" s="1" t="s">
        <v>271</v>
      </c>
      <c r="Q449" s="1" t="s">
        <v>286</v>
      </c>
      <c r="R449" s="1" t="s">
        <v>286</v>
      </c>
      <c r="S449" s="1" t="s">
        <v>9</v>
      </c>
      <c r="T449" s="1" t="s">
        <v>274</v>
      </c>
      <c r="U449" s="1" t="s">
        <v>190</v>
      </c>
      <c r="V449" s="1" t="s">
        <v>565</v>
      </c>
      <c r="W449" s="1" t="s">
        <v>93</v>
      </c>
      <c r="X449" s="1" t="s">
        <v>1735</v>
      </c>
      <c r="Y449" s="1" t="s">
        <v>93</v>
      </c>
      <c r="Z449" s="1" t="s">
        <v>110</v>
      </c>
      <c r="AA449" s="1" t="s">
        <v>93</v>
      </c>
      <c r="AB449" s="1">
        <v>1212</v>
      </c>
      <c r="AC449" s="1">
        <v>36.36</v>
      </c>
      <c r="AD449" s="1">
        <v>0</v>
      </c>
      <c r="AE449" s="1">
        <v>0</v>
      </c>
      <c r="AF449" s="1">
        <v>0</v>
      </c>
      <c r="AG449" s="1">
        <v>0</v>
      </c>
      <c r="AH449" s="1">
        <v>0</v>
      </c>
      <c r="AI449" s="1" t="s">
        <v>1736</v>
      </c>
      <c r="AJ449" s="1" t="s">
        <v>1737</v>
      </c>
      <c r="AK449" s="1" t="s">
        <v>14</v>
      </c>
      <c r="AL449" s="1" t="s">
        <v>84</v>
      </c>
      <c r="AM449" s="1" t="s">
        <v>452</v>
      </c>
      <c r="AN449" s="1" t="s">
        <v>21</v>
      </c>
      <c r="AO449" s="1" t="s">
        <v>280</v>
      </c>
      <c r="AP449" s="1" t="s">
        <v>324</v>
      </c>
      <c r="AQ449" s="1" t="s">
        <v>20</v>
      </c>
    </row>
    <row r="450" spans="1:43" x14ac:dyDescent="0.3">
      <c r="A450" s="1">
        <v>24841433</v>
      </c>
      <c r="B450" s="1">
        <v>25677653</v>
      </c>
      <c r="C450" s="1" t="s">
        <v>266</v>
      </c>
      <c r="D450" s="4">
        <v>46203.461238425924</v>
      </c>
      <c r="E450" s="4">
        <v>46204.142754629633</v>
      </c>
      <c r="F450" s="1" t="s">
        <v>22</v>
      </c>
      <c r="G450" s="1" t="s">
        <v>24</v>
      </c>
      <c r="H450" s="1" t="s">
        <v>1738</v>
      </c>
      <c r="I450" s="1" t="s">
        <v>14</v>
      </c>
      <c r="J450" s="1" t="s">
        <v>717</v>
      </c>
      <c r="K450" s="1" t="s">
        <v>651</v>
      </c>
      <c r="L450" s="1" t="s">
        <v>651</v>
      </c>
      <c r="M450" s="4">
        <v>46203.791666666657</v>
      </c>
      <c r="N450" s="1">
        <v>4716449</v>
      </c>
      <c r="O450" s="1" t="s">
        <v>93</v>
      </c>
      <c r="P450" s="1" t="s">
        <v>342</v>
      </c>
      <c r="Q450" s="1" t="s">
        <v>286</v>
      </c>
      <c r="R450" s="1" t="s">
        <v>286</v>
      </c>
      <c r="S450" s="1" t="s">
        <v>9</v>
      </c>
      <c r="T450" s="1" t="s">
        <v>274</v>
      </c>
      <c r="U450" s="1" t="s">
        <v>142</v>
      </c>
      <c r="V450" s="1" t="s">
        <v>575</v>
      </c>
      <c r="W450" s="1" t="s">
        <v>93</v>
      </c>
      <c r="X450" s="1" t="s">
        <v>722</v>
      </c>
      <c r="Y450" s="1" t="s">
        <v>93</v>
      </c>
      <c r="Z450" s="1" t="s">
        <v>50</v>
      </c>
      <c r="AA450" s="1" t="s">
        <v>93</v>
      </c>
      <c r="AB450" s="1">
        <v>1188</v>
      </c>
      <c r="AC450" s="1">
        <v>0</v>
      </c>
      <c r="AD450" s="1">
        <v>0</v>
      </c>
      <c r="AE450" s="1">
        <v>0</v>
      </c>
      <c r="AF450" s="1">
        <v>0</v>
      </c>
      <c r="AG450" s="1">
        <v>0</v>
      </c>
      <c r="AH450" s="1">
        <v>0</v>
      </c>
      <c r="AI450" s="1" t="s">
        <v>1739</v>
      </c>
      <c r="AJ450" s="1" t="s">
        <v>707</v>
      </c>
      <c r="AK450" s="1" t="s">
        <v>14</v>
      </c>
      <c r="AL450" s="1" t="s">
        <v>69</v>
      </c>
      <c r="AM450" s="1" t="s">
        <v>337</v>
      </c>
      <c r="AN450" s="1" t="s">
        <v>21</v>
      </c>
      <c r="AO450" s="1" t="s">
        <v>280</v>
      </c>
      <c r="AP450" s="1" t="s">
        <v>324</v>
      </c>
      <c r="AQ450" s="1" t="s">
        <v>27</v>
      </c>
    </row>
    <row r="451" spans="1:43" x14ac:dyDescent="0.3">
      <c r="A451" s="1">
        <v>24841433</v>
      </c>
      <c r="B451" s="1">
        <v>25677655</v>
      </c>
      <c r="C451" s="1" t="s">
        <v>382</v>
      </c>
      <c r="D451" s="4">
        <v>46203.461238425924</v>
      </c>
      <c r="E451" s="4">
        <v>46204.142754629633</v>
      </c>
      <c r="F451" s="1" t="s">
        <v>22</v>
      </c>
      <c r="G451" s="1" t="s">
        <v>24</v>
      </c>
      <c r="H451" s="1" t="s">
        <v>1738</v>
      </c>
      <c r="I451" s="1" t="s">
        <v>14</v>
      </c>
      <c r="J451" s="1" t="s">
        <v>724</v>
      </c>
      <c r="K451" s="1" t="s">
        <v>651</v>
      </c>
      <c r="L451" s="1" t="s">
        <v>651</v>
      </c>
      <c r="M451" s="4">
        <v>46203.791666666657</v>
      </c>
      <c r="N451" s="1">
        <v>4716449</v>
      </c>
      <c r="O451" s="1" t="s">
        <v>93</v>
      </c>
      <c r="P451" s="1" t="s">
        <v>342</v>
      </c>
      <c r="Q451" s="1" t="s">
        <v>286</v>
      </c>
      <c r="R451" s="1" t="s">
        <v>286</v>
      </c>
      <c r="S451" s="1" t="s">
        <v>9</v>
      </c>
      <c r="T451" s="1" t="s">
        <v>274</v>
      </c>
      <c r="U451" s="1" t="s">
        <v>142</v>
      </c>
      <c r="V451" s="1" t="s">
        <v>575</v>
      </c>
      <c r="W451" s="1" t="s">
        <v>93</v>
      </c>
      <c r="X451" s="1" t="s">
        <v>722</v>
      </c>
      <c r="Y451" s="1" t="s">
        <v>93</v>
      </c>
      <c r="Z451" s="1" t="s">
        <v>50</v>
      </c>
      <c r="AA451" s="1" t="s">
        <v>93</v>
      </c>
      <c r="AB451" s="1">
        <v>1188</v>
      </c>
      <c r="AC451" s="1">
        <v>0</v>
      </c>
      <c r="AD451" s="1">
        <v>0</v>
      </c>
      <c r="AE451" s="1">
        <v>0</v>
      </c>
      <c r="AF451" s="1">
        <v>0</v>
      </c>
      <c r="AG451" s="1">
        <v>0</v>
      </c>
      <c r="AH451" s="1">
        <v>0</v>
      </c>
      <c r="AI451" s="1" t="s">
        <v>1739</v>
      </c>
      <c r="AJ451" s="1" t="s">
        <v>707</v>
      </c>
      <c r="AK451" s="1" t="s">
        <v>14</v>
      </c>
      <c r="AL451" s="1" t="s">
        <v>69</v>
      </c>
      <c r="AM451" s="1" t="s">
        <v>337</v>
      </c>
      <c r="AN451" s="1" t="s">
        <v>21</v>
      </c>
      <c r="AO451" s="1" t="s">
        <v>280</v>
      </c>
      <c r="AP451" s="1" t="s">
        <v>324</v>
      </c>
      <c r="AQ451" s="1" t="s">
        <v>27</v>
      </c>
    </row>
    <row r="452" spans="1:43" x14ac:dyDescent="0.3">
      <c r="A452" s="1">
        <v>24848176</v>
      </c>
      <c r="B452" s="1">
        <v>25684720</v>
      </c>
      <c r="C452" s="1" t="s">
        <v>266</v>
      </c>
      <c r="D452" s="4">
        <v>46204.505844907413</v>
      </c>
      <c r="E452" s="4">
        <v>46206.718171296299</v>
      </c>
      <c r="F452" s="1" t="s">
        <v>22</v>
      </c>
      <c r="G452" s="1" t="s">
        <v>22</v>
      </c>
      <c r="H452" s="1" t="s">
        <v>1740</v>
      </c>
      <c r="I452" s="1" t="s">
        <v>17</v>
      </c>
      <c r="J452" s="1" t="s">
        <v>1741</v>
      </c>
      <c r="K452" s="1" t="s">
        <v>1059</v>
      </c>
      <c r="L452" s="1" t="s">
        <v>1059</v>
      </c>
      <c r="M452" s="4">
        <v>46204.410416666673</v>
      </c>
      <c r="N452" s="1" t="s">
        <v>1742</v>
      </c>
      <c r="O452" s="1" t="s">
        <v>93</v>
      </c>
      <c r="P452" s="1" t="s">
        <v>271</v>
      </c>
      <c r="Q452" s="1" t="s">
        <v>286</v>
      </c>
      <c r="R452" s="1" t="s">
        <v>286</v>
      </c>
      <c r="S452" s="1" t="s">
        <v>9</v>
      </c>
      <c r="T452" s="1" t="s">
        <v>274</v>
      </c>
      <c r="U452" s="1" t="s">
        <v>177</v>
      </c>
      <c r="V452" s="1" t="s">
        <v>321</v>
      </c>
      <c r="W452" s="1" t="s">
        <v>288</v>
      </c>
      <c r="X452" s="1" t="s">
        <v>1743</v>
      </c>
      <c r="Y452" s="1" t="s">
        <v>93</v>
      </c>
      <c r="Z452" s="1" t="s">
        <v>111</v>
      </c>
      <c r="AA452" s="1" t="s">
        <v>93</v>
      </c>
      <c r="AB452" s="1">
        <v>3366.3209999999999</v>
      </c>
      <c r="AC452" s="1">
        <v>0</v>
      </c>
      <c r="AD452" s="1">
        <v>0</v>
      </c>
      <c r="AE452" s="1">
        <v>0</v>
      </c>
      <c r="AF452" s="1">
        <v>0</v>
      </c>
      <c r="AG452" s="1">
        <v>0</v>
      </c>
      <c r="AH452" s="1">
        <v>0</v>
      </c>
      <c r="AI452" s="1" t="s">
        <v>290</v>
      </c>
      <c r="AJ452" s="1" t="s">
        <v>707</v>
      </c>
      <c r="AK452" s="1" t="s">
        <v>17</v>
      </c>
      <c r="AL452" s="1" t="s">
        <v>69</v>
      </c>
      <c r="AM452" s="1" t="s">
        <v>337</v>
      </c>
      <c r="AN452" s="1" t="s">
        <v>21</v>
      </c>
      <c r="AO452" s="1" t="s">
        <v>280</v>
      </c>
      <c r="AP452" s="1" t="s">
        <v>324</v>
      </c>
      <c r="AQ452" s="1" t="s">
        <v>27</v>
      </c>
    </row>
    <row r="453" spans="1:43" x14ac:dyDescent="0.3">
      <c r="A453" s="1">
        <v>24848177</v>
      </c>
      <c r="B453" s="1">
        <v>25684721</v>
      </c>
      <c r="C453" s="1" t="s">
        <v>266</v>
      </c>
      <c r="D453" s="4">
        <v>46204.505914351852</v>
      </c>
      <c r="E453" s="4">
        <v>46206.718182870369</v>
      </c>
      <c r="F453" s="1" t="s">
        <v>22</v>
      </c>
      <c r="G453" s="1" t="s">
        <v>22</v>
      </c>
      <c r="H453" s="1" t="s">
        <v>1744</v>
      </c>
      <c r="I453" s="1" t="s">
        <v>17</v>
      </c>
      <c r="J453" s="1" t="s">
        <v>1745</v>
      </c>
      <c r="K453" s="1" t="s">
        <v>1059</v>
      </c>
      <c r="L453" s="1" t="s">
        <v>1059</v>
      </c>
      <c r="M453" s="4">
        <v>46204.405555555553</v>
      </c>
      <c r="N453" s="1" t="s">
        <v>1746</v>
      </c>
      <c r="O453" s="1" t="s">
        <v>93</v>
      </c>
      <c r="P453" s="1" t="s">
        <v>271</v>
      </c>
      <c r="Q453" s="1" t="s">
        <v>286</v>
      </c>
      <c r="R453" s="1" t="s">
        <v>286</v>
      </c>
      <c r="S453" s="1" t="s">
        <v>9</v>
      </c>
      <c r="T453" s="1" t="s">
        <v>274</v>
      </c>
      <c r="U453" s="1" t="s">
        <v>177</v>
      </c>
      <c r="V453" s="1" t="s">
        <v>321</v>
      </c>
      <c r="W453" s="1" t="s">
        <v>288</v>
      </c>
      <c r="X453" s="1" t="s">
        <v>1743</v>
      </c>
      <c r="Y453" s="1" t="s">
        <v>93</v>
      </c>
      <c r="Z453" s="1" t="s">
        <v>111</v>
      </c>
      <c r="AA453" s="1" t="s">
        <v>93</v>
      </c>
      <c r="AB453" s="1">
        <v>3366.3209999999999</v>
      </c>
      <c r="AC453" s="1">
        <v>0</v>
      </c>
      <c r="AD453" s="1">
        <v>0</v>
      </c>
      <c r="AE453" s="1">
        <v>0</v>
      </c>
      <c r="AF453" s="1">
        <v>0</v>
      </c>
      <c r="AG453" s="1">
        <v>0</v>
      </c>
      <c r="AH453" s="1">
        <v>0</v>
      </c>
      <c r="AI453" s="1" t="s">
        <v>290</v>
      </c>
      <c r="AJ453" s="1" t="s">
        <v>707</v>
      </c>
      <c r="AK453" s="1" t="s">
        <v>17</v>
      </c>
      <c r="AL453" s="1" t="s">
        <v>69</v>
      </c>
      <c r="AM453" s="1" t="s">
        <v>337</v>
      </c>
      <c r="AN453" s="1" t="s">
        <v>21</v>
      </c>
      <c r="AO453" s="1" t="s">
        <v>280</v>
      </c>
      <c r="AP453" s="1" t="s">
        <v>324</v>
      </c>
      <c r="AQ453" s="1" t="s">
        <v>27</v>
      </c>
    </row>
    <row r="454" spans="1:43" x14ac:dyDescent="0.3">
      <c r="A454" s="1">
        <v>24862143</v>
      </c>
      <c r="B454" s="1">
        <v>25701078</v>
      </c>
      <c r="C454" s="1" t="s">
        <v>266</v>
      </c>
      <c r="D454" s="4">
        <v>46206.613391203697</v>
      </c>
      <c r="E454" s="4">
        <v>46206.61513888889</v>
      </c>
      <c r="F454" s="1" t="s">
        <v>22</v>
      </c>
      <c r="G454" s="1" t="s">
        <v>22</v>
      </c>
      <c r="H454" s="1">
        <v>23579015</v>
      </c>
      <c r="I454" s="1" t="s">
        <v>14</v>
      </c>
      <c r="J454" s="1" t="s">
        <v>1747</v>
      </c>
      <c r="K454" s="1" t="s">
        <v>547</v>
      </c>
      <c r="L454" s="1" t="s">
        <v>547</v>
      </c>
      <c r="M454" s="4">
        <v>46206.60833333333</v>
      </c>
      <c r="N454" s="1">
        <v>4718505</v>
      </c>
      <c r="O454" s="1" t="s">
        <v>93</v>
      </c>
      <c r="P454" s="1" t="s">
        <v>271</v>
      </c>
      <c r="Q454" s="1" t="s">
        <v>286</v>
      </c>
      <c r="R454" s="1" t="s">
        <v>286</v>
      </c>
      <c r="S454" s="1" t="s">
        <v>9</v>
      </c>
      <c r="T454" s="1" t="s">
        <v>274</v>
      </c>
      <c r="U454" s="1" t="s">
        <v>192</v>
      </c>
      <c r="V454" s="1" t="s">
        <v>1748</v>
      </c>
      <c r="W454" s="1" t="s">
        <v>93</v>
      </c>
      <c r="X454" s="1" t="s">
        <v>1749</v>
      </c>
      <c r="Y454" s="1" t="s">
        <v>93</v>
      </c>
      <c r="Z454" s="1" t="s">
        <v>56</v>
      </c>
      <c r="AA454" s="1" t="s">
        <v>93</v>
      </c>
      <c r="AB454" s="1">
        <v>220</v>
      </c>
      <c r="AC454" s="1">
        <v>0</v>
      </c>
      <c r="AD454" s="1">
        <v>0</v>
      </c>
      <c r="AE454" s="1">
        <v>0</v>
      </c>
      <c r="AF454" s="1">
        <v>0</v>
      </c>
      <c r="AG454" s="1">
        <v>0</v>
      </c>
      <c r="AH454" s="1">
        <v>0</v>
      </c>
      <c r="AI454" s="1" t="s">
        <v>1750</v>
      </c>
      <c r="AJ454" s="1" t="s">
        <v>1751</v>
      </c>
      <c r="AK454" s="1" t="s">
        <v>14</v>
      </c>
      <c r="AL454" s="1" t="s">
        <v>84</v>
      </c>
      <c r="AM454" s="1" t="s">
        <v>452</v>
      </c>
      <c r="AN454" s="1" t="s">
        <v>21</v>
      </c>
      <c r="AO454" s="1" t="s">
        <v>280</v>
      </c>
      <c r="AP454" s="1" t="s">
        <v>324</v>
      </c>
      <c r="AQ454" s="1" t="s">
        <v>20</v>
      </c>
    </row>
    <row r="455" spans="1:43" x14ac:dyDescent="0.3">
      <c r="A455" s="1">
        <v>24857569</v>
      </c>
      <c r="B455" s="1">
        <v>25695614</v>
      </c>
      <c r="C455" s="1" t="s">
        <v>266</v>
      </c>
      <c r="D455" s="4">
        <v>46205.779953703714</v>
      </c>
      <c r="E455" s="4">
        <v>46205.782025462962</v>
      </c>
      <c r="F455" s="1" t="s">
        <v>22</v>
      </c>
      <c r="G455" s="1" t="s">
        <v>22</v>
      </c>
      <c r="H455" s="1">
        <v>23566880</v>
      </c>
      <c r="I455" s="1" t="s">
        <v>14</v>
      </c>
      <c r="J455" s="1" t="s">
        <v>1752</v>
      </c>
      <c r="K455" s="1" t="s">
        <v>547</v>
      </c>
      <c r="L455" s="1" t="s">
        <v>547</v>
      </c>
      <c r="M455" s="4">
        <v>46205.736111111109</v>
      </c>
      <c r="N455" s="1">
        <v>4718122</v>
      </c>
      <c r="O455" s="1" t="s">
        <v>93</v>
      </c>
      <c r="P455" s="1" t="s">
        <v>271</v>
      </c>
      <c r="Q455" s="1" t="s">
        <v>286</v>
      </c>
      <c r="R455" s="1" t="s">
        <v>286</v>
      </c>
      <c r="S455" s="1" t="s">
        <v>9</v>
      </c>
      <c r="T455" s="1" t="s">
        <v>274</v>
      </c>
      <c r="U455" s="1" t="s">
        <v>192</v>
      </c>
      <c r="V455" s="1" t="s">
        <v>1748</v>
      </c>
      <c r="W455" s="1" t="s">
        <v>93</v>
      </c>
      <c r="X455" s="1" t="s">
        <v>1749</v>
      </c>
      <c r="Y455" s="1" t="s">
        <v>93</v>
      </c>
      <c r="Z455" s="1" t="s">
        <v>56</v>
      </c>
      <c r="AA455" s="1" t="s">
        <v>93</v>
      </c>
      <c r="AB455" s="1">
        <v>440</v>
      </c>
      <c r="AC455" s="1">
        <v>0</v>
      </c>
      <c r="AD455" s="1">
        <v>0</v>
      </c>
      <c r="AE455" s="1">
        <v>0</v>
      </c>
      <c r="AF455" s="1">
        <v>0</v>
      </c>
      <c r="AG455" s="1">
        <v>0</v>
      </c>
      <c r="AH455" s="1">
        <v>0</v>
      </c>
      <c r="AI455" s="1" t="s">
        <v>1753</v>
      </c>
      <c r="AJ455" s="1" t="s">
        <v>1751</v>
      </c>
      <c r="AK455" s="1" t="s">
        <v>14</v>
      </c>
      <c r="AL455" s="1" t="s">
        <v>84</v>
      </c>
      <c r="AM455" s="1" t="s">
        <v>452</v>
      </c>
      <c r="AN455" s="1" t="s">
        <v>21</v>
      </c>
      <c r="AO455" s="1" t="s">
        <v>280</v>
      </c>
      <c r="AP455" s="1" t="s">
        <v>324</v>
      </c>
      <c r="AQ455" s="1" t="s">
        <v>20</v>
      </c>
    </row>
    <row r="456" spans="1:43" x14ac:dyDescent="0.3">
      <c r="A456" s="1">
        <v>24845309</v>
      </c>
      <c r="B456" s="1">
        <v>25681708</v>
      </c>
      <c r="C456" s="1" t="s">
        <v>266</v>
      </c>
      <c r="D456" s="4">
        <v>46203.87290509259</v>
      </c>
      <c r="E456" s="4">
        <v>46206.717847222222</v>
      </c>
      <c r="F456" s="1" t="s">
        <v>22</v>
      </c>
      <c r="G456" s="1" t="s">
        <v>24</v>
      </c>
      <c r="H456" s="1" t="s">
        <v>1754</v>
      </c>
      <c r="I456" s="1" t="s">
        <v>17</v>
      </c>
      <c r="J456" s="1" t="s">
        <v>1755</v>
      </c>
      <c r="K456" s="1" t="s">
        <v>319</v>
      </c>
      <c r="L456" s="1" t="s">
        <v>319</v>
      </c>
      <c r="M456" s="4">
        <v>46198.498611111107</v>
      </c>
      <c r="N456" s="1" t="s">
        <v>1756</v>
      </c>
      <c r="O456" s="1" t="s">
        <v>93</v>
      </c>
      <c r="P456" s="1" t="s">
        <v>271</v>
      </c>
      <c r="Q456" s="1" t="s">
        <v>286</v>
      </c>
      <c r="R456" s="1" t="s">
        <v>286</v>
      </c>
      <c r="S456" s="1" t="s">
        <v>9</v>
      </c>
      <c r="T456" s="1" t="s">
        <v>274</v>
      </c>
      <c r="U456" s="1" t="s">
        <v>173</v>
      </c>
      <c r="V456" s="1" t="s">
        <v>483</v>
      </c>
      <c r="W456" s="1" t="s">
        <v>93</v>
      </c>
      <c r="X456" s="1" t="s">
        <v>1757</v>
      </c>
      <c r="Y456" s="1" t="s">
        <v>93</v>
      </c>
      <c r="Z456" s="1" t="s">
        <v>85</v>
      </c>
      <c r="AA456" s="1" t="s">
        <v>93</v>
      </c>
      <c r="AB456" s="1">
        <v>180</v>
      </c>
      <c r="AC456" s="1">
        <v>9</v>
      </c>
      <c r="AD456" s="1">
        <v>0</v>
      </c>
      <c r="AE456" s="1">
        <v>0</v>
      </c>
      <c r="AF456" s="1">
        <v>0</v>
      </c>
      <c r="AG456" s="1">
        <v>0</v>
      </c>
      <c r="AH456" s="1">
        <v>0</v>
      </c>
      <c r="AI456" s="1" t="s">
        <v>290</v>
      </c>
      <c r="AJ456" s="1" t="s">
        <v>380</v>
      </c>
      <c r="AK456" s="1" t="s">
        <v>17</v>
      </c>
      <c r="AL456" s="1" t="s">
        <v>75</v>
      </c>
      <c r="AM456" s="1" t="s">
        <v>337</v>
      </c>
      <c r="AN456" s="1" t="s">
        <v>21</v>
      </c>
      <c r="AO456" s="1" t="s">
        <v>280</v>
      </c>
      <c r="AP456" s="1" t="s">
        <v>324</v>
      </c>
      <c r="AQ456" s="1" t="s">
        <v>27</v>
      </c>
    </row>
    <row r="457" spans="1:43" x14ac:dyDescent="0.3">
      <c r="A457" s="1">
        <v>24841050</v>
      </c>
      <c r="B457" s="1">
        <v>25677217</v>
      </c>
      <c r="C457" s="1" t="s">
        <v>266</v>
      </c>
      <c r="D457" s="4">
        <v>46203.429282407407</v>
      </c>
      <c r="E457" s="4">
        <v>46204.479398148149</v>
      </c>
      <c r="F457" s="1" t="s">
        <v>22</v>
      </c>
      <c r="G457" s="1" t="s">
        <v>24</v>
      </c>
      <c r="H457" s="1" t="s">
        <v>1758</v>
      </c>
      <c r="I457" s="1" t="s">
        <v>268</v>
      </c>
      <c r="J457" s="1" t="s">
        <v>1759</v>
      </c>
      <c r="K457" s="1" t="s">
        <v>988</v>
      </c>
      <c r="L457" s="1" t="s">
        <v>988</v>
      </c>
      <c r="M457" s="4">
        <v>46203.336111111108</v>
      </c>
      <c r="N457" s="1">
        <v>68535</v>
      </c>
      <c r="O457" s="1" t="s">
        <v>1760</v>
      </c>
      <c r="P457" s="1" t="s">
        <v>342</v>
      </c>
      <c r="Q457" s="1" t="s">
        <v>303</v>
      </c>
      <c r="R457" s="1" t="s">
        <v>272</v>
      </c>
      <c r="S457" s="1" t="s">
        <v>8</v>
      </c>
      <c r="T457" s="1" t="s">
        <v>274</v>
      </c>
      <c r="U457" s="1" t="s">
        <v>146</v>
      </c>
      <c r="V457" s="1" t="s">
        <v>990</v>
      </c>
      <c r="W457" s="1" t="s">
        <v>93</v>
      </c>
      <c r="X457" s="1" t="s">
        <v>1761</v>
      </c>
      <c r="Y457" s="1" t="s">
        <v>93</v>
      </c>
      <c r="Z457" s="1" t="s">
        <v>57</v>
      </c>
      <c r="AA457" s="1" t="s">
        <v>93</v>
      </c>
      <c r="AB457" s="1">
        <v>78.95</v>
      </c>
      <c r="AC457" s="1">
        <v>0</v>
      </c>
      <c r="AD457" s="1">
        <v>69.52</v>
      </c>
      <c r="AE457" s="1">
        <v>0</v>
      </c>
      <c r="AF457" s="1">
        <v>0</v>
      </c>
      <c r="AG457" s="1">
        <v>0</v>
      </c>
      <c r="AH457" s="1">
        <v>0</v>
      </c>
      <c r="AI457" s="1" t="s">
        <v>1762</v>
      </c>
      <c r="AJ457" s="1" t="s">
        <v>1763</v>
      </c>
      <c r="AK457" s="1" t="s">
        <v>13</v>
      </c>
      <c r="AL457" s="1" t="s">
        <v>84</v>
      </c>
      <c r="AM457" s="1" t="s">
        <v>452</v>
      </c>
      <c r="AN457" s="1" t="s">
        <v>21</v>
      </c>
      <c r="AO457" s="1" t="s">
        <v>280</v>
      </c>
      <c r="AP457" s="1" t="s">
        <v>324</v>
      </c>
      <c r="AQ457" s="1" t="s">
        <v>20</v>
      </c>
    </row>
    <row r="458" spans="1:43" x14ac:dyDescent="0.3">
      <c r="A458" s="1">
        <v>24841052</v>
      </c>
      <c r="B458" s="1">
        <v>25677219</v>
      </c>
      <c r="C458" s="1" t="s">
        <v>266</v>
      </c>
      <c r="D458" s="4">
        <v>46203.429386574076</v>
      </c>
      <c r="E458" s="4">
        <v>46204.479421296302</v>
      </c>
      <c r="F458" s="1" t="s">
        <v>22</v>
      </c>
      <c r="G458" s="1" t="s">
        <v>24</v>
      </c>
      <c r="H458" s="1" t="s">
        <v>1764</v>
      </c>
      <c r="I458" s="1" t="s">
        <v>268</v>
      </c>
      <c r="J458" s="1" t="s">
        <v>1759</v>
      </c>
      <c r="K458" s="1" t="s">
        <v>619</v>
      </c>
      <c r="L458" s="1" t="s">
        <v>619</v>
      </c>
      <c r="M458" s="4">
        <v>46203.40902777778</v>
      </c>
      <c r="N458" s="1">
        <v>68478</v>
      </c>
      <c r="O458" s="1" t="s">
        <v>1760</v>
      </c>
      <c r="P458" s="1" t="s">
        <v>342</v>
      </c>
      <c r="Q458" s="1" t="s">
        <v>303</v>
      </c>
      <c r="R458" s="1" t="s">
        <v>272</v>
      </c>
      <c r="S458" s="1" t="s">
        <v>8</v>
      </c>
      <c r="T458" s="1" t="s">
        <v>274</v>
      </c>
      <c r="U458" s="1" t="s">
        <v>146</v>
      </c>
      <c r="V458" s="1" t="s">
        <v>990</v>
      </c>
      <c r="W458" s="1" t="s">
        <v>93</v>
      </c>
      <c r="X458" s="1" t="s">
        <v>1761</v>
      </c>
      <c r="Y458" s="1" t="s">
        <v>93</v>
      </c>
      <c r="Z458" s="1" t="s">
        <v>57</v>
      </c>
      <c r="AA458" s="1" t="s">
        <v>93</v>
      </c>
      <c r="AB458" s="1">
        <v>110.14</v>
      </c>
      <c r="AC458" s="1">
        <v>0</v>
      </c>
      <c r="AD458" s="1">
        <v>208.56</v>
      </c>
      <c r="AE458" s="1">
        <v>0</v>
      </c>
      <c r="AF458" s="1">
        <v>0</v>
      </c>
      <c r="AG458" s="1">
        <v>0</v>
      </c>
      <c r="AH458" s="1">
        <v>0</v>
      </c>
      <c r="AI458" s="1" t="s">
        <v>1765</v>
      </c>
      <c r="AJ458" s="1" t="s">
        <v>1763</v>
      </c>
      <c r="AK458" s="1" t="s">
        <v>13</v>
      </c>
      <c r="AL458" s="1" t="s">
        <v>84</v>
      </c>
      <c r="AM458" s="1" t="s">
        <v>452</v>
      </c>
      <c r="AN458" s="1" t="s">
        <v>21</v>
      </c>
      <c r="AO458" s="1" t="s">
        <v>280</v>
      </c>
      <c r="AP458" s="1" t="s">
        <v>324</v>
      </c>
      <c r="AQ458" s="1" t="s">
        <v>20</v>
      </c>
    </row>
    <row r="459" spans="1:43" x14ac:dyDescent="0.3">
      <c r="A459" s="1">
        <v>24838187</v>
      </c>
      <c r="B459" s="1">
        <v>25674930</v>
      </c>
      <c r="C459" s="1" t="s">
        <v>266</v>
      </c>
      <c r="D459" s="4">
        <v>46202.786423611113</v>
      </c>
      <c r="E459" s="4">
        <v>46206.415983796287</v>
      </c>
      <c r="F459" s="1" t="s">
        <v>22</v>
      </c>
      <c r="G459" s="1" t="s">
        <v>24</v>
      </c>
      <c r="H459" s="1" t="s">
        <v>1385</v>
      </c>
      <c r="I459" s="1" t="s">
        <v>14</v>
      </c>
      <c r="J459" s="1" t="s">
        <v>1766</v>
      </c>
      <c r="K459" s="1" t="s">
        <v>547</v>
      </c>
      <c r="L459" s="1" t="s">
        <v>547</v>
      </c>
      <c r="M459" s="4">
        <v>46202.77847222222</v>
      </c>
      <c r="N459" s="1">
        <v>4715519</v>
      </c>
      <c r="O459" s="1" t="s">
        <v>93</v>
      </c>
      <c r="P459" s="1" t="s">
        <v>342</v>
      </c>
      <c r="Q459" s="1" t="s">
        <v>286</v>
      </c>
      <c r="R459" s="1" t="s">
        <v>286</v>
      </c>
      <c r="S459" s="1" t="s">
        <v>9</v>
      </c>
      <c r="T459" s="1" t="s">
        <v>274</v>
      </c>
      <c r="U459" s="1" t="s">
        <v>142</v>
      </c>
      <c r="V459" s="1" t="s">
        <v>575</v>
      </c>
      <c r="W459" s="1" t="s">
        <v>93</v>
      </c>
      <c r="X459" s="1" t="s">
        <v>1767</v>
      </c>
      <c r="Y459" s="1" t="s">
        <v>93</v>
      </c>
      <c r="Z459" s="1" t="s">
        <v>50</v>
      </c>
      <c r="AA459" s="1" t="s">
        <v>93</v>
      </c>
      <c r="AB459" s="1">
        <v>230</v>
      </c>
      <c r="AC459" s="1">
        <v>0</v>
      </c>
      <c r="AD459" s="1">
        <v>0</v>
      </c>
      <c r="AE459" s="1">
        <v>0</v>
      </c>
      <c r="AF459" s="1">
        <v>0</v>
      </c>
      <c r="AG459" s="1">
        <v>0</v>
      </c>
      <c r="AH459" s="1">
        <v>0</v>
      </c>
      <c r="AI459" s="1" t="s">
        <v>1387</v>
      </c>
      <c r="AJ459" s="1" t="s">
        <v>291</v>
      </c>
      <c r="AK459" s="1" t="s">
        <v>14</v>
      </c>
      <c r="AL459" s="1" t="s">
        <v>65</v>
      </c>
      <c r="AM459" s="1" t="s">
        <v>292</v>
      </c>
      <c r="AN459" s="1" t="s">
        <v>21</v>
      </c>
      <c r="AO459" s="1" t="s">
        <v>293</v>
      </c>
      <c r="AP459" s="1" t="s">
        <v>281</v>
      </c>
      <c r="AQ459" s="1" t="s">
        <v>34</v>
      </c>
    </row>
    <row r="460" spans="1:43" x14ac:dyDescent="0.3">
      <c r="A460" s="1">
        <v>24841587</v>
      </c>
      <c r="B460" s="1">
        <v>25677836</v>
      </c>
      <c r="C460" s="1" t="s">
        <v>266</v>
      </c>
      <c r="D460" s="4">
        <v>46203.488217592603</v>
      </c>
      <c r="E460" s="4">
        <v>46204.14303240741</v>
      </c>
      <c r="F460" s="1" t="s">
        <v>22</v>
      </c>
      <c r="G460" s="1" t="s">
        <v>24</v>
      </c>
      <c r="H460" s="1" t="s">
        <v>1768</v>
      </c>
      <c r="I460" s="1" t="s">
        <v>14</v>
      </c>
      <c r="J460" s="1" t="s">
        <v>717</v>
      </c>
      <c r="K460" s="1" t="s">
        <v>651</v>
      </c>
      <c r="L460" s="1" t="s">
        <v>651</v>
      </c>
      <c r="M460" s="4">
        <v>46203.791666666657</v>
      </c>
      <c r="N460" s="1">
        <v>4716477</v>
      </c>
      <c r="O460" s="1" t="s">
        <v>93</v>
      </c>
      <c r="P460" s="1" t="s">
        <v>342</v>
      </c>
      <c r="Q460" s="1" t="s">
        <v>286</v>
      </c>
      <c r="R460" s="1" t="s">
        <v>286</v>
      </c>
      <c r="S460" s="1" t="s">
        <v>9</v>
      </c>
      <c r="T460" s="1" t="s">
        <v>274</v>
      </c>
      <c r="U460" s="1" t="s">
        <v>142</v>
      </c>
      <c r="V460" s="1" t="s">
        <v>575</v>
      </c>
      <c r="W460" s="1" t="s">
        <v>93</v>
      </c>
      <c r="X460" s="1" t="s">
        <v>1769</v>
      </c>
      <c r="Y460" s="1" t="s">
        <v>93</v>
      </c>
      <c r="Z460" s="1" t="s">
        <v>50</v>
      </c>
      <c r="AA460" s="1" t="s">
        <v>93</v>
      </c>
      <c r="AB460" s="1">
        <v>924</v>
      </c>
      <c r="AC460" s="1">
        <v>0</v>
      </c>
      <c r="AD460" s="1">
        <v>0</v>
      </c>
      <c r="AE460" s="1">
        <v>0</v>
      </c>
      <c r="AF460" s="1">
        <v>0</v>
      </c>
      <c r="AG460" s="1">
        <v>0</v>
      </c>
      <c r="AH460" s="1">
        <v>0</v>
      </c>
      <c r="AI460" s="1" t="s">
        <v>1770</v>
      </c>
      <c r="AJ460" s="1" t="s">
        <v>707</v>
      </c>
      <c r="AK460" s="1" t="s">
        <v>14</v>
      </c>
      <c r="AL460" s="1" t="s">
        <v>69</v>
      </c>
      <c r="AM460" s="1" t="s">
        <v>337</v>
      </c>
      <c r="AN460" s="1" t="s">
        <v>21</v>
      </c>
      <c r="AO460" s="1" t="s">
        <v>280</v>
      </c>
      <c r="AP460" s="1" t="s">
        <v>324</v>
      </c>
      <c r="AQ460" s="1" t="s">
        <v>27</v>
      </c>
    </row>
    <row r="461" spans="1:43" x14ac:dyDescent="0.3">
      <c r="A461" s="1">
        <v>24841587</v>
      </c>
      <c r="B461" s="1">
        <v>25677838</v>
      </c>
      <c r="C461" s="1" t="s">
        <v>382</v>
      </c>
      <c r="D461" s="4">
        <v>46203.488217592603</v>
      </c>
      <c r="E461" s="4">
        <v>46204.14303240741</v>
      </c>
      <c r="F461" s="1" t="s">
        <v>22</v>
      </c>
      <c r="G461" s="1" t="s">
        <v>24</v>
      </c>
      <c r="H461" s="1" t="s">
        <v>1768</v>
      </c>
      <c r="I461" s="1" t="s">
        <v>14</v>
      </c>
      <c r="J461" s="1" t="s">
        <v>1771</v>
      </c>
      <c r="K461" s="1" t="s">
        <v>651</v>
      </c>
      <c r="L461" s="1" t="s">
        <v>651</v>
      </c>
      <c r="M461" s="4">
        <v>46203.791666666657</v>
      </c>
      <c r="N461" s="1">
        <v>4716477</v>
      </c>
      <c r="O461" s="1" t="s">
        <v>93</v>
      </c>
      <c r="P461" s="1" t="s">
        <v>342</v>
      </c>
      <c r="Q461" s="1" t="s">
        <v>286</v>
      </c>
      <c r="R461" s="1" t="s">
        <v>286</v>
      </c>
      <c r="S461" s="1" t="s">
        <v>9</v>
      </c>
      <c r="T461" s="1" t="s">
        <v>274</v>
      </c>
      <c r="U461" s="1" t="s">
        <v>142</v>
      </c>
      <c r="V461" s="1" t="s">
        <v>575</v>
      </c>
      <c r="W461" s="1" t="s">
        <v>93</v>
      </c>
      <c r="X461" s="1" t="s">
        <v>1769</v>
      </c>
      <c r="Y461" s="1" t="s">
        <v>93</v>
      </c>
      <c r="Z461" s="1" t="s">
        <v>50</v>
      </c>
      <c r="AA461" s="1" t="s">
        <v>93</v>
      </c>
      <c r="AB461" s="1">
        <v>924</v>
      </c>
      <c r="AC461" s="1">
        <v>0</v>
      </c>
      <c r="AD461" s="1">
        <v>0</v>
      </c>
      <c r="AE461" s="1">
        <v>0</v>
      </c>
      <c r="AF461" s="1">
        <v>0</v>
      </c>
      <c r="AG461" s="1">
        <v>0</v>
      </c>
      <c r="AH461" s="1">
        <v>0</v>
      </c>
      <c r="AI461" s="1" t="s">
        <v>1770</v>
      </c>
      <c r="AJ461" s="1" t="s">
        <v>707</v>
      </c>
      <c r="AK461" s="1" t="s">
        <v>14</v>
      </c>
      <c r="AL461" s="1" t="s">
        <v>69</v>
      </c>
      <c r="AM461" s="1" t="s">
        <v>337</v>
      </c>
      <c r="AN461" s="1" t="s">
        <v>21</v>
      </c>
      <c r="AO461" s="1" t="s">
        <v>280</v>
      </c>
      <c r="AP461" s="1" t="s">
        <v>324</v>
      </c>
      <c r="AQ461" s="1" t="s">
        <v>27</v>
      </c>
    </row>
    <row r="462" spans="1:43" x14ac:dyDescent="0.3">
      <c r="A462" s="1">
        <v>24855454</v>
      </c>
      <c r="B462" s="1">
        <v>25693282</v>
      </c>
      <c r="C462" s="1" t="s">
        <v>266</v>
      </c>
      <c r="D462" s="4">
        <v>46205.654942129629</v>
      </c>
      <c r="E462" s="4">
        <v>46206.148865740739</v>
      </c>
      <c r="F462" s="1" t="s">
        <v>22</v>
      </c>
      <c r="G462" s="1" t="s">
        <v>22</v>
      </c>
      <c r="H462" s="1" t="s">
        <v>1772</v>
      </c>
      <c r="I462" s="1" t="s">
        <v>14</v>
      </c>
      <c r="J462" s="1" t="s">
        <v>1773</v>
      </c>
      <c r="K462" s="1" t="s">
        <v>932</v>
      </c>
      <c r="L462" s="1" t="s">
        <v>932</v>
      </c>
      <c r="M462" s="4">
        <v>46212.648611111108</v>
      </c>
      <c r="N462" s="1">
        <v>4717960</v>
      </c>
      <c r="O462" s="1" t="s">
        <v>93</v>
      </c>
      <c r="P462" s="1" t="s">
        <v>342</v>
      </c>
      <c r="Q462" s="1" t="s">
        <v>286</v>
      </c>
      <c r="R462" s="1" t="s">
        <v>286</v>
      </c>
      <c r="S462" s="1" t="s">
        <v>9</v>
      </c>
      <c r="T462" s="1" t="s">
        <v>274</v>
      </c>
      <c r="U462" s="1" t="s">
        <v>142</v>
      </c>
      <c r="V462" s="1" t="s">
        <v>575</v>
      </c>
      <c r="W462" s="1" t="s">
        <v>93</v>
      </c>
      <c r="X462" s="1" t="s">
        <v>1769</v>
      </c>
      <c r="Y462" s="1" t="s">
        <v>93</v>
      </c>
      <c r="Z462" s="1" t="s">
        <v>50</v>
      </c>
      <c r="AA462" s="1" t="s">
        <v>93</v>
      </c>
      <c r="AB462" s="1">
        <v>231</v>
      </c>
      <c r="AC462" s="1">
        <v>0</v>
      </c>
      <c r="AD462" s="1">
        <v>0</v>
      </c>
      <c r="AE462" s="1">
        <v>0</v>
      </c>
      <c r="AF462" s="1">
        <v>0</v>
      </c>
      <c r="AG462" s="1">
        <v>0</v>
      </c>
      <c r="AH462" s="1">
        <v>0</v>
      </c>
      <c r="AI462" s="1" t="s">
        <v>1774</v>
      </c>
      <c r="AJ462" s="1" t="s">
        <v>702</v>
      </c>
      <c r="AK462" s="1" t="s">
        <v>14</v>
      </c>
      <c r="AL462" s="1" t="s">
        <v>67</v>
      </c>
      <c r="AM462" s="1" t="s">
        <v>323</v>
      </c>
      <c r="AN462" s="1" t="s">
        <v>21</v>
      </c>
      <c r="AO462" s="1" t="s">
        <v>280</v>
      </c>
      <c r="AP462" s="1" t="s">
        <v>324</v>
      </c>
      <c r="AQ462" s="1" t="s">
        <v>27</v>
      </c>
    </row>
    <row r="463" spans="1:43" x14ac:dyDescent="0.3">
      <c r="A463" s="1">
        <v>24854574</v>
      </c>
      <c r="B463" s="1">
        <v>25692199</v>
      </c>
      <c r="C463" s="1" t="s">
        <v>266</v>
      </c>
      <c r="D463" s="4">
        <v>46205.51599537037</v>
      </c>
      <c r="E463" s="4">
        <v>46206.417245370372</v>
      </c>
      <c r="F463" s="1" t="s">
        <v>22</v>
      </c>
      <c r="G463" s="1" t="s">
        <v>22</v>
      </c>
      <c r="H463" s="1" t="s">
        <v>1380</v>
      </c>
      <c r="I463" s="1" t="s">
        <v>14</v>
      </c>
      <c r="J463" s="1" t="s">
        <v>1775</v>
      </c>
      <c r="K463" s="1" t="s">
        <v>547</v>
      </c>
      <c r="L463" s="1" t="s">
        <v>547</v>
      </c>
      <c r="M463" s="4">
        <v>46205.495138888888</v>
      </c>
      <c r="N463" s="1">
        <v>4716838</v>
      </c>
      <c r="O463" s="1" t="s">
        <v>93</v>
      </c>
      <c r="P463" s="1" t="s">
        <v>342</v>
      </c>
      <c r="Q463" s="1" t="s">
        <v>303</v>
      </c>
      <c r="R463" s="1" t="s">
        <v>272</v>
      </c>
      <c r="S463" s="1" t="s">
        <v>9</v>
      </c>
      <c r="T463" s="1" t="s">
        <v>274</v>
      </c>
      <c r="U463" s="1" t="s">
        <v>142</v>
      </c>
      <c r="V463" s="1" t="s">
        <v>575</v>
      </c>
      <c r="W463" s="1" t="s">
        <v>93</v>
      </c>
      <c r="X463" s="1" t="s">
        <v>1776</v>
      </c>
      <c r="Y463" s="1" t="s">
        <v>93</v>
      </c>
      <c r="Z463" s="1" t="s">
        <v>50</v>
      </c>
      <c r="AA463" s="1" t="s">
        <v>93</v>
      </c>
      <c r="AB463" s="1">
        <v>180</v>
      </c>
      <c r="AC463" s="1">
        <v>0</v>
      </c>
      <c r="AD463" s="1">
        <v>0</v>
      </c>
      <c r="AE463" s="1">
        <v>0</v>
      </c>
      <c r="AF463" s="1">
        <v>0</v>
      </c>
      <c r="AG463" s="1">
        <v>0</v>
      </c>
      <c r="AH463" s="1">
        <v>0</v>
      </c>
      <c r="AI463" s="1" t="s">
        <v>1382</v>
      </c>
      <c r="AJ463" s="1" t="s">
        <v>291</v>
      </c>
      <c r="AK463" s="1" t="s">
        <v>14</v>
      </c>
      <c r="AL463" s="1" t="s">
        <v>65</v>
      </c>
      <c r="AM463" s="1" t="s">
        <v>292</v>
      </c>
      <c r="AN463" s="1" t="s">
        <v>21</v>
      </c>
      <c r="AO463" s="1" t="s">
        <v>293</v>
      </c>
      <c r="AP463" s="1" t="s">
        <v>281</v>
      </c>
      <c r="AQ463" s="1" t="s">
        <v>34</v>
      </c>
    </row>
    <row r="464" spans="1:43" x14ac:dyDescent="0.3">
      <c r="A464" s="1">
        <v>24862984</v>
      </c>
      <c r="B464" s="1">
        <v>25702103</v>
      </c>
      <c r="C464" s="1" t="s">
        <v>266</v>
      </c>
      <c r="D464" s="4">
        <v>46206.696608796286</v>
      </c>
      <c r="E464" s="4">
        <v>46206.716493055559</v>
      </c>
      <c r="F464" s="1" t="s">
        <v>22</v>
      </c>
      <c r="G464" s="1" t="s">
        <v>22</v>
      </c>
      <c r="H464" s="1">
        <v>246359</v>
      </c>
      <c r="I464" s="1" t="s">
        <v>14</v>
      </c>
      <c r="J464" s="1" t="s">
        <v>1777</v>
      </c>
      <c r="K464" s="1" t="s">
        <v>770</v>
      </c>
      <c r="L464" s="1" t="s">
        <v>770</v>
      </c>
      <c r="M464" s="4">
        <v>46204.538888888892</v>
      </c>
      <c r="N464" s="1">
        <v>4716766</v>
      </c>
      <c r="O464" s="1" t="s">
        <v>93</v>
      </c>
      <c r="P464" s="1" t="s">
        <v>342</v>
      </c>
      <c r="Q464" s="1" t="s">
        <v>286</v>
      </c>
      <c r="R464" s="1" t="s">
        <v>272</v>
      </c>
      <c r="S464" s="1" t="s">
        <v>9</v>
      </c>
      <c r="T464" s="1" t="s">
        <v>274</v>
      </c>
      <c r="U464" s="1" t="s">
        <v>217</v>
      </c>
      <c r="V464" s="1" t="s">
        <v>699</v>
      </c>
      <c r="W464" s="1" t="s">
        <v>93</v>
      </c>
      <c r="X464" s="1" t="s">
        <v>93</v>
      </c>
      <c r="Y464" s="1" t="s">
        <v>93</v>
      </c>
      <c r="Z464" s="1" t="s">
        <v>130</v>
      </c>
      <c r="AA464" s="1" t="s">
        <v>93</v>
      </c>
      <c r="AB464" s="1">
        <v>445</v>
      </c>
      <c r="AC464" s="1">
        <v>57.85</v>
      </c>
      <c r="AD464" s="1">
        <v>0</v>
      </c>
      <c r="AE464" s="1">
        <v>0</v>
      </c>
      <c r="AF464" s="1">
        <v>0</v>
      </c>
      <c r="AG464" s="1">
        <v>0</v>
      </c>
      <c r="AH464" s="1">
        <v>0</v>
      </c>
      <c r="AI464" s="1" t="s">
        <v>1778</v>
      </c>
      <c r="AJ464" s="1" t="s">
        <v>410</v>
      </c>
      <c r="AK464" s="1" t="s">
        <v>14</v>
      </c>
      <c r="AL464" s="1" t="s">
        <v>65</v>
      </c>
      <c r="AM464" s="1" t="s">
        <v>292</v>
      </c>
      <c r="AN464" s="1" t="s">
        <v>21</v>
      </c>
      <c r="AO464" s="1" t="s">
        <v>293</v>
      </c>
      <c r="AP464" s="1" t="s">
        <v>281</v>
      </c>
      <c r="AQ464" s="1" t="s">
        <v>34</v>
      </c>
    </row>
    <row r="465" spans="1:43" x14ac:dyDescent="0.3">
      <c r="A465" s="1">
        <v>24861753</v>
      </c>
      <c r="B465" s="1">
        <v>25700600</v>
      </c>
      <c r="C465" s="1" t="s">
        <v>382</v>
      </c>
      <c r="D465" s="4">
        <v>46206.568796296298</v>
      </c>
      <c r="E465" s="4">
        <v>46206.571145833332</v>
      </c>
      <c r="F465" s="1" t="s">
        <v>22</v>
      </c>
      <c r="G465" s="1" t="s">
        <v>22</v>
      </c>
      <c r="H465" s="1" t="s">
        <v>1458</v>
      </c>
      <c r="I465" s="1" t="s">
        <v>17</v>
      </c>
      <c r="J465" s="1" t="s">
        <v>1459</v>
      </c>
      <c r="K465" s="1" t="s">
        <v>1455</v>
      </c>
      <c r="L465" s="1" t="s">
        <v>1455</v>
      </c>
      <c r="M465" s="4">
        <v>46205.597916666673</v>
      </c>
      <c r="N465" s="1">
        <v>9999</v>
      </c>
      <c r="O465" s="1" t="s">
        <v>93</v>
      </c>
      <c r="P465" s="1" t="s">
        <v>342</v>
      </c>
      <c r="Q465" s="1" t="s">
        <v>286</v>
      </c>
      <c r="R465" s="1" t="s">
        <v>286</v>
      </c>
      <c r="S465" s="1" t="s">
        <v>9</v>
      </c>
      <c r="T465" s="1" t="s">
        <v>274</v>
      </c>
      <c r="U465" s="1" t="s">
        <v>211</v>
      </c>
      <c r="V465" s="1" t="s">
        <v>1457</v>
      </c>
      <c r="W465" s="1" t="s">
        <v>93</v>
      </c>
      <c r="X465" s="1" t="s">
        <v>93</v>
      </c>
      <c r="Y465" s="1" t="s">
        <v>93</v>
      </c>
      <c r="Z465" s="1" t="s">
        <v>131</v>
      </c>
      <c r="AA465" s="1" t="s">
        <v>93</v>
      </c>
      <c r="AB465" s="1">
        <v>529.89</v>
      </c>
      <c r="AC465" s="1">
        <v>28.56</v>
      </c>
      <c r="AD465" s="1">
        <v>0</v>
      </c>
      <c r="AE465" s="1">
        <v>0</v>
      </c>
      <c r="AF465" s="1">
        <v>0</v>
      </c>
      <c r="AG465" s="1">
        <v>0</v>
      </c>
      <c r="AH465" s="1">
        <v>0</v>
      </c>
      <c r="AI465" s="1" t="s">
        <v>290</v>
      </c>
      <c r="AJ465" s="1" t="s">
        <v>410</v>
      </c>
      <c r="AK465" s="1" t="s">
        <v>17</v>
      </c>
      <c r="AL465" s="1" t="s">
        <v>65</v>
      </c>
      <c r="AM465" s="1" t="s">
        <v>292</v>
      </c>
      <c r="AN465" s="1" t="s">
        <v>21</v>
      </c>
      <c r="AO465" s="1" t="s">
        <v>280</v>
      </c>
      <c r="AP465" s="1" t="s">
        <v>324</v>
      </c>
      <c r="AQ465" s="1" t="s">
        <v>20</v>
      </c>
    </row>
    <row r="466" spans="1:43" x14ac:dyDescent="0.3">
      <c r="A466" s="1">
        <v>24862904</v>
      </c>
      <c r="B466" s="1">
        <v>25701997</v>
      </c>
      <c r="C466" s="1" t="s">
        <v>266</v>
      </c>
      <c r="D466" s="4">
        <v>46206.690625000003</v>
      </c>
      <c r="E466" s="4">
        <v>46206.706932870373</v>
      </c>
      <c r="F466" s="1" t="s">
        <v>22</v>
      </c>
      <c r="G466" s="1" t="s">
        <v>22</v>
      </c>
      <c r="H466" s="1">
        <v>5651868</v>
      </c>
      <c r="I466" s="1" t="s">
        <v>14</v>
      </c>
      <c r="J466" s="1" t="s">
        <v>1779</v>
      </c>
      <c r="K466" s="1" t="s">
        <v>1780</v>
      </c>
      <c r="L466" s="1" t="s">
        <v>1780</v>
      </c>
      <c r="M466" s="4">
        <v>46203</v>
      </c>
      <c r="N466" s="1">
        <v>4716578</v>
      </c>
      <c r="O466" s="1" t="s">
        <v>93</v>
      </c>
      <c r="P466" s="1" t="s">
        <v>342</v>
      </c>
      <c r="Q466" s="1" t="s">
        <v>303</v>
      </c>
      <c r="R466" s="1" t="s">
        <v>272</v>
      </c>
      <c r="S466" s="1" t="s">
        <v>9</v>
      </c>
      <c r="T466" s="1" t="s">
        <v>274</v>
      </c>
      <c r="U466" s="1" t="s">
        <v>184</v>
      </c>
      <c r="V466" s="1" t="s">
        <v>772</v>
      </c>
      <c r="W466" s="1" t="s">
        <v>93</v>
      </c>
      <c r="X466" s="1" t="s">
        <v>93</v>
      </c>
      <c r="Y466" s="1" t="s">
        <v>93</v>
      </c>
      <c r="Z466" s="1" t="s">
        <v>103</v>
      </c>
      <c r="AA466" s="1" t="s">
        <v>93</v>
      </c>
      <c r="AB466" s="1">
        <v>2152.7199999999998</v>
      </c>
      <c r="AC466" s="1">
        <v>0</v>
      </c>
      <c r="AD466" s="1">
        <v>0</v>
      </c>
      <c r="AE466" s="1">
        <v>0</v>
      </c>
      <c r="AF466" s="1">
        <v>0</v>
      </c>
      <c r="AG466" s="1">
        <v>0</v>
      </c>
      <c r="AH466" s="1">
        <v>0</v>
      </c>
      <c r="AI466" s="1" t="s">
        <v>1781</v>
      </c>
      <c r="AJ466" s="1" t="s">
        <v>410</v>
      </c>
      <c r="AK466" s="1" t="s">
        <v>14</v>
      </c>
      <c r="AL466" s="1" t="s">
        <v>65</v>
      </c>
      <c r="AM466" s="1" t="s">
        <v>292</v>
      </c>
      <c r="AN466" s="1" t="s">
        <v>21</v>
      </c>
      <c r="AO466" s="1" t="s">
        <v>293</v>
      </c>
      <c r="AP466" s="1" t="s">
        <v>281</v>
      </c>
      <c r="AQ466" s="1" t="s">
        <v>34</v>
      </c>
    </row>
    <row r="467" spans="1:43" x14ac:dyDescent="0.3">
      <c r="A467" s="1">
        <v>24862982</v>
      </c>
      <c r="B467" s="1">
        <v>25702101</v>
      </c>
      <c r="C467" s="1" t="s">
        <v>266</v>
      </c>
      <c r="D467" s="4">
        <v>46206.696585648147</v>
      </c>
      <c r="E467" s="4">
        <v>46206.716493055559</v>
      </c>
      <c r="F467" s="1" t="s">
        <v>22</v>
      </c>
      <c r="G467" s="1" t="s">
        <v>22</v>
      </c>
      <c r="H467" s="1">
        <v>23550092</v>
      </c>
      <c r="I467" s="1" t="s">
        <v>14</v>
      </c>
      <c r="J467" s="1" t="s">
        <v>1782</v>
      </c>
      <c r="K467" s="1" t="s">
        <v>770</v>
      </c>
      <c r="L467" s="1" t="s">
        <v>770</v>
      </c>
      <c r="M467" s="4">
        <v>46204.763194444437</v>
      </c>
      <c r="N467" s="1">
        <v>4716744</v>
      </c>
      <c r="O467" s="1" t="s">
        <v>93</v>
      </c>
      <c r="P467" s="1" t="s">
        <v>342</v>
      </c>
      <c r="Q467" s="1" t="s">
        <v>286</v>
      </c>
      <c r="R467" s="1" t="s">
        <v>286</v>
      </c>
      <c r="S467" s="1" t="s">
        <v>9</v>
      </c>
      <c r="T467" s="1" t="s">
        <v>274</v>
      </c>
      <c r="U467" s="1" t="s">
        <v>184</v>
      </c>
      <c r="V467" s="1" t="s">
        <v>772</v>
      </c>
      <c r="W467" s="1" t="s">
        <v>93</v>
      </c>
      <c r="X467" s="1" t="s">
        <v>93</v>
      </c>
      <c r="Y467" s="1" t="s">
        <v>93</v>
      </c>
      <c r="Z467" s="1" t="s">
        <v>103</v>
      </c>
      <c r="AA467" s="1" t="s">
        <v>93</v>
      </c>
      <c r="AB467" s="1">
        <v>1110</v>
      </c>
      <c r="AC467" s="1">
        <v>33.299999999999997</v>
      </c>
      <c r="AD467" s="1">
        <v>0</v>
      </c>
      <c r="AE467" s="1">
        <v>0</v>
      </c>
      <c r="AF467" s="1">
        <v>0</v>
      </c>
      <c r="AG467" s="1">
        <v>0</v>
      </c>
      <c r="AH467" s="1">
        <v>0</v>
      </c>
      <c r="AI467" s="1" t="s">
        <v>1783</v>
      </c>
      <c r="AJ467" s="1" t="s">
        <v>410</v>
      </c>
      <c r="AK467" s="1" t="s">
        <v>14</v>
      </c>
      <c r="AL467" s="1" t="s">
        <v>65</v>
      </c>
      <c r="AM467" s="1" t="s">
        <v>292</v>
      </c>
      <c r="AN467" s="1" t="s">
        <v>21</v>
      </c>
      <c r="AO467" s="1" t="s">
        <v>293</v>
      </c>
      <c r="AP467" s="1" t="s">
        <v>281</v>
      </c>
      <c r="AQ467" s="1" t="s">
        <v>34</v>
      </c>
    </row>
    <row r="468" spans="1:43" x14ac:dyDescent="0.3">
      <c r="A468" s="1">
        <v>24862331</v>
      </c>
      <c r="B468" s="1">
        <v>25701317</v>
      </c>
      <c r="C468" s="1" t="s">
        <v>266</v>
      </c>
      <c r="D468" s="4">
        <v>46206.627442129633</v>
      </c>
      <c r="E468" s="4">
        <v>46206.628865740742</v>
      </c>
      <c r="F468" s="1" t="s">
        <v>22</v>
      </c>
      <c r="G468" s="1" t="s">
        <v>22</v>
      </c>
      <c r="H468" s="1" t="s">
        <v>1784</v>
      </c>
      <c r="I468" s="1" t="s">
        <v>14</v>
      </c>
      <c r="J468" s="1" t="s">
        <v>1785</v>
      </c>
      <c r="K468" s="1" t="s">
        <v>770</v>
      </c>
      <c r="L468" s="1" t="s">
        <v>770</v>
      </c>
      <c r="M468" s="4">
        <v>46206.625</v>
      </c>
      <c r="N468" s="1">
        <v>4718234</v>
      </c>
      <c r="O468" s="1" t="s">
        <v>1786</v>
      </c>
      <c r="P468" s="1" t="s">
        <v>342</v>
      </c>
      <c r="Q468" s="1" t="s">
        <v>303</v>
      </c>
      <c r="R468" s="1" t="s">
        <v>272</v>
      </c>
      <c r="S468" s="1" t="s">
        <v>8</v>
      </c>
      <c r="T468" s="1" t="s">
        <v>274</v>
      </c>
      <c r="U468" s="1" t="s">
        <v>184</v>
      </c>
      <c r="V468" s="1" t="s">
        <v>772</v>
      </c>
      <c r="W468" s="1" t="s">
        <v>93</v>
      </c>
      <c r="X468" s="1" t="s">
        <v>93</v>
      </c>
      <c r="Y468" s="1" t="s">
        <v>93</v>
      </c>
      <c r="Z468" s="1" t="s">
        <v>103</v>
      </c>
      <c r="AA468" s="1" t="s">
        <v>93</v>
      </c>
      <c r="AB468" s="1">
        <v>845.07</v>
      </c>
      <c r="AC468" s="1">
        <v>0</v>
      </c>
      <c r="AD468" s="1">
        <v>0</v>
      </c>
      <c r="AE468" s="1">
        <v>0</v>
      </c>
      <c r="AF468" s="1">
        <v>0</v>
      </c>
      <c r="AG468" s="1">
        <v>0</v>
      </c>
      <c r="AH468" s="1">
        <v>0</v>
      </c>
      <c r="AI468" s="1" t="s">
        <v>1787</v>
      </c>
      <c r="AJ468" s="1" t="s">
        <v>410</v>
      </c>
      <c r="AK468" s="1" t="s">
        <v>14</v>
      </c>
      <c r="AL468" s="1" t="s">
        <v>65</v>
      </c>
      <c r="AM468" s="1" t="s">
        <v>292</v>
      </c>
      <c r="AN468" s="1" t="s">
        <v>21</v>
      </c>
      <c r="AO468" s="1" t="s">
        <v>280</v>
      </c>
      <c r="AP468" s="1" t="s">
        <v>324</v>
      </c>
      <c r="AQ468" s="1" t="s">
        <v>20</v>
      </c>
    </row>
    <row r="469" spans="1:43" x14ac:dyDescent="0.3">
      <c r="A469" s="1">
        <v>24864653</v>
      </c>
      <c r="B469" s="1">
        <v>25703916</v>
      </c>
      <c r="C469" s="1" t="s">
        <v>266</v>
      </c>
      <c r="D469" s="4">
        <v>46206.790162037039</v>
      </c>
      <c r="E469" s="4">
        <v>46206.81108796296</v>
      </c>
      <c r="F469" s="1" t="s">
        <v>22</v>
      </c>
      <c r="G469" s="1" t="s">
        <v>22</v>
      </c>
      <c r="H469" s="1" t="s">
        <v>1788</v>
      </c>
      <c r="I469" s="1" t="s">
        <v>268</v>
      </c>
      <c r="J469" s="1" t="s">
        <v>1789</v>
      </c>
      <c r="K469" s="1" t="s">
        <v>270</v>
      </c>
      <c r="L469" s="1" t="s">
        <v>270</v>
      </c>
      <c r="M469" s="4">
        <v>46206.73333333333</v>
      </c>
      <c r="N469" s="1">
        <v>21647</v>
      </c>
      <c r="O469" s="1" t="s">
        <v>1790</v>
      </c>
      <c r="P469" s="1" t="s">
        <v>271</v>
      </c>
      <c r="Q469" s="1" t="s">
        <v>303</v>
      </c>
      <c r="R469" s="1" t="s">
        <v>272</v>
      </c>
      <c r="S469" s="1" t="s">
        <v>8</v>
      </c>
      <c r="T469" s="1" t="s">
        <v>274</v>
      </c>
      <c r="U469" s="1" t="s">
        <v>147</v>
      </c>
      <c r="V469" s="1" t="s">
        <v>728</v>
      </c>
      <c r="W469" s="1" t="s">
        <v>93</v>
      </c>
      <c r="X469" s="1" t="s">
        <v>93</v>
      </c>
      <c r="Y469" s="1" t="s">
        <v>93</v>
      </c>
      <c r="Z469" s="1" t="s">
        <v>58</v>
      </c>
      <c r="AA469" s="1" t="s">
        <v>93</v>
      </c>
      <c r="AB469" s="1">
        <v>226.36</v>
      </c>
      <c r="AC469" s="1">
        <v>0</v>
      </c>
      <c r="AD469" s="1">
        <v>0</v>
      </c>
      <c r="AE469" s="1">
        <v>0</v>
      </c>
      <c r="AF469" s="1">
        <v>0</v>
      </c>
      <c r="AG469" s="1">
        <v>0</v>
      </c>
      <c r="AH469" s="1">
        <v>0</v>
      </c>
      <c r="AI469" s="1" t="s">
        <v>1791</v>
      </c>
      <c r="AJ469" s="1" t="s">
        <v>410</v>
      </c>
      <c r="AK469" s="1" t="s">
        <v>13</v>
      </c>
      <c r="AL469" s="1" t="s">
        <v>65</v>
      </c>
      <c r="AM469" s="1" t="s">
        <v>292</v>
      </c>
      <c r="AN469" s="1" t="s">
        <v>21</v>
      </c>
      <c r="AO469" s="1" t="s">
        <v>280</v>
      </c>
      <c r="AP469" s="1" t="s">
        <v>324</v>
      </c>
      <c r="AQ469" s="1" t="s">
        <v>20</v>
      </c>
    </row>
    <row r="470" spans="1:43" x14ac:dyDescent="0.3">
      <c r="A470" s="1">
        <v>24864658</v>
      </c>
      <c r="B470" s="1">
        <v>25703921</v>
      </c>
      <c r="C470" s="1" t="s">
        <v>266</v>
      </c>
      <c r="D470" s="4">
        <v>46206.790358796286</v>
      </c>
      <c r="E470" s="4">
        <v>46206.811354166668</v>
      </c>
      <c r="F470" s="1" t="s">
        <v>22</v>
      </c>
      <c r="G470" s="1" t="s">
        <v>22</v>
      </c>
      <c r="H470" s="1" t="s">
        <v>1792</v>
      </c>
      <c r="I470" s="1" t="s">
        <v>268</v>
      </c>
      <c r="J470" s="1" t="s">
        <v>1793</v>
      </c>
      <c r="K470" s="1" t="s">
        <v>270</v>
      </c>
      <c r="L470" s="1" t="s">
        <v>270</v>
      </c>
      <c r="M470" s="4">
        <v>46206.634722222218</v>
      </c>
      <c r="N470" s="1">
        <v>21643</v>
      </c>
      <c r="O470" s="1" t="s">
        <v>1794</v>
      </c>
      <c r="P470" s="1" t="s">
        <v>271</v>
      </c>
      <c r="Q470" s="1" t="s">
        <v>303</v>
      </c>
      <c r="R470" s="1" t="s">
        <v>272</v>
      </c>
      <c r="S470" s="1" t="s">
        <v>8</v>
      </c>
      <c r="T470" s="1" t="s">
        <v>274</v>
      </c>
      <c r="U470" s="1" t="s">
        <v>147</v>
      </c>
      <c r="V470" s="1" t="s">
        <v>728</v>
      </c>
      <c r="W470" s="1" t="s">
        <v>93</v>
      </c>
      <c r="X470" s="1" t="s">
        <v>93</v>
      </c>
      <c r="Y470" s="1" t="s">
        <v>93</v>
      </c>
      <c r="Z470" s="1" t="s">
        <v>58</v>
      </c>
      <c r="AA470" s="1" t="s">
        <v>93</v>
      </c>
      <c r="AB470" s="1">
        <v>787.72</v>
      </c>
      <c r="AC470" s="1">
        <v>0</v>
      </c>
      <c r="AD470" s="1">
        <v>0</v>
      </c>
      <c r="AE470" s="1">
        <v>0</v>
      </c>
      <c r="AF470" s="1">
        <v>0</v>
      </c>
      <c r="AG470" s="1">
        <v>0</v>
      </c>
      <c r="AH470" s="1">
        <v>0</v>
      </c>
      <c r="AI470" s="1" t="s">
        <v>1795</v>
      </c>
      <c r="AJ470" s="1" t="s">
        <v>410</v>
      </c>
      <c r="AK470" s="1" t="s">
        <v>13</v>
      </c>
      <c r="AL470" s="1" t="s">
        <v>65</v>
      </c>
      <c r="AM470" s="1" t="s">
        <v>292</v>
      </c>
      <c r="AN470" s="1" t="s">
        <v>21</v>
      </c>
      <c r="AO470" s="1" t="s">
        <v>280</v>
      </c>
      <c r="AP470" s="1" t="s">
        <v>324</v>
      </c>
      <c r="AQ470" s="1" t="s">
        <v>20</v>
      </c>
    </row>
    <row r="471" spans="1:43" x14ac:dyDescent="0.3">
      <c r="A471" s="1">
        <v>24864665</v>
      </c>
      <c r="B471" s="1">
        <v>25703928</v>
      </c>
      <c r="C471" s="1" t="s">
        <v>266</v>
      </c>
      <c r="D471" s="4">
        <v>46206.790682870371</v>
      </c>
      <c r="E471" s="4">
        <v>46206.813043981478</v>
      </c>
      <c r="F471" s="1" t="s">
        <v>22</v>
      </c>
      <c r="G471" s="1" t="s">
        <v>22</v>
      </c>
      <c r="H471" s="1" t="s">
        <v>1796</v>
      </c>
      <c r="I471" s="1" t="s">
        <v>268</v>
      </c>
      <c r="J471" s="1" t="s">
        <v>1797</v>
      </c>
      <c r="K471" s="1" t="s">
        <v>270</v>
      </c>
      <c r="L471" s="1" t="s">
        <v>270</v>
      </c>
      <c r="M471" s="4">
        <v>46206.589583333327</v>
      </c>
      <c r="N471" s="1">
        <v>21637</v>
      </c>
      <c r="O471" s="1" t="s">
        <v>1798</v>
      </c>
      <c r="P471" s="1" t="s">
        <v>271</v>
      </c>
      <c r="Q471" s="1" t="s">
        <v>303</v>
      </c>
      <c r="R471" s="1" t="s">
        <v>272</v>
      </c>
      <c r="S471" s="1" t="s">
        <v>8</v>
      </c>
      <c r="T471" s="1" t="s">
        <v>274</v>
      </c>
      <c r="U471" s="1" t="s">
        <v>147</v>
      </c>
      <c r="V471" s="1" t="s">
        <v>728</v>
      </c>
      <c r="W471" s="1" t="s">
        <v>93</v>
      </c>
      <c r="X471" s="1" t="s">
        <v>93</v>
      </c>
      <c r="Y471" s="1" t="s">
        <v>93</v>
      </c>
      <c r="Z471" s="1" t="s">
        <v>58</v>
      </c>
      <c r="AA471" s="1" t="s">
        <v>93</v>
      </c>
      <c r="AB471" s="1">
        <v>533.66</v>
      </c>
      <c r="AC471" s="1">
        <v>0</v>
      </c>
      <c r="AD471" s="1">
        <v>0</v>
      </c>
      <c r="AE471" s="1">
        <v>0</v>
      </c>
      <c r="AF471" s="1">
        <v>0</v>
      </c>
      <c r="AG471" s="1">
        <v>0</v>
      </c>
      <c r="AH471" s="1">
        <v>0</v>
      </c>
      <c r="AI471" s="1" t="s">
        <v>1799</v>
      </c>
      <c r="AJ471" s="1" t="s">
        <v>410</v>
      </c>
      <c r="AK471" s="1" t="s">
        <v>13</v>
      </c>
      <c r="AL471" s="1" t="s">
        <v>65</v>
      </c>
      <c r="AM471" s="1" t="s">
        <v>292</v>
      </c>
      <c r="AN471" s="1" t="s">
        <v>21</v>
      </c>
      <c r="AO471" s="1" t="s">
        <v>280</v>
      </c>
      <c r="AP471" s="1" t="s">
        <v>324</v>
      </c>
      <c r="AQ471" s="1" t="s">
        <v>20</v>
      </c>
    </row>
    <row r="472" spans="1:43" x14ac:dyDescent="0.3">
      <c r="A472" s="1">
        <v>24872461</v>
      </c>
      <c r="B472" s="1">
        <v>25713152</v>
      </c>
      <c r="C472" s="1" t="s">
        <v>266</v>
      </c>
      <c r="D472" s="4">
        <v>46209.027233796303</v>
      </c>
      <c r="E472" s="4">
        <v>46209.028136574067</v>
      </c>
      <c r="F472" s="1" t="s">
        <v>19</v>
      </c>
      <c r="G472" s="1" t="s">
        <v>19</v>
      </c>
      <c r="H472" s="1" t="s">
        <v>1800</v>
      </c>
      <c r="I472" s="1" t="s">
        <v>268</v>
      </c>
      <c r="J472" s="1" t="s">
        <v>1801</v>
      </c>
      <c r="K472" s="1" t="s">
        <v>270</v>
      </c>
      <c r="L472" s="1" t="s">
        <v>270</v>
      </c>
      <c r="M472" s="4">
        <v>46208.899305555547</v>
      </c>
      <c r="N472" s="1">
        <v>21662</v>
      </c>
      <c r="O472" s="1" t="s">
        <v>1802</v>
      </c>
      <c r="P472" s="1" t="s">
        <v>271</v>
      </c>
      <c r="Q472" s="1" t="s">
        <v>303</v>
      </c>
      <c r="R472" s="1" t="s">
        <v>272</v>
      </c>
      <c r="S472" s="1" t="s">
        <v>8</v>
      </c>
      <c r="T472" s="1" t="s">
        <v>274</v>
      </c>
      <c r="U472" s="1" t="s">
        <v>147</v>
      </c>
      <c r="V472" s="1" t="s">
        <v>728</v>
      </c>
      <c r="W472" s="1" t="s">
        <v>93</v>
      </c>
      <c r="X472" s="1" t="s">
        <v>93</v>
      </c>
      <c r="Y472" s="1" t="s">
        <v>93</v>
      </c>
      <c r="Z472" s="1" t="s">
        <v>58</v>
      </c>
      <c r="AA472" s="1" t="s">
        <v>93</v>
      </c>
      <c r="AB472" s="1">
        <v>350.96</v>
      </c>
      <c r="AC472" s="1">
        <v>0</v>
      </c>
      <c r="AD472" s="1">
        <v>0</v>
      </c>
      <c r="AE472" s="1">
        <v>0</v>
      </c>
      <c r="AF472" s="1">
        <v>0</v>
      </c>
      <c r="AG472" s="1">
        <v>0</v>
      </c>
      <c r="AH472" s="1">
        <v>0</v>
      </c>
      <c r="AI472" s="1" t="s">
        <v>1803</v>
      </c>
      <c r="AJ472" s="1" t="s">
        <v>410</v>
      </c>
      <c r="AK472" s="1" t="s">
        <v>13</v>
      </c>
      <c r="AL472" s="1" t="s">
        <v>65</v>
      </c>
      <c r="AM472" s="1" t="s">
        <v>292</v>
      </c>
      <c r="AN472" s="1" t="s">
        <v>21</v>
      </c>
      <c r="AO472" s="1" t="s">
        <v>280</v>
      </c>
      <c r="AP472" s="1" t="s">
        <v>324</v>
      </c>
      <c r="AQ472" s="1" t="s">
        <v>20</v>
      </c>
    </row>
    <row r="473" spans="1:43" x14ac:dyDescent="0.3">
      <c r="A473" s="1">
        <v>24862777</v>
      </c>
      <c r="B473" s="1">
        <v>25701863</v>
      </c>
      <c r="C473" s="1" t="s">
        <v>266</v>
      </c>
      <c r="D473" s="4">
        <v>46206.685636574082</v>
      </c>
      <c r="E473" s="4">
        <v>46206.688449074078</v>
      </c>
      <c r="F473" s="1" t="s">
        <v>22</v>
      </c>
      <c r="G473" s="1" t="s">
        <v>22</v>
      </c>
      <c r="H473" s="1" t="s">
        <v>1804</v>
      </c>
      <c r="I473" s="1" t="s">
        <v>17</v>
      </c>
      <c r="J473" s="1" t="s">
        <v>1692</v>
      </c>
      <c r="K473" s="1" t="s">
        <v>1693</v>
      </c>
      <c r="L473" s="1" t="s">
        <v>1693</v>
      </c>
      <c r="M473" s="4">
        <v>46206.543055555558</v>
      </c>
      <c r="N473" s="1" t="s">
        <v>1805</v>
      </c>
      <c r="O473" s="1" t="s">
        <v>93</v>
      </c>
      <c r="P473" s="1" t="s">
        <v>342</v>
      </c>
      <c r="Q473" s="1" t="s">
        <v>303</v>
      </c>
      <c r="R473" s="1" t="s">
        <v>272</v>
      </c>
      <c r="S473" s="1" t="s">
        <v>9</v>
      </c>
      <c r="T473" s="1" t="s">
        <v>274</v>
      </c>
      <c r="U473" s="1" t="s">
        <v>153</v>
      </c>
      <c r="V473" s="1" t="s">
        <v>465</v>
      </c>
      <c r="W473" s="1" t="s">
        <v>93</v>
      </c>
      <c r="X473" s="1" t="s">
        <v>93</v>
      </c>
      <c r="Y473" s="1" t="s">
        <v>93</v>
      </c>
      <c r="Z473" s="1" t="s">
        <v>64</v>
      </c>
      <c r="AA473" s="1" t="s">
        <v>93</v>
      </c>
      <c r="AB473" s="1">
        <v>5850</v>
      </c>
      <c r="AC473" s="1">
        <v>0</v>
      </c>
      <c r="AD473" s="1">
        <v>0</v>
      </c>
      <c r="AE473" s="1">
        <v>0</v>
      </c>
      <c r="AF473" s="1">
        <v>0</v>
      </c>
      <c r="AG473" s="1">
        <v>0</v>
      </c>
      <c r="AH473" s="1">
        <v>0</v>
      </c>
      <c r="AI473" s="1" t="s">
        <v>290</v>
      </c>
      <c r="AJ473" s="1" t="s">
        <v>410</v>
      </c>
      <c r="AK473" s="1" t="s">
        <v>17</v>
      </c>
      <c r="AL473" s="1" t="s">
        <v>65</v>
      </c>
      <c r="AM473" s="1" t="s">
        <v>292</v>
      </c>
      <c r="AN473" s="1" t="s">
        <v>21</v>
      </c>
      <c r="AO473" s="1" t="s">
        <v>280</v>
      </c>
      <c r="AP473" s="1" t="s">
        <v>324</v>
      </c>
      <c r="AQ473" s="1" t="s">
        <v>20</v>
      </c>
    </row>
    <row r="474" spans="1:43" x14ac:dyDescent="0.3">
      <c r="A474" s="1">
        <v>24864161</v>
      </c>
      <c r="B474" s="1">
        <v>25703380</v>
      </c>
      <c r="C474" s="1" t="s">
        <v>266</v>
      </c>
      <c r="D474" s="4">
        <v>46206.747453703712</v>
      </c>
      <c r="E474" s="4">
        <v>46206.783437500002</v>
      </c>
      <c r="F474" s="1" t="s">
        <v>22</v>
      </c>
      <c r="G474" s="1" t="s">
        <v>22</v>
      </c>
      <c r="H474" s="1" t="s">
        <v>1806</v>
      </c>
      <c r="I474" s="1" t="s">
        <v>268</v>
      </c>
      <c r="J474" s="1" t="s">
        <v>1807</v>
      </c>
      <c r="K474" s="1" t="s">
        <v>270</v>
      </c>
      <c r="L474" s="1" t="s">
        <v>270</v>
      </c>
      <c r="M474" s="4">
        <v>46206.600694444453</v>
      </c>
      <c r="N474" s="1">
        <v>22670</v>
      </c>
      <c r="O474" s="1" t="s">
        <v>1790</v>
      </c>
      <c r="P474" s="1" t="s">
        <v>271</v>
      </c>
      <c r="Q474" s="1" t="s">
        <v>303</v>
      </c>
      <c r="R474" s="1" t="s">
        <v>272</v>
      </c>
      <c r="S474" s="1" t="s">
        <v>8</v>
      </c>
      <c r="T474" s="1" t="s">
        <v>274</v>
      </c>
      <c r="U474" s="1" t="s">
        <v>201</v>
      </c>
      <c r="V474" s="1" t="s">
        <v>1189</v>
      </c>
      <c r="W474" s="1" t="s">
        <v>93</v>
      </c>
      <c r="X474" s="1" t="s">
        <v>93</v>
      </c>
      <c r="Y474" s="1" t="s">
        <v>93</v>
      </c>
      <c r="Z474" s="1" t="s">
        <v>121</v>
      </c>
      <c r="AA474" s="1" t="s">
        <v>93</v>
      </c>
      <c r="AB474" s="1">
        <v>1238.44</v>
      </c>
      <c r="AC474" s="1">
        <v>0</v>
      </c>
      <c r="AD474" s="1">
        <v>0</v>
      </c>
      <c r="AE474" s="1">
        <v>0</v>
      </c>
      <c r="AF474" s="1">
        <v>0</v>
      </c>
      <c r="AG474" s="1">
        <v>0</v>
      </c>
      <c r="AH474" s="1">
        <v>0</v>
      </c>
      <c r="AI474" s="1" t="s">
        <v>1808</v>
      </c>
      <c r="AJ474" s="1" t="s">
        <v>410</v>
      </c>
      <c r="AK474" s="1" t="s">
        <v>13</v>
      </c>
      <c r="AL474" s="1" t="s">
        <v>65</v>
      </c>
      <c r="AM474" s="1" t="s">
        <v>292</v>
      </c>
      <c r="AN474" s="1" t="s">
        <v>21</v>
      </c>
      <c r="AO474" s="1" t="s">
        <v>280</v>
      </c>
      <c r="AP474" s="1" t="s">
        <v>324</v>
      </c>
      <c r="AQ474" s="1" t="s">
        <v>20</v>
      </c>
    </row>
    <row r="475" spans="1:43" x14ac:dyDescent="0.3">
      <c r="A475" s="1">
        <v>24862611</v>
      </c>
      <c r="B475" s="1">
        <v>25701684</v>
      </c>
      <c r="C475" s="1" t="s">
        <v>266</v>
      </c>
      <c r="D475" s="4">
        <v>46206.664479166669</v>
      </c>
      <c r="E475" s="4">
        <v>46206.666932870372</v>
      </c>
      <c r="F475" s="1" t="s">
        <v>22</v>
      </c>
      <c r="G475" s="1" t="s">
        <v>22</v>
      </c>
      <c r="H475" s="1">
        <v>2119766671</v>
      </c>
      <c r="I475" s="1" t="s">
        <v>18</v>
      </c>
      <c r="J475" s="1" t="s">
        <v>1809</v>
      </c>
      <c r="K475" s="1" t="s">
        <v>1022</v>
      </c>
      <c r="L475" s="1" t="s">
        <v>1022</v>
      </c>
      <c r="M475" s="4">
        <v>46206.647916666669</v>
      </c>
      <c r="N475" s="1" t="s">
        <v>93</v>
      </c>
      <c r="O475" s="1" t="s">
        <v>93</v>
      </c>
      <c r="P475" s="1" t="s">
        <v>342</v>
      </c>
      <c r="Q475" s="1" t="s">
        <v>320</v>
      </c>
      <c r="R475" s="1" t="s">
        <v>320</v>
      </c>
      <c r="S475" s="1" t="s">
        <v>9</v>
      </c>
      <c r="T475" s="1" t="s">
        <v>274</v>
      </c>
      <c r="U475" s="1" t="s">
        <v>179</v>
      </c>
      <c r="V475" s="1" t="s">
        <v>808</v>
      </c>
      <c r="W475" s="1" t="s">
        <v>93</v>
      </c>
      <c r="X475" s="1" t="s">
        <v>93</v>
      </c>
      <c r="Y475" s="1" t="s">
        <v>93</v>
      </c>
      <c r="Z475" s="1" t="s">
        <v>43</v>
      </c>
      <c r="AA475" s="1" t="s">
        <v>93</v>
      </c>
      <c r="AB475" s="1">
        <v>795.44</v>
      </c>
      <c r="AC475" s="1">
        <v>0</v>
      </c>
      <c r="AD475" s="1">
        <v>0</v>
      </c>
      <c r="AE475" s="1">
        <v>0</v>
      </c>
      <c r="AF475" s="1">
        <v>0</v>
      </c>
      <c r="AG475" s="1">
        <v>39.76</v>
      </c>
      <c r="AH475" s="1">
        <v>0</v>
      </c>
      <c r="AI475" s="1" t="s">
        <v>1810</v>
      </c>
      <c r="AJ475" s="1" t="s">
        <v>410</v>
      </c>
      <c r="AK475" s="1" t="s">
        <v>43</v>
      </c>
      <c r="AL475" s="1" t="s">
        <v>65</v>
      </c>
      <c r="AM475" s="1" t="s">
        <v>292</v>
      </c>
      <c r="AN475" s="1" t="s">
        <v>21</v>
      </c>
      <c r="AO475" s="1" t="s">
        <v>280</v>
      </c>
      <c r="AP475" s="1" t="s">
        <v>810</v>
      </c>
      <c r="AQ475" s="1" t="s">
        <v>123</v>
      </c>
    </row>
    <row r="476" spans="1:43" x14ac:dyDescent="0.3">
      <c r="A476" s="1">
        <v>24864283</v>
      </c>
      <c r="B476" s="1">
        <v>25703505</v>
      </c>
      <c r="C476" s="1" t="s">
        <v>266</v>
      </c>
      <c r="D476" s="4">
        <v>46206.752314814818</v>
      </c>
      <c r="E476" s="4">
        <v>46206.754942129628</v>
      </c>
      <c r="F476" s="1" t="s">
        <v>22</v>
      </c>
      <c r="G476" s="1" t="s">
        <v>22</v>
      </c>
      <c r="H476" s="1">
        <v>5661263</v>
      </c>
      <c r="I476" s="1" t="s">
        <v>14</v>
      </c>
      <c r="J476" s="1" t="s">
        <v>1811</v>
      </c>
      <c r="K476" s="1" t="s">
        <v>1166</v>
      </c>
      <c r="L476" s="1" t="s">
        <v>1166</v>
      </c>
      <c r="M476" s="4">
        <v>46206</v>
      </c>
      <c r="N476" s="1">
        <v>4718205</v>
      </c>
      <c r="O476" s="1" t="s">
        <v>93</v>
      </c>
      <c r="P476" s="1" t="s">
        <v>342</v>
      </c>
      <c r="Q476" s="1" t="s">
        <v>303</v>
      </c>
      <c r="R476" s="1" t="s">
        <v>272</v>
      </c>
      <c r="S476" s="1" t="s">
        <v>9</v>
      </c>
      <c r="T476" s="1" t="s">
        <v>274</v>
      </c>
      <c r="U476" s="1" t="s">
        <v>1812</v>
      </c>
      <c r="V476" s="1" t="s">
        <v>1813</v>
      </c>
      <c r="W476" s="1" t="s">
        <v>93</v>
      </c>
      <c r="X476" s="1" t="s">
        <v>93</v>
      </c>
      <c r="Y476" s="1" t="s">
        <v>93</v>
      </c>
      <c r="Z476" s="1" t="s">
        <v>1814</v>
      </c>
      <c r="AA476" s="1" t="s">
        <v>93</v>
      </c>
      <c r="AB476" s="1">
        <v>440</v>
      </c>
      <c r="AC476" s="1">
        <v>0</v>
      </c>
      <c r="AD476" s="1">
        <v>0</v>
      </c>
      <c r="AE476" s="1">
        <v>0</v>
      </c>
      <c r="AF476" s="1">
        <v>0</v>
      </c>
      <c r="AG476" s="1">
        <v>0</v>
      </c>
      <c r="AH476" s="1">
        <v>0</v>
      </c>
      <c r="AI476" s="1" t="s">
        <v>1815</v>
      </c>
      <c r="AJ476" s="1" t="s">
        <v>410</v>
      </c>
      <c r="AK476" s="1" t="s">
        <v>14</v>
      </c>
      <c r="AL476" s="1" t="s">
        <v>65</v>
      </c>
      <c r="AM476" s="1" t="s">
        <v>292</v>
      </c>
      <c r="AN476" s="1" t="s">
        <v>21</v>
      </c>
      <c r="AO476" s="1" t="s">
        <v>293</v>
      </c>
      <c r="AP476" s="1" t="s">
        <v>281</v>
      </c>
      <c r="AQ476" s="1" t="s">
        <v>34</v>
      </c>
    </row>
    <row r="477" spans="1:43" x14ac:dyDescent="0.3">
      <c r="A477" s="1">
        <v>24863076</v>
      </c>
      <c r="B477" s="1">
        <v>25702198</v>
      </c>
      <c r="C477" s="1" t="s">
        <v>266</v>
      </c>
      <c r="D477" s="4">
        <v>46206.697372685187</v>
      </c>
      <c r="E477" s="4">
        <v>46207.202233796299</v>
      </c>
      <c r="F477" s="1" t="s">
        <v>19</v>
      </c>
      <c r="G477" s="1" t="s">
        <v>22</v>
      </c>
      <c r="H477" s="1" t="s">
        <v>1816</v>
      </c>
      <c r="I477" s="1" t="s">
        <v>14</v>
      </c>
      <c r="J477" s="1" t="s">
        <v>1817</v>
      </c>
      <c r="K477" s="1" t="s">
        <v>547</v>
      </c>
      <c r="L477" s="1" t="s">
        <v>547</v>
      </c>
      <c r="M477" s="4">
        <v>46204.902777777781</v>
      </c>
      <c r="N477" s="1">
        <v>4717481</v>
      </c>
      <c r="O477" s="1" t="s">
        <v>93</v>
      </c>
      <c r="P477" s="1" t="s">
        <v>271</v>
      </c>
      <c r="Q477" s="1" t="s">
        <v>286</v>
      </c>
      <c r="R477" s="1" t="s">
        <v>286</v>
      </c>
      <c r="S477" s="1" t="s">
        <v>9</v>
      </c>
      <c r="T477" s="1" t="s">
        <v>274</v>
      </c>
      <c r="U477" s="1" t="s">
        <v>189</v>
      </c>
      <c r="V477" s="1" t="s">
        <v>1016</v>
      </c>
      <c r="W477" s="1" t="s">
        <v>288</v>
      </c>
      <c r="X477" s="1" t="s">
        <v>93</v>
      </c>
      <c r="Y477" s="1" t="s">
        <v>93</v>
      </c>
      <c r="Z477" s="1" t="s">
        <v>109</v>
      </c>
      <c r="AA477" s="1" t="s">
        <v>93</v>
      </c>
      <c r="AB477" s="1">
        <v>390</v>
      </c>
      <c r="AC477" s="1">
        <v>9.75</v>
      </c>
      <c r="AD477" s="1">
        <v>0</v>
      </c>
      <c r="AE477" s="1">
        <v>0</v>
      </c>
      <c r="AF477" s="1">
        <v>0</v>
      </c>
      <c r="AG477" s="1">
        <v>0</v>
      </c>
      <c r="AH477" s="1">
        <v>27.34</v>
      </c>
      <c r="AI477" s="1" t="s">
        <v>1818</v>
      </c>
      <c r="AJ477" s="1" t="s">
        <v>410</v>
      </c>
      <c r="AK477" s="1" t="s">
        <v>14</v>
      </c>
      <c r="AL477" s="1" t="s">
        <v>65</v>
      </c>
      <c r="AM477" s="1" t="s">
        <v>292</v>
      </c>
      <c r="AN477" s="1" t="s">
        <v>21</v>
      </c>
      <c r="AO477" s="1" t="s">
        <v>293</v>
      </c>
      <c r="AP477" s="1" t="s">
        <v>281</v>
      </c>
      <c r="AQ477" s="1" t="s">
        <v>34</v>
      </c>
    </row>
    <row r="478" spans="1:43" x14ac:dyDescent="0.3">
      <c r="A478" s="1">
        <v>24863750</v>
      </c>
      <c r="B478" s="1">
        <v>25702941</v>
      </c>
      <c r="C478" s="1" t="s">
        <v>266</v>
      </c>
      <c r="D478" s="4">
        <v>46206.732708333337</v>
      </c>
      <c r="E478" s="4">
        <v>46206.750625000001</v>
      </c>
      <c r="F478" s="1" t="s">
        <v>22</v>
      </c>
      <c r="G478" s="1" t="s">
        <v>22</v>
      </c>
      <c r="H478" s="1" t="s">
        <v>1819</v>
      </c>
      <c r="I478" s="1" t="s">
        <v>268</v>
      </c>
      <c r="J478" s="1" t="s">
        <v>1820</v>
      </c>
      <c r="K478" s="1" t="s">
        <v>1489</v>
      </c>
      <c r="L478" s="1" t="s">
        <v>1489</v>
      </c>
      <c r="M478" s="4">
        <v>46206.65</v>
      </c>
      <c r="N478" s="1">
        <v>133789</v>
      </c>
      <c r="O478" s="1" t="s">
        <v>93</v>
      </c>
      <c r="P478" s="1" t="s">
        <v>342</v>
      </c>
      <c r="Q478" s="1" t="s">
        <v>388</v>
      </c>
      <c r="R478" s="1" t="s">
        <v>388</v>
      </c>
      <c r="S478" s="1" t="s">
        <v>9</v>
      </c>
      <c r="T478" s="1" t="s">
        <v>274</v>
      </c>
      <c r="U478" s="1" t="s">
        <v>181</v>
      </c>
      <c r="V478" s="1" t="s">
        <v>1033</v>
      </c>
      <c r="W478" s="1" t="s">
        <v>93</v>
      </c>
      <c r="X478" s="1" t="s">
        <v>93</v>
      </c>
      <c r="Y478" s="1" t="s">
        <v>93</v>
      </c>
      <c r="Z478" s="1" t="s">
        <v>99</v>
      </c>
      <c r="AA478" s="1" t="s">
        <v>93</v>
      </c>
      <c r="AB478" s="1">
        <v>12494</v>
      </c>
      <c r="AC478" s="1">
        <v>0</v>
      </c>
      <c r="AD478" s="1">
        <v>0</v>
      </c>
      <c r="AE478" s="1">
        <v>0</v>
      </c>
      <c r="AF478" s="1">
        <v>0</v>
      </c>
      <c r="AG478" s="1">
        <v>0</v>
      </c>
      <c r="AH478" s="1">
        <v>0</v>
      </c>
      <c r="AI478" s="1" t="s">
        <v>1821</v>
      </c>
      <c r="AJ478" s="1" t="s">
        <v>410</v>
      </c>
      <c r="AK478" s="1" t="s">
        <v>13</v>
      </c>
      <c r="AL478" s="1" t="s">
        <v>65</v>
      </c>
      <c r="AM478" s="1" t="s">
        <v>292</v>
      </c>
      <c r="AN478" s="1" t="s">
        <v>21</v>
      </c>
      <c r="AO478" s="1" t="s">
        <v>280</v>
      </c>
      <c r="AP478" s="1" t="s">
        <v>324</v>
      </c>
      <c r="AQ478" s="1" t="s">
        <v>20</v>
      </c>
    </row>
    <row r="479" spans="1:43" x14ac:dyDescent="0.3">
      <c r="A479" s="1">
        <v>24863751</v>
      </c>
      <c r="B479" s="1">
        <v>25702942</v>
      </c>
      <c r="C479" s="1" t="s">
        <v>266</v>
      </c>
      <c r="D479" s="4">
        <v>46206.732743055552</v>
      </c>
      <c r="E479" s="4">
        <v>46206.750625000001</v>
      </c>
      <c r="F479" s="1" t="s">
        <v>22</v>
      </c>
      <c r="G479" s="1" t="s">
        <v>22</v>
      </c>
      <c r="H479" s="1" t="s">
        <v>1822</v>
      </c>
      <c r="I479" s="1" t="s">
        <v>268</v>
      </c>
      <c r="J479" s="1" t="s">
        <v>1823</v>
      </c>
      <c r="K479" s="1" t="s">
        <v>1489</v>
      </c>
      <c r="L479" s="1" t="s">
        <v>1489</v>
      </c>
      <c r="M479" s="4">
        <v>46206.630555555559</v>
      </c>
      <c r="N479" s="1">
        <v>133775</v>
      </c>
      <c r="O479" s="1" t="s">
        <v>93</v>
      </c>
      <c r="P479" s="1" t="s">
        <v>342</v>
      </c>
      <c r="Q479" s="1" t="s">
        <v>388</v>
      </c>
      <c r="R479" s="1" t="s">
        <v>388</v>
      </c>
      <c r="S479" s="1" t="s">
        <v>9</v>
      </c>
      <c r="T479" s="1" t="s">
        <v>274</v>
      </c>
      <c r="U479" s="1" t="s">
        <v>181</v>
      </c>
      <c r="V479" s="1" t="s">
        <v>671</v>
      </c>
      <c r="W479" s="1" t="s">
        <v>93</v>
      </c>
      <c r="X479" s="1" t="s">
        <v>93</v>
      </c>
      <c r="Y479" s="1" t="s">
        <v>93</v>
      </c>
      <c r="Z479" s="1" t="s">
        <v>99</v>
      </c>
      <c r="AA479" s="1" t="s">
        <v>93</v>
      </c>
      <c r="AB479" s="1">
        <v>3165.86</v>
      </c>
      <c r="AC479" s="1">
        <v>0</v>
      </c>
      <c r="AD479" s="1">
        <v>0</v>
      </c>
      <c r="AE479" s="1">
        <v>0</v>
      </c>
      <c r="AF479" s="1">
        <v>0</v>
      </c>
      <c r="AG479" s="1">
        <v>0</v>
      </c>
      <c r="AH479" s="1">
        <v>0</v>
      </c>
      <c r="AI479" s="1" t="s">
        <v>1824</v>
      </c>
      <c r="AJ479" s="1" t="s">
        <v>410</v>
      </c>
      <c r="AK479" s="1" t="s">
        <v>13</v>
      </c>
      <c r="AL479" s="1" t="s">
        <v>65</v>
      </c>
      <c r="AM479" s="1" t="s">
        <v>292</v>
      </c>
      <c r="AN479" s="1" t="s">
        <v>21</v>
      </c>
      <c r="AO479" s="1" t="s">
        <v>280</v>
      </c>
      <c r="AP479" s="1" t="s">
        <v>324</v>
      </c>
      <c r="AQ479" s="1" t="s">
        <v>20</v>
      </c>
    </row>
    <row r="480" spans="1:43" x14ac:dyDescent="0.3">
      <c r="A480" s="1">
        <v>24863752</v>
      </c>
      <c r="B480" s="1">
        <v>25702943</v>
      </c>
      <c r="C480" s="1" t="s">
        <v>266</v>
      </c>
      <c r="D480" s="4">
        <v>46206.732766203713</v>
      </c>
      <c r="E480" s="4">
        <v>46206.750636574077</v>
      </c>
      <c r="F480" s="1" t="s">
        <v>22</v>
      </c>
      <c r="G480" s="1" t="s">
        <v>22</v>
      </c>
      <c r="H480" s="1" t="s">
        <v>1825</v>
      </c>
      <c r="I480" s="1" t="s">
        <v>268</v>
      </c>
      <c r="J480" s="1" t="s">
        <v>1823</v>
      </c>
      <c r="K480" s="1" t="s">
        <v>1489</v>
      </c>
      <c r="L480" s="1" t="s">
        <v>1489</v>
      </c>
      <c r="M480" s="4">
        <v>46206.634722222218</v>
      </c>
      <c r="N480" s="1">
        <v>133774</v>
      </c>
      <c r="O480" s="1" t="s">
        <v>93</v>
      </c>
      <c r="P480" s="1" t="s">
        <v>342</v>
      </c>
      <c r="Q480" s="1" t="s">
        <v>388</v>
      </c>
      <c r="R480" s="1" t="s">
        <v>388</v>
      </c>
      <c r="S480" s="1" t="s">
        <v>9</v>
      </c>
      <c r="T480" s="1" t="s">
        <v>274</v>
      </c>
      <c r="U480" s="1" t="s">
        <v>181</v>
      </c>
      <c r="V480" s="1" t="s">
        <v>671</v>
      </c>
      <c r="W480" s="1" t="s">
        <v>93</v>
      </c>
      <c r="X480" s="1" t="s">
        <v>93</v>
      </c>
      <c r="Y480" s="1" t="s">
        <v>93</v>
      </c>
      <c r="Z480" s="1" t="s">
        <v>99</v>
      </c>
      <c r="AA480" s="1" t="s">
        <v>93</v>
      </c>
      <c r="AB480" s="1">
        <v>2479.92</v>
      </c>
      <c r="AC480" s="1">
        <v>0</v>
      </c>
      <c r="AD480" s="1">
        <v>0</v>
      </c>
      <c r="AE480" s="1">
        <v>0</v>
      </c>
      <c r="AF480" s="1">
        <v>0</v>
      </c>
      <c r="AG480" s="1">
        <v>0</v>
      </c>
      <c r="AH480" s="1">
        <v>0</v>
      </c>
      <c r="AI480" s="1" t="s">
        <v>1826</v>
      </c>
      <c r="AJ480" s="1" t="s">
        <v>410</v>
      </c>
      <c r="AK480" s="1" t="s">
        <v>13</v>
      </c>
      <c r="AL480" s="1" t="s">
        <v>65</v>
      </c>
      <c r="AM480" s="1" t="s">
        <v>292</v>
      </c>
      <c r="AN480" s="1" t="s">
        <v>21</v>
      </c>
      <c r="AO480" s="1" t="s">
        <v>280</v>
      </c>
      <c r="AP480" s="1" t="s">
        <v>324</v>
      </c>
      <c r="AQ480" s="1" t="s">
        <v>20</v>
      </c>
    </row>
    <row r="481" spans="1:43" x14ac:dyDescent="0.3">
      <c r="A481" s="1">
        <v>24863754</v>
      </c>
      <c r="B481" s="1">
        <v>25702947</v>
      </c>
      <c r="C481" s="1" t="s">
        <v>266</v>
      </c>
      <c r="D481" s="4">
        <v>46206.732800925929</v>
      </c>
      <c r="E481" s="4">
        <v>46206.750636574077</v>
      </c>
      <c r="F481" s="1" t="s">
        <v>22</v>
      </c>
      <c r="G481" s="1" t="s">
        <v>22</v>
      </c>
      <c r="H481" s="1" t="s">
        <v>1827</v>
      </c>
      <c r="I481" s="1" t="s">
        <v>268</v>
      </c>
      <c r="J481" s="1" t="s">
        <v>1823</v>
      </c>
      <c r="K481" s="1" t="s">
        <v>1489</v>
      </c>
      <c r="L481" s="1" t="s">
        <v>1489</v>
      </c>
      <c r="M481" s="4">
        <v>46206.615972222222</v>
      </c>
      <c r="N481" s="1">
        <v>133773</v>
      </c>
      <c r="O481" s="1" t="s">
        <v>93</v>
      </c>
      <c r="P481" s="1" t="s">
        <v>342</v>
      </c>
      <c r="Q481" s="1" t="s">
        <v>388</v>
      </c>
      <c r="R481" s="1" t="s">
        <v>388</v>
      </c>
      <c r="S481" s="1" t="s">
        <v>9</v>
      </c>
      <c r="T481" s="1" t="s">
        <v>274</v>
      </c>
      <c r="U481" s="1" t="s">
        <v>181</v>
      </c>
      <c r="V481" s="1" t="s">
        <v>671</v>
      </c>
      <c r="W481" s="1" t="s">
        <v>93</v>
      </c>
      <c r="X481" s="1" t="s">
        <v>93</v>
      </c>
      <c r="Y481" s="1" t="s">
        <v>93</v>
      </c>
      <c r="Z481" s="1" t="s">
        <v>99</v>
      </c>
      <c r="AA481" s="1" t="s">
        <v>93</v>
      </c>
      <c r="AB481" s="1">
        <v>2860.26</v>
      </c>
      <c r="AC481" s="1">
        <v>0</v>
      </c>
      <c r="AD481" s="1">
        <v>0</v>
      </c>
      <c r="AE481" s="1">
        <v>0</v>
      </c>
      <c r="AF481" s="1">
        <v>0</v>
      </c>
      <c r="AG481" s="1">
        <v>0</v>
      </c>
      <c r="AH481" s="1">
        <v>0</v>
      </c>
      <c r="AI481" s="1" t="s">
        <v>1828</v>
      </c>
      <c r="AJ481" s="1" t="s">
        <v>410</v>
      </c>
      <c r="AK481" s="1" t="s">
        <v>13</v>
      </c>
      <c r="AL481" s="1" t="s">
        <v>65</v>
      </c>
      <c r="AM481" s="1" t="s">
        <v>292</v>
      </c>
      <c r="AN481" s="1" t="s">
        <v>21</v>
      </c>
      <c r="AO481" s="1" t="s">
        <v>280</v>
      </c>
      <c r="AP481" s="1" t="s">
        <v>324</v>
      </c>
      <c r="AQ481" s="1" t="s">
        <v>20</v>
      </c>
    </row>
    <row r="482" spans="1:43" x14ac:dyDescent="0.3">
      <c r="A482" s="1">
        <v>24863909</v>
      </c>
      <c r="B482" s="1">
        <v>25703105</v>
      </c>
      <c r="C482" s="1" t="s">
        <v>266</v>
      </c>
      <c r="D482" s="4">
        <v>46206.738182870373</v>
      </c>
      <c r="E482" s="4">
        <v>46206.74145833333</v>
      </c>
      <c r="F482" s="1" t="s">
        <v>22</v>
      </c>
      <c r="G482" s="1" t="s">
        <v>22</v>
      </c>
      <c r="H482" s="1">
        <v>23585699</v>
      </c>
      <c r="I482" s="1" t="s">
        <v>14</v>
      </c>
      <c r="J482" s="1" t="s">
        <v>1829</v>
      </c>
      <c r="K482" s="1" t="s">
        <v>547</v>
      </c>
      <c r="L482" s="1" t="s">
        <v>547</v>
      </c>
      <c r="M482" s="4">
        <v>46206.734722222223</v>
      </c>
      <c r="N482" s="1">
        <v>4718686</v>
      </c>
      <c r="O482" s="1" t="s">
        <v>93</v>
      </c>
      <c r="P482" s="1" t="s">
        <v>271</v>
      </c>
      <c r="Q482" s="1" t="s">
        <v>286</v>
      </c>
      <c r="R482" s="1" t="s">
        <v>286</v>
      </c>
      <c r="S482" s="1" t="s">
        <v>9</v>
      </c>
      <c r="T482" s="1" t="s">
        <v>274</v>
      </c>
      <c r="U482" s="1" t="s">
        <v>167</v>
      </c>
      <c r="V482" s="1" t="s">
        <v>1830</v>
      </c>
      <c r="W482" s="1" t="s">
        <v>93</v>
      </c>
      <c r="X482" s="1" t="s">
        <v>93</v>
      </c>
      <c r="Y482" s="1" t="s">
        <v>93</v>
      </c>
      <c r="Z482" s="1" t="s">
        <v>83</v>
      </c>
      <c r="AA482" s="1" t="s">
        <v>93</v>
      </c>
      <c r="AB482" s="1">
        <v>291.5</v>
      </c>
      <c r="AC482" s="1">
        <v>0</v>
      </c>
      <c r="AD482" s="1">
        <v>0</v>
      </c>
      <c r="AE482" s="1">
        <v>0</v>
      </c>
      <c r="AF482" s="1">
        <v>0</v>
      </c>
      <c r="AG482" s="1">
        <v>0</v>
      </c>
      <c r="AH482" s="1">
        <v>0</v>
      </c>
      <c r="AI482" s="1" t="s">
        <v>1831</v>
      </c>
      <c r="AJ482" s="1" t="s">
        <v>410</v>
      </c>
      <c r="AK482" s="1" t="s">
        <v>14</v>
      </c>
      <c r="AL482" s="1" t="s">
        <v>65</v>
      </c>
      <c r="AM482" s="1" t="s">
        <v>292</v>
      </c>
      <c r="AN482" s="1" t="s">
        <v>21</v>
      </c>
      <c r="AO482" s="1" t="s">
        <v>293</v>
      </c>
      <c r="AP482" s="1" t="s">
        <v>281</v>
      </c>
      <c r="AQ482" s="1" t="s">
        <v>34</v>
      </c>
    </row>
    <row r="483" spans="1:43" x14ac:dyDescent="0.3">
      <c r="A483" s="1">
        <v>24863910</v>
      </c>
      <c r="B483" s="1">
        <v>25703106</v>
      </c>
      <c r="C483" s="1" t="s">
        <v>266</v>
      </c>
      <c r="D483" s="4">
        <v>46206.738194444442</v>
      </c>
      <c r="E483" s="4">
        <v>46206.753993055558</v>
      </c>
      <c r="F483" s="1" t="s">
        <v>22</v>
      </c>
      <c r="G483" s="1" t="s">
        <v>22</v>
      </c>
      <c r="H483" s="1">
        <v>23585700</v>
      </c>
      <c r="I483" s="1" t="s">
        <v>14</v>
      </c>
      <c r="J483" s="1" t="s">
        <v>1832</v>
      </c>
      <c r="K483" s="1" t="s">
        <v>547</v>
      </c>
      <c r="L483" s="1" t="s">
        <v>547</v>
      </c>
      <c r="M483" s="4">
        <v>46206.734722222223</v>
      </c>
      <c r="N483" s="1">
        <v>4718686</v>
      </c>
      <c r="O483" s="1" t="s">
        <v>93</v>
      </c>
      <c r="P483" s="1" t="s">
        <v>271</v>
      </c>
      <c r="Q483" s="1" t="s">
        <v>286</v>
      </c>
      <c r="R483" s="1" t="s">
        <v>286</v>
      </c>
      <c r="S483" s="1" t="s">
        <v>9</v>
      </c>
      <c r="T483" s="1" t="s">
        <v>274</v>
      </c>
      <c r="U483" s="1" t="s">
        <v>167</v>
      </c>
      <c r="V483" s="1" t="s">
        <v>1830</v>
      </c>
      <c r="W483" s="1" t="s">
        <v>93</v>
      </c>
      <c r="X483" s="1" t="s">
        <v>93</v>
      </c>
      <c r="Y483" s="1" t="s">
        <v>93</v>
      </c>
      <c r="Z483" s="1" t="s">
        <v>83</v>
      </c>
      <c r="AA483" s="1" t="s">
        <v>93</v>
      </c>
      <c r="AB483" s="1">
        <v>291.5</v>
      </c>
      <c r="AC483" s="1">
        <v>0</v>
      </c>
      <c r="AD483" s="1">
        <v>0</v>
      </c>
      <c r="AE483" s="1">
        <v>0</v>
      </c>
      <c r="AF483" s="1">
        <v>0</v>
      </c>
      <c r="AG483" s="1">
        <v>0</v>
      </c>
      <c r="AH483" s="1">
        <v>0</v>
      </c>
      <c r="AI483" s="1" t="s">
        <v>1831</v>
      </c>
      <c r="AJ483" s="1" t="s">
        <v>410</v>
      </c>
      <c r="AK483" s="1" t="s">
        <v>14</v>
      </c>
      <c r="AL483" s="1" t="s">
        <v>65</v>
      </c>
      <c r="AM483" s="1" t="s">
        <v>292</v>
      </c>
      <c r="AN483" s="1" t="s">
        <v>21</v>
      </c>
      <c r="AO483" s="1" t="s">
        <v>293</v>
      </c>
      <c r="AP483" s="1" t="s">
        <v>281</v>
      </c>
      <c r="AQ483" s="1" t="s">
        <v>34</v>
      </c>
    </row>
    <row r="484" spans="1:43" x14ac:dyDescent="0.3">
      <c r="A484" s="1">
        <v>24864606</v>
      </c>
      <c r="B484" s="1">
        <v>25703852</v>
      </c>
      <c r="C484" s="1" t="s">
        <v>266</v>
      </c>
      <c r="D484" s="4">
        <v>46206.783472222232</v>
      </c>
      <c r="E484" s="4">
        <v>46206.787835648152</v>
      </c>
      <c r="F484" s="1" t="s">
        <v>22</v>
      </c>
      <c r="G484" s="1" t="s">
        <v>22</v>
      </c>
      <c r="H484" s="1" t="s">
        <v>1833</v>
      </c>
      <c r="I484" s="1" t="s">
        <v>17</v>
      </c>
      <c r="J484" s="1" t="s">
        <v>1834</v>
      </c>
      <c r="K484" s="1" t="s">
        <v>505</v>
      </c>
      <c r="L484" s="1" t="s">
        <v>505</v>
      </c>
      <c r="M484" s="4">
        <v>46185.581250000003</v>
      </c>
      <c r="N484" s="1" t="s">
        <v>1835</v>
      </c>
      <c r="O484" s="1" t="s">
        <v>1836</v>
      </c>
      <c r="P484" s="1" t="s">
        <v>271</v>
      </c>
      <c r="Q484" s="1" t="s">
        <v>303</v>
      </c>
      <c r="R484" s="1" t="s">
        <v>272</v>
      </c>
      <c r="S484" s="1" t="s">
        <v>8</v>
      </c>
      <c r="T484" s="1" t="s">
        <v>274</v>
      </c>
      <c r="U484" s="1" t="s">
        <v>221</v>
      </c>
      <c r="V484" s="1" t="s">
        <v>751</v>
      </c>
      <c r="W484" s="1" t="s">
        <v>93</v>
      </c>
      <c r="X484" s="1" t="s">
        <v>93</v>
      </c>
      <c r="Y484" s="1" t="s">
        <v>93</v>
      </c>
      <c r="Z484" s="1" t="s">
        <v>137</v>
      </c>
      <c r="AA484" s="1" t="s">
        <v>93</v>
      </c>
      <c r="AB484" s="1">
        <v>2695.56</v>
      </c>
      <c r="AC484" s="1">
        <v>0</v>
      </c>
      <c r="AD484" s="1">
        <v>0</v>
      </c>
      <c r="AE484" s="1">
        <v>0</v>
      </c>
      <c r="AF484" s="1">
        <v>0</v>
      </c>
      <c r="AG484" s="1">
        <v>0</v>
      </c>
      <c r="AH484" s="1">
        <v>0</v>
      </c>
      <c r="AI484" s="1" t="s">
        <v>290</v>
      </c>
      <c r="AJ484" s="1" t="s">
        <v>380</v>
      </c>
      <c r="AK484" s="1" t="s">
        <v>17</v>
      </c>
      <c r="AL484" s="1" t="s">
        <v>75</v>
      </c>
      <c r="AM484" s="1" t="s">
        <v>337</v>
      </c>
      <c r="AN484" s="1" t="s">
        <v>21</v>
      </c>
      <c r="AO484" s="1" t="s">
        <v>280</v>
      </c>
      <c r="AP484" s="1" t="s">
        <v>324</v>
      </c>
      <c r="AQ484" s="1" t="s">
        <v>27</v>
      </c>
    </row>
    <row r="485" spans="1:43" x14ac:dyDescent="0.3">
      <c r="A485" s="1">
        <v>24863766</v>
      </c>
      <c r="B485" s="1">
        <v>25702959</v>
      </c>
      <c r="C485" s="1" t="s">
        <v>266</v>
      </c>
      <c r="D485" s="4">
        <v>46206.733206018522</v>
      </c>
      <c r="E485" s="4">
        <v>46206.752141203702</v>
      </c>
      <c r="F485" s="1" t="s">
        <v>22</v>
      </c>
      <c r="G485" s="1" t="s">
        <v>22</v>
      </c>
      <c r="H485" s="1" t="s">
        <v>1837</v>
      </c>
      <c r="I485" s="1" t="s">
        <v>268</v>
      </c>
      <c r="J485" s="1" t="s">
        <v>1838</v>
      </c>
      <c r="K485" s="1" t="s">
        <v>270</v>
      </c>
      <c r="L485" s="1" t="s">
        <v>270</v>
      </c>
      <c r="M485" s="4">
        <v>46206.594444444447</v>
      </c>
      <c r="N485" s="1">
        <v>35483</v>
      </c>
      <c r="O485" s="1" t="s">
        <v>1182</v>
      </c>
      <c r="P485" s="1" t="s">
        <v>271</v>
      </c>
      <c r="Q485" s="1" t="s">
        <v>882</v>
      </c>
      <c r="R485" s="1" t="s">
        <v>882</v>
      </c>
      <c r="S485" s="1" t="s">
        <v>8</v>
      </c>
      <c r="T485" s="1" t="s">
        <v>274</v>
      </c>
      <c r="U485" s="1" t="s">
        <v>157</v>
      </c>
      <c r="V485" s="1" t="s">
        <v>1290</v>
      </c>
      <c r="W485" s="1" t="s">
        <v>93</v>
      </c>
      <c r="X485" s="1" t="s">
        <v>93</v>
      </c>
      <c r="Y485" s="1" t="s">
        <v>93</v>
      </c>
      <c r="Z485" s="1" t="s">
        <v>68</v>
      </c>
      <c r="AA485" s="1" t="s">
        <v>93</v>
      </c>
      <c r="AB485" s="1">
        <v>1252.6098</v>
      </c>
      <c r="AC485" s="1">
        <v>0</v>
      </c>
      <c r="AD485" s="1">
        <v>0</v>
      </c>
      <c r="AE485" s="1">
        <v>0</v>
      </c>
      <c r="AF485" s="1">
        <v>0</v>
      </c>
      <c r="AG485" s="1">
        <v>0</v>
      </c>
      <c r="AH485" s="1">
        <v>0</v>
      </c>
      <c r="AI485" s="1" t="s">
        <v>1839</v>
      </c>
      <c r="AJ485" s="1" t="s">
        <v>410</v>
      </c>
      <c r="AK485" s="1" t="s">
        <v>13</v>
      </c>
      <c r="AL485" s="1" t="s">
        <v>65</v>
      </c>
      <c r="AM485" s="1" t="s">
        <v>292</v>
      </c>
      <c r="AN485" s="1" t="s">
        <v>21</v>
      </c>
      <c r="AO485" s="1" t="s">
        <v>280</v>
      </c>
      <c r="AP485" s="1" t="s">
        <v>324</v>
      </c>
      <c r="AQ485" s="1" t="s">
        <v>20</v>
      </c>
    </row>
    <row r="486" spans="1:43" x14ac:dyDescent="0.3">
      <c r="A486" s="1">
        <v>24863771</v>
      </c>
      <c r="B486" s="1">
        <v>25702964</v>
      </c>
      <c r="C486" s="1" t="s">
        <v>266</v>
      </c>
      <c r="D486" s="4">
        <v>46206.733391203707</v>
      </c>
      <c r="E486" s="4">
        <v>46206.753055555557</v>
      </c>
      <c r="F486" s="1" t="s">
        <v>22</v>
      </c>
      <c r="G486" s="1" t="s">
        <v>22</v>
      </c>
      <c r="H486" s="1" t="s">
        <v>1840</v>
      </c>
      <c r="I486" s="1" t="s">
        <v>268</v>
      </c>
      <c r="J486" s="1" t="s">
        <v>1841</v>
      </c>
      <c r="K486" s="1" t="s">
        <v>1842</v>
      </c>
      <c r="L486" s="1" t="s">
        <v>1842</v>
      </c>
      <c r="M486" s="4">
        <v>46206.482638888891</v>
      </c>
      <c r="N486" s="1">
        <v>35469</v>
      </c>
      <c r="O486" s="1" t="s">
        <v>1843</v>
      </c>
      <c r="P486" s="1" t="s">
        <v>271</v>
      </c>
      <c r="Q486" s="1" t="s">
        <v>303</v>
      </c>
      <c r="R486" s="1" t="s">
        <v>272</v>
      </c>
      <c r="S486" s="1" t="s">
        <v>8</v>
      </c>
      <c r="T486" s="1" t="s">
        <v>274</v>
      </c>
      <c r="U486" s="1" t="s">
        <v>157</v>
      </c>
      <c r="V486" s="1" t="s">
        <v>1290</v>
      </c>
      <c r="W486" s="1" t="s">
        <v>93</v>
      </c>
      <c r="X486" s="1" t="s">
        <v>93</v>
      </c>
      <c r="Y486" s="1" t="s">
        <v>93</v>
      </c>
      <c r="Z486" s="1" t="s">
        <v>68</v>
      </c>
      <c r="AA486" s="1" t="s">
        <v>93</v>
      </c>
      <c r="AB486" s="1">
        <v>485.09500000000003</v>
      </c>
      <c r="AC486" s="1">
        <v>0</v>
      </c>
      <c r="AD486" s="1">
        <v>0</v>
      </c>
      <c r="AE486" s="1">
        <v>0</v>
      </c>
      <c r="AF486" s="1">
        <v>0</v>
      </c>
      <c r="AG486" s="1">
        <v>0</v>
      </c>
      <c r="AH486" s="1">
        <v>0</v>
      </c>
      <c r="AI486" s="1" t="s">
        <v>1844</v>
      </c>
      <c r="AJ486" s="1" t="s">
        <v>410</v>
      </c>
      <c r="AK486" s="1" t="s">
        <v>13</v>
      </c>
      <c r="AL486" s="1" t="s">
        <v>65</v>
      </c>
      <c r="AM486" s="1" t="s">
        <v>292</v>
      </c>
      <c r="AN486" s="1" t="s">
        <v>21</v>
      </c>
      <c r="AO486" s="1" t="s">
        <v>280</v>
      </c>
      <c r="AP486" s="1" t="s">
        <v>324</v>
      </c>
      <c r="AQ486" s="1" t="s">
        <v>20</v>
      </c>
    </row>
    <row r="487" spans="1:43" x14ac:dyDescent="0.3">
      <c r="A487" s="1">
        <v>24863773</v>
      </c>
      <c r="B487" s="1">
        <v>25702966</v>
      </c>
      <c r="C487" s="1" t="s">
        <v>266</v>
      </c>
      <c r="D487" s="4">
        <v>46206.733460648153</v>
      </c>
      <c r="E487" s="4">
        <v>46206.753206018519</v>
      </c>
      <c r="F487" s="1" t="s">
        <v>22</v>
      </c>
      <c r="G487" s="1" t="s">
        <v>22</v>
      </c>
      <c r="H487" s="1" t="s">
        <v>1845</v>
      </c>
      <c r="I487" s="1" t="s">
        <v>268</v>
      </c>
      <c r="J487" s="1" t="s">
        <v>1846</v>
      </c>
      <c r="K487" s="1" t="s">
        <v>1294</v>
      </c>
      <c r="L487" s="1" t="s">
        <v>1294</v>
      </c>
      <c r="M487" s="4">
        <v>46206.48333333333</v>
      </c>
      <c r="N487" s="1">
        <v>35455</v>
      </c>
      <c r="O487" s="1" t="s">
        <v>1847</v>
      </c>
      <c r="P487" s="1" t="s">
        <v>271</v>
      </c>
      <c r="Q487" s="1" t="s">
        <v>303</v>
      </c>
      <c r="R487" s="1" t="s">
        <v>272</v>
      </c>
      <c r="S487" s="1" t="s">
        <v>8</v>
      </c>
      <c r="T487" s="1" t="s">
        <v>274</v>
      </c>
      <c r="U487" s="1" t="s">
        <v>157</v>
      </c>
      <c r="V487" s="1" t="s">
        <v>1290</v>
      </c>
      <c r="W487" s="1" t="s">
        <v>93</v>
      </c>
      <c r="X487" s="1" t="s">
        <v>93</v>
      </c>
      <c r="Y487" s="1" t="s">
        <v>93</v>
      </c>
      <c r="Z487" s="1" t="s">
        <v>68</v>
      </c>
      <c r="AA487" s="1" t="s">
        <v>93</v>
      </c>
      <c r="AB487" s="1">
        <v>234.16</v>
      </c>
      <c r="AC487" s="1">
        <v>0</v>
      </c>
      <c r="AD487" s="1">
        <v>0</v>
      </c>
      <c r="AE487" s="1">
        <v>0</v>
      </c>
      <c r="AF487" s="1">
        <v>0</v>
      </c>
      <c r="AG487" s="1">
        <v>0</v>
      </c>
      <c r="AH487" s="1">
        <v>0</v>
      </c>
      <c r="AI487" s="1" t="s">
        <v>1848</v>
      </c>
      <c r="AJ487" s="1" t="s">
        <v>410</v>
      </c>
      <c r="AK487" s="1" t="s">
        <v>13</v>
      </c>
      <c r="AL487" s="1" t="s">
        <v>65</v>
      </c>
      <c r="AM487" s="1" t="s">
        <v>292</v>
      </c>
      <c r="AN487" s="1" t="s">
        <v>21</v>
      </c>
      <c r="AO487" s="1" t="s">
        <v>280</v>
      </c>
      <c r="AP487" s="1" t="s">
        <v>324</v>
      </c>
      <c r="AQ487" s="1" t="s">
        <v>20</v>
      </c>
    </row>
    <row r="488" spans="1:43" x14ac:dyDescent="0.3">
      <c r="A488" s="1">
        <v>24867246</v>
      </c>
      <c r="B488" s="1">
        <v>25706803</v>
      </c>
      <c r="C488" s="1" t="s">
        <v>266</v>
      </c>
      <c r="D488" s="4">
        <v>46207.481215277781</v>
      </c>
      <c r="E488" s="4">
        <v>46207.483425925922</v>
      </c>
      <c r="F488" s="1" t="s">
        <v>19</v>
      </c>
      <c r="G488" s="1" t="s">
        <v>19</v>
      </c>
      <c r="H488" s="1" t="s">
        <v>1849</v>
      </c>
      <c r="I488" s="1" t="s">
        <v>268</v>
      </c>
      <c r="J488" s="1" t="s">
        <v>1850</v>
      </c>
      <c r="K488" s="1" t="s">
        <v>270</v>
      </c>
      <c r="L488" s="1" t="s">
        <v>270</v>
      </c>
      <c r="M488" s="4">
        <v>46207.372916666667</v>
      </c>
      <c r="N488" s="1">
        <v>35505</v>
      </c>
      <c r="O488" s="1" t="s">
        <v>1851</v>
      </c>
      <c r="P488" s="1" t="s">
        <v>271</v>
      </c>
      <c r="Q488" s="1" t="s">
        <v>303</v>
      </c>
      <c r="R488" s="1" t="s">
        <v>272</v>
      </c>
      <c r="S488" s="1" t="s">
        <v>8</v>
      </c>
      <c r="T488" s="1" t="s">
        <v>274</v>
      </c>
      <c r="U488" s="1" t="s">
        <v>157</v>
      </c>
      <c r="V488" s="1" t="s">
        <v>1290</v>
      </c>
      <c r="W488" s="1" t="s">
        <v>93</v>
      </c>
      <c r="X488" s="1" t="s">
        <v>93</v>
      </c>
      <c r="Y488" s="1" t="s">
        <v>93</v>
      </c>
      <c r="Z488" s="1" t="s">
        <v>68</v>
      </c>
      <c r="AA488" s="1" t="s">
        <v>93</v>
      </c>
      <c r="AB488" s="1">
        <v>560.54</v>
      </c>
      <c r="AC488" s="1">
        <v>0</v>
      </c>
      <c r="AD488" s="1">
        <v>0</v>
      </c>
      <c r="AE488" s="1">
        <v>0</v>
      </c>
      <c r="AF488" s="1">
        <v>0</v>
      </c>
      <c r="AG488" s="1">
        <v>0</v>
      </c>
      <c r="AH488" s="1">
        <v>0</v>
      </c>
      <c r="AI488" s="1" t="s">
        <v>1852</v>
      </c>
      <c r="AJ488" s="1" t="s">
        <v>410</v>
      </c>
      <c r="AK488" s="1" t="s">
        <v>13</v>
      </c>
      <c r="AL488" s="1" t="s">
        <v>65</v>
      </c>
      <c r="AM488" s="1" t="s">
        <v>292</v>
      </c>
      <c r="AN488" s="1" t="s">
        <v>21</v>
      </c>
      <c r="AO488" s="1" t="s">
        <v>280</v>
      </c>
      <c r="AP488" s="1" t="s">
        <v>324</v>
      </c>
      <c r="AQ488" s="1" t="s">
        <v>20</v>
      </c>
    </row>
    <row r="489" spans="1:43" x14ac:dyDescent="0.3">
      <c r="A489" s="1">
        <v>24862309</v>
      </c>
      <c r="B489" s="1">
        <v>25701287</v>
      </c>
      <c r="C489" s="1" t="s">
        <v>266</v>
      </c>
      <c r="D489" s="4">
        <v>46206.625740740739</v>
      </c>
      <c r="E489" s="4">
        <v>46206.626076388893</v>
      </c>
      <c r="F489" s="1" t="s">
        <v>22</v>
      </c>
      <c r="G489" s="1" t="s">
        <v>22</v>
      </c>
      <c r="H489" s="1" t="s">
        <v>1853</v>
      </c>
      <c r="I489" s="1" t="s">
        <v>15</v>
      </c>
      <c r="J489" s="1" t="s">
        <v>1854</v>
      </c>
      <c r="K489" s="1" t="s">
        <v>958</v>
      </c>
      <c r="L489" s="1" t="s">
        <v>958</v>
      </c>
      <c r="M489" s="4">
        <v>46189.949305555558</v>
      </c>
      <c r="N489" s="1">
        <v>19485863</v>
      </c>
      <c r="O489" s="1" t="s">
        <v>1855</v>
      </c>
      <c r="P489" s="1" t="s">
        <v>271</v>
      </c>
      <c r="Q489" s="1" t="s">
        <v>303</v>
      </c>
      <c r="R489" s="1" t="s">
        <v>272</v>
      </c>
      <c r="S489" s="1" t="s">
        <v>8</v>
      </c>
      <c r="T489" s="1" t="s">
        <v>274</v>
      </c>
      <c r="U489" s="1" t="s">
        <v>143</v>
      </c>
      <c r="V489" s="1" t="s">
        <v>954</v>
      </c>
      <c r="W489" s="1" t="s">
        <v>93</v>
      </c>
      <c r="X489" s="1" t="s">
        <v>93</v>
      </c>
      <c r="Y489" s="1" t="s">
        <v>93</v>
      </c>
      <c r="Z489" s="1" t="s">
        <v>52</v>
      </c>
      <c r="AA489" s="1" t="s">
        <v>93</v>
      </c>
      <c r="AB489" s="1">
        <v>401.44</v>
      </c>
      <c r="AC489" s="1">
        <v>78.36</v>
      </c>
      <c r="AD489" s="1">
        <v>251.6</v>
      </c>
      <c r="AE489" s="1">
        <v>0</v>
      </c>
      <c r="AF489" s="1">
        <v>0</v>
      </c>
      <c r="AG489" s="1">
        <v>0</v>
      </c>
      <c r="AH489" s="1">
        <v>0</v>
      </c>
      <c r="AI489" s="1" t="s">
        <v>1856</v>
      </c>
      <c r="AJ489" s="1" t="s">
        <v>410</v>
      </c>
      <c r="AK489" s="1" t="s">
        <v>15</v>
      </c>
      <c r="AL489" s="1" t="s">
        <v>65</v>
      </c>
      <c r="AM489" s="1" t="s">
        <v>292</v>
      </c>
      <c r="AN489" s="1" t="s">
        <v>21</v>
      </c>
      <c r="AO489" s="1" t="s">
        <v>280</v>
      </c>
      <c r="AP489" s="1" t="s">
        <v>324</v>
      </c>
      <c r="AQ489" s="1" t="s">
        <v>20</v>
      </c>
    </row>
    <row r="490" spans="1:43" x14ac:dyDescent="0.3">
      <c r="A490" s="1">
        <v>24864335</v>
      </c>
      <c r="B490" s="1">
        <v>25703557</v>
      </c>
      <c r="C490" s="1" t="s">
        <v>266</v>
      </c>
      <c r="D490" s="4">
        <v>46206.753518518519</v>
      </c>
      <c r="E490" s="4">
        <v>46206.760370370372</v>
      </c>
      <c r="F490" s="1" t="s">
        <v>22</v>
      </c>
      <c r="G490" s="1" t="s">
        <v>22</v>
      </c>
      <c r="H490" s="1" t="s">
        <v>1857</v>
      </c>
      <c r="I490" s="1" t="s">
        <v>15</v>
      </c>
      <c r="J490" s="1" t="s">
        <v>1858</v>
      </c>
      <c r="K490" s="1" t="s">
        <v>1323</v>
      </c>
      <c r="L490" s="1" t="s">
        <v>1323</v>
      </c>
      <c r="M490" s="4">
        <v>46206</v>
      </c>
      <c r="N490" s="1">
        <v>19605568</v>
      </c>
      <c r="O490" s="1" t="s">
        <v>93</v>
      </c>
      <c r="P490" s="1" t="s">
        <v>271</v>
      </c>
      <c r="Q490" s="1" t="s">
        <v>286</v>
      </c>
      <c r="R490" s="1" t="s">
        <v>286</v>
      </c>
      <c r="S490" s="1" t="s">
        <v>9</v>
      </c>
      <c r="T490" s="1" t="s">
        <v>274</v>
      </c>
      <c r="U490" s="1" t="s">
        <v>143</v>
      </c>
      <c r="V490" s="1" t="s">
        <v>954</v>
      </c>
      <c r="W490" s="1" t="s">
        <v>93</v>
      </c>
      <c r="X490" s="1" t="s">
        <v>93</v>
      </c>
      <c r="Y490" s="1" t="s">
        <v>93</v>
      </c>
      <c r="Z490" s="1" t="s">
        <v>52</v>
      </c>
      <c r="AA490" s="1" t="s">
        <v>93</v>
      </c>
      <c r="AB490" s="1">
        <v>297.01</v>
      </c>
      <c r="AC490" s="1">
        <v>0</v>
      </c>
      <c r="AD490" s="1">
        <v>0</v>
      </c>
      <c r="AE490" s="1">
        <v>0</v>
      </c>
      <c r="AF490" s="1">
        <v>0</v>
      </c>
      <c r="AG490" s="1">
        <v>0</v>
      </c>
      <c r="AH490" s="1">
        <v>0</v>
      </c>
      <c r="AI490" s="1" t="s">
        <v>1859</v>
      </c>
      <c r="AJ490" s="1" t="s">
        <v>410</v>
      </c>
      <c r="AK490" s="1" t="s">
        <v>15</v>
      </c>
      <c r="AL490" s="1" t="s">
        <v>65</v>
      </c>
      <c r="AM490" s="1" t="s">
        <v>292</v>
      </c>
      <c r="AN490" s="1" t="s">
        <v>21</v>
      </c>
      <c r="AO490" s="1" t="s">
        <v>280</v>
      </c>
      <c r="AP490" s="1" t="s">
        <v>324</v>
      </c>
      <c r="AQ490" s="1" t="s">
        <v>20</v>
      </c>
    </row>
    <row r="491" spans="1:43" x14ac:dyDescent="0.3">
      <c r="A491" s="1">
        <v>24867082</v>
      </c>
      <c r="B491" s="1">
        <v>25706611</v>
      </c>
      <c r="C491" s="1" t="s">
        <v>266</v>
      </c>
      <c r="D491" s="4">
        <v>46207.460173611107</v>
      </c>
      <c r="E491" s="4">
        <v>46207.462581018517</v>
      </c>
      <c r="F491" s="1" t="s">
        <v>19</v>
      </c>
      <c r="G491" s="1" t="s">
        <v>19</v>
      </c>
      <c r="H491" s="1" t="s">
        <v>1860</v>
      </c>
      <c r="I491" s="1" t="s">
        <v>15</v>
      </c>
      <c r="J491" s="1" t="s">
        <v>1861</v>
      </c>
      <c r="K491" s="1" t="s">
        <v>1323</v>
      </c>
      <c r="L491" s="1" t="s">
        <v>1323</v>
      </c>
      <c r="M491" s="4">
        <v>46205</v>
      </c>
      <c r="N491" s="1">
        <v>19595468</v>
      </c>
      <c r="O491" s="1" t="s">
        <v>93</v>
      </c>
      <c r="P491" s="1" t="s">
        <v>271</v>
      </c>
      <c r="Q491" s="1" t="s">
        <v>286</v>
      </c>
      <c r="R491" s="1" t="s">
        <v>286</v>
      </c>
      <c r="S491" s="1" t="s">
        <v>9</v>
      </c>
      <c r="T491" s="1" t="s">
        <v>274</v>
      </c>
      <c r="U491" s="1" t="s">
        <v>143</v>
      </c>
      <c r="V491" s="1" t="s">
        <v>954</v>
      </c>
      <c r="W491" s="1" t="s">
        <v>93</v>
      </c>
      <c r="X491" s="1" t="s">
        <v>93</v>
      </c>
      <c r="Y491" s="1" t="s">
        <v>93</v>
      </c>
      <c r="Z491" s="1" t="s">
        <v>52</v>
      </c>
      <c r="AA491" s="1" t="s">
        <v>93</v>
      </c>
      <c r="AB491" s="1">
        <v>220</v>
      </c>
      <c r="AC491" s="1">
        <v>0</v>
      </c>
      <c r="AD491" s="1">
        <v>0</v>
      </c>
      <c r="AE491" s="1">
        <v>0</v>
      </c>
      <c r="AF491" s="1">
        <v>0</v>
      </c>
      <c r="AG491" s="1">
        <v>0</v>
      </c>
      <c r="AH491" s="1">
        <v>0</v>
      </c>
      <c r="AI491" s="1" t="s">
        <v>1862</v>
      </c>
      <c r="AJ491" s="1" t="s">
        <v>410</v>
      </c>
      <c r="AK491" s="1" t="s">
        <v>15</v>
      </c>
      <c r="AL491" s="1" t="s">
        <v>65</v>
      </c>
      <c r="AM491" s="1" t="s">
        <v>292</v>
      </c>
      <c r="AN491" s="1" t="s">
        <v>21</v>
      </c>
      <c r="AO491" s="1" t="s">
        <v>280</v>
      </c>
      <c r="AP491" s="1" t="s">
        <v>324</v>
      </c>
      <c r="AQ491" s="1" t="s">
        <v>20</v>
      </c>
    </row>
    <row r="492" spans="1:43" x14ac:dyDescent="0.3">
      <c r="A492" s="1">
        <v>24866922</v>
      </c>
      <c r="B492" s="1">
        <v>25706383</v>
      </c>
      <c r="C492" s="1" t="s">
        <v>266</v>
      </c>
      <c r="D492" s="4">
        <v>46207.419988425929</v>
      </c>
      <c r="E492" s="4">
        <v>46207.421307870369</v>
      </c>
      <c r="F492" s="1" t="s">
        <v>19</v>
      </c>
      <c r="G492" s="1" t="s">
        <v>19</v>
      </c>
      <c r="H492" s="1" t="s">
        <v>1863</v>
      </c>
      <c r="I492" s="1" t="s">
        <v>15</v>
      </c>
      <c r="J492" s="1" t="s">
        <v>1864</v>
      </c>
      <c r="K492" s="1" t="s">
        <v>1323</v>
      </c>
      <c r="L492" s="1" t="s">
        <v>1323</v>
      </c>
      <c r="M492" s="4">
        <v>46206</v>
      </c>
      <c r="N492" s="1">
        <v>19608144</v>
      </c>
      <c r="O492" s="1" t="s">
        <v>93</v>
      </c>
      <c r="P492" s="1" t="s">
        <v>271</v>
      </c>
      <c r="Q492" s="1" t="s">
        <v>286</v>
      </c>
      <c r="R492" s="1" t="s">
        <v>286</v>
      </c>
      <c r="S492" s="1" t="s">
        <v>9</v>
      </c>
      <c r="T492" s="1" t="s">
        <v>274</v>
      </c>
      <c r="U492" s="1" t="s">
        <v>143</v>
      </c>
      <c r="V492" s="1" t="s">
        <v>954</v>
      </c>
      <c r="W492" s="1" t="s">
        <v>93</v>
      </c>
      <c r="X492" s="1" t="s">
        <v>93</v>
      </c>
      <c r="Y492" s="1" t="s">
        <v>93</v>
      </c>
      <c r="Z492" s="1" t="s">
        <v>52</v>
      </c>
      <c r="AA492" s="1" t="s">
        <v>93</v>
      </c>
      <c r="AB492" s="1">
        <v>255.45</v>
      </c>
      <c r="AC492" s="1">
        <v>0</v>
      </c>
      <c r="AD492" s="1">
        <v>0</v>
      </c>
      <c r="AE492" s="1">
        <v>0</v>
      </c>
      <c r="AF492" s="1">
        <v>0</v>
      </c>
      <c r="AG492" s="1">
        <v>7.66</v>
      </c>
      <c r="AH492" s="1">
        <v>0</v>
      </c>
      <c r="AI492" s="1" t="s">
        <v>1865</v>
      </c>
      <c r="AJ492" s="1" t="s">
        <v>410</v>
      </c>
      <c r="AK492" s="1" t="s">
        <v>15</v>
      </c>
      <c r="AL492" s="1" t="s">
        <v>65</v>
      </c>
      <c r="AM492" s="1" t="s">
        <v>292</v>
      </c>
      <c r="AN492" s="1" t="s">
        <v>21</v>
      </c>
      <c r="AO492" s="1" t="s">
        <v>280</v>
      </c>
      <c r="AP492" s="1" t="s">
        <v>324</v>
      </c>
      <c r="AQ492" s="1" t="s">
        <v>20</v>
      </c>
    </row>
    <row r="493" spans="1:43" x14ac:dyDescent="0.3">
      <c r="A493" s="1">
        <v>24864207</v>
      </c>
      <c r="B493" s="1">
        <v>25703427</v>
      </c>
      <c r="C493" s="1" t="s">
        <v>266</v>
      </c>
      <c r="D493" s="4">
        <v>46206.748993055553</v>
      </c>
      <c r="E493" s="4">
        <v>46206.750787037039</v>
      </c>
      <c r="F493" s="1" t="s">
        <v>22</v>
      </c>
      <c r="G493" s="1" t="s">
        <v>22</v>
      </c>
      <c r="H493" s="1" t="s">
        <v>1866</v>
      </c>
      <c r="I493" s="1" t="s">
        <v>17</v>
      </c>
      <c r="J493" s="1" t="s">
        <v>1867</v>
      </c>
      <c r="K493" s="1" t="s">
        <v>744</v>
      </c>
      <c r="L493" s="1" t="s">
        <v>744</v>
      </c>
      <c r="M493" s="4">
        <v>46206.629861111112</v>
      </c>
      <c r="N493" s="1" t="s">
        <v>755</v>
      </c>
      <c r="O493" s="1" t="s">
        <v>93</v>
      </c>
      <c r="P493" s="1" t="s">
        <v>342</v>
      </c>
      <c r="Q493" s="1" t="s">
        <v>303</v>
      </c>
      <c r="R493" s="1" t="s">
        <v>272</v>
      </c>
      <c r="S493" s="1" t="s">
        <v>9</v>
      </c>
      <c r="T493" s="1" t="s">
        <v>274</v>
      </c>
      <c r="U493" s="1" t="s">
        <v>152</v>
      </c>
      <c r="V493" s="1" t="s">
        <v>354</v>
      </c>
      <c r="W493" s="1" t="s">
        <v>93</v>
      </c>
      <c r="X493" s="1" t="s">
        <v>93</v>
      </c>
      <c r="Y493" s="1" t="s">
        <v>93</v>
      </c>
      <c r="Z493" s="1" t="s">
        <v>53</v>
      </c>
      <c r="AA493" s="1" t="s">
        <v>93</v>
      </c>
      <c r="AB493" s="1">
        <v>552</v>
      </c>
      <c r="AC493" s="1">
        <v>0</v>
      </c>
      <c r="AD493" s="1">
        <v>0</v>
      </c>
      <c r="AE493" s="1">
        <v>0</v>
      </c>
      <c r="AF493" s="1">
        <v>0</v>
      </c>
      <c r="AG493" s="1">
        <v>0</v>
      </c>
      <c r="AH493" s="1">
        <v>0</v>
      </c>
      <c r="AI493" s="1" t="s">
        <v>290</v>
      </c>
      <c r="AJ493" s="1" t="s">
        <v>410</v>
      </c>
      <c r="AK493" s="1" t="s">
        <v>17</v>
      </c>
      <c r="AL493" s="1" t="s">
        <v>65</v>
      </c>
      <c r="AM493" s="1" t="s">
        <v>292</v>
      </c>
      <c r="AN493" s="1" t="s">
        <v>21</v>
      </c>
      <c r="AO493" s="1" t="s">
        <v>280</v>
      </c>
      <c r="AP493" s="1" t="s">
        <v>324</v>
      </c>
      <c r="AQ493" s="1" t="s">
        <v>20</v>
      </c>
    </row>
    <row r="494" spans="1:43" x14ac:dyDescent="0.3">
      <c r="A494" s="1">
        <v>24862550</v>
      </c>
      <c r="B494" s="1">
        <v>25701603</v>
      </c>
      <c r="C494" s="1" t="s">
        <v>266</v>
      </c>
      <c r="D494" s="4">
        <v>46206.657824074071</v>
      </c>
      <c r="E494" s="4">
        <v>46206.658784722233</v>
      </c>
      <c r="F494" s="1" t="s">
        <v>22</v>
      </c>
      <c r="G494" s="1" t="s">
        <v>22</v>
      </c>
      <c r="H494" s="1" t="s">
        <v>1868</v>
      </c>
      <c r="I494" s="1" t="s">
        <v>17</v>
      </c>
      <c r="J494" s="1" t="s">
        <v>1869</v>
      </c>
      <c r="K494" s="1" t="s">
        <v>744</v>
      </c>
      <c r="L494" s="1" t="s">
        <v>744</v>
      </c>
      <c r="M494" s="4">
        <v>46206.445833333331</v>
      </c>
      <c r="N494" s="1" t="s">
        <v>755</v>
      </c>
      <c r="O494" s="1" t="s">
        <v>93</v>
      </c>
      <c r="P494" s="1" t="s">
        <v>342</v>
      </c>
      <c r="Q494" s="1" t="s">
        <v>303</v>
      </c>
      <c r="R494" s="1" t="s">
        <v>272</v>
      </c>
      <c r="S494" s="1" t="s">
        <v>9</v>
      </c>
      <c r="T494" s="1" t="s">
        <v>274</v>
      </c>
      <c r="U494" s="1" t="s">
        <v>152</v>
      </c>
      <c r="V494" s="1" t="s">
        <v>354</v>
      </c>
      <c r="W494" s="1" t="s">
        <v>93</v>
      </c>
      <c r="X494" s="1" t="s">
        <v>93</v>
      </c>
      <c r="Y494" s="1" t="s">
        <v>93</v>
      </c>
      <c r="Z494" s="1" t="s">
        <v>53</v>
      </c>
      <c r="AA494" s="1" t="s">
        <v>93</v>
      </c>
      <c r="AB494" s="1">
        <v>0</v>
      </c>
      <c r="AC494" s="1">
        <v>0</v>
      </c>
      <c r="AD494" s="1">
        <v>0</v>
      </c>
      <c r="AE494" s="1">
        <v>0</v>
      </c>
      <c r="AF494" s="1">
        <v>0</v>
      </c>
      <c r="AG494" s="1">
        <v>0</v>
      </c>
      <c r="AH494" s="1">
        <v>0</v>
      </c>
      <c r="AI494" s="1" t="s">
        <v>290</v>
      </c>
      <c r="AJ494" s="1" t="s">
        <v>410</v>
      </c>
      <c r="AK494" s="1" t="s">
        <v>17</v>
      </c>
      <c r="AL494" s="1" t="s">
        <v>65</v>
      </c>
      <c r="AM494" s="1" t="s">
        <v>292</v>
      </c>
      <c r="AN494" s="1" t="s">
        <v>21</v>
      </c>
      <c r="AO494" s="1" t="s">
        <v>280</v>
      </c>
      <c r="AP494" s="1" t="s">
        <v>324</v>
      </c>
      <c r="AQ494" s="1" t="s">
        <v>20</v>
      </c>
    </row>
    <row r="495" spans="1:43" x14ac:dyDescent="0.3">
      <c r="A495" s="1">
        <v>24865809</v>
      </c>
      <c r="B495" s="1">
        <v>25705249</v>
      </c>
      <c r="C495" s="1" t="s">
        <v>266</v>
      </c>
      <c r="D495" s="4">
        <v>46206.982662037037</v>
      </c>
      <c r="E495" s="4">
        <v>46207.002997685187</v>
      </c>
      <c r="F495" s="1" t="s">
        <v>19</v>
      </c>
      <c r="G495" s="1" t="s">
        <v>22</v>
      </c>
      <c r="H495" s="1" t="s">
        <v>1870</v>
      </c>
      <c r="I495" s="1" t="s">
        <v>268</v>
      </c>
      <c r="J495" s="1" t="s">
        <v>1871</v>
      </c>
      <c r="K495" s="1" t="s">
        <v>270</v>
      </c>
      <c r="L495" s="1" t="s">
        <v>270</v>
      </c>
      <c r="M495" s="4">
        <v>46206.800694444442</v>
      </c>
      <c r="N495" s="1">
        <v>118813</v>
      </c>
      <c r="O495" s="1" t="s">
        <v>1872</v>
      </c>
      <c r="P495" s="1" t="s">
        <v>271</v>
      </c>
      <c r="Q495" s="1" t="s">
        <v>303</v>
      </c>
      <c r="R495" s="1" t="s">
        <v>272</v>
      </c>
      <c r="S495" s="1" t="s">
        <v>8</v>
      </c>
      <c r="T495" s="1" t="s">
        <v>274</v>
      </c>
      <c r="U495" s="1" t="s">
        <v>144</v>
      </c>
      <c r="V495" s="1" t="s">
        <v>756</v>
      </c>
      <c r="W495" s="1" t="s">
        <v>93</v>
      </c>
      <c r="X495" s="1" t="s">
        <v>93</v>
      </c>
      <c r="Y495" s="1" t="s">
        <v>93</v>
      </c>
      <c r="Z495" s="1" t="s">
        <v>54</v>
      </c>
      <c r="AA495" s="1" t="s">
        <v>93</v>
      </c>
      <c r="AB495" s="1">
        <v>981.74</v>
      </c>
      <c r="AC495" s="1">
        <v>0</v>
      </c>
      <c r="AD495" s="1">
        <v>0</v>
      </c>
      <c r="AE495" s="1">
        <v>0</v>
      </c>
      <c r="AF495" s="1">
        <v>0</v>
      </c>
      <c r="AG495" s="1">
        <v>0</v>
      </c>
      <c r="AH495" s="1">
        <v>0</v>
      </c>
      <c r="AI495" s="1" t="s">
        <v>1873</v>
      </c>
      <c r="AJ495" s="1" t="s">
        <v>410</v>
      </c>
      <c r="AK495" s="1" t="s">
        <v>13</v>
      </c>
      <c r="AL495" s="1" t="s">
        <v>65</v>
      </c>
      <c r="AM495" s="1" t="s">
        <v>292</v>
      </c>
      <c r="AN495" s="1" t="s">
        <v>21</v>
      </c>
      <c r="AO495" s="1" t="s">
        <v>280</v>
      </c>
      <c r="AP495" s="1" t="s">
        <v>324</v>
      </c>
      <c r="AQ495" s="1" t="s">
        <v>20</v>
      </c>
    </row>
    <row r="496" spans="1:43" x14ac:dyDescent="0.3">
      <c r="A496" s="1">
        <v>24864086</v>
      </c>
      <c r="B496" s="1">
        <v>25703284</v>
      </c>
      <c r="C496" s="1" t="s">
        <v>266</v>
      </c>
      <c r="D496" s="4">
        <v>46206.745428240742</v>
      </c>
      <c r="E496" s="4">
        <v>46206.778784722221</v>
      </c>
      <c r="F496" s="1" t="s">
        <v>22</v>
      </c>
      <c r="G496" s="1" t="s">
        <v>22</v>
      </c>
      <c r="H496" s="1" t="s">
        <v>1874</v>
      </c>
      <c r="I496" s="1" t="s">
        <v>268</v>
      </c>
      <c r="J496" s="1" t="s">
        <v>1875</v>
      </c>
      <c r="K496" s="1" t="s">
        <v>270</v>
      </c>
      <c r="L496" s="1" t="s">
        <v>270</v>
      </c>
      <c r="M496" s="4">
        <v>46206.693749999999</v>
      </c>
      <c r="N496" s="1">
        <v>118645</v>
      </c>
      <c r="O496" s="1" t="s">
        <v>1876</v>
      </c>
      <c r="P496" s="1" t="s">
        <v>271</v>
      </c>
      <c r="Q496" s="1" t="s">
        <v>303</v>
      </c>
      <c r="R496" s="1" t="s">
        <v>272</v>
      </c>
      <c r="S496" s="1" t="s">
        <v>8</v>
      </c>
      <c r="T496" s="1" t="s">
        <v>274</v>
      </c>
      <c r="U496" s="1" t="s">
        <v>144</v>
      </c>
      <c r="V496" s="1" t="s">
        <v>1877</v>
      </c>
      <c r="W496" s="1" t="s">
        <v>93</v>
      </c>
      <c r="X496" s="1" t="s">
        <v>93</v>
      </c>
      <c r="Y496" s="1" t="s">
        <v>93</v>
      </c>
      <c r="Z496" s="1" t="s">
        <v>54</v>
      </c>
      <c r="AA496" s="1" t="s">
        <v>93</v>
      </c>
      <c r="AB496" s="1">
        <v>371.00659999999999</v>
      </c>
      <c r="AC496" s="1">
        <v>0</v>
      </c>
      <c r="AD496" s="1">
        <v>0</v>
      </c>
      <c r="AE496" s="1">
        <v>0</v>
      </c>
      <c r="AF496" s="1">
        <v>0</v>
      </c>
      <c r="AG496" s="1">
        <v>0</v>
      </c>
      <c r="AH496" s="1">
        <v>0</v>
      </c>
      <c r="AI496" s="1" t="s">
        <v>1878</v>
      </c>
      <c r="AJ496" s="1" t="s">
        <v>410</v>
      </c>
      <c r="AK496" s="1" t="s">
        <v>13</v>
      </c>
      <c r="AL496" s="1" t="s">
        <v>65</v>
      </c>
      <c r="AM496" s="1" t="s">
        <v>292</v>
      </c>
      <c r="AN496" s="1" t="s">
        <v>21</v>
      </c>
      <c r="AO496" s="1" t="s">
        <v>280</v>
      </c>
      <c r="AP496" s="1" t="s">
        <v>324</v>
      </c>
      <c r="AQ496" s="1" t="s">
        <v>20</v>
      </c>
    </row>
    <row r="497" spans="1:43" x14ac:dyDescent="0.3">
      <c r="A497" s="1">
        <v>24862654</v>
      </c>
      <c r="B497" s="1">
        <v>25701729</v>
      </c>
      <c r="C497" s="1" t="s">
        <v>266</v>
      </c>
      <c r="D497" s="4">
        <v>46206.669363425928</v>
      </c>
      <c r="E497" s="4">
        <v>46206.671574074076</v>
      </c>
      <c r="F497" s="1" t="s">
        <v>22</v>
      </c>
      <c r="G497" s="1" t="s">
        <v>22</v>
      </c>
      <c r="H497" s="1">
        <v>23581882</v>
      </c>
      <c r="I497" s="1" t="s">
        <v>14</v>
      </c>
      <c r="J497" s="1" t="s">
        <v>1879</v>
      </c>
      <c r="K497" s="1" t="s">
        <v>547</v>
      </c>
      <c r="L497" s="1" t="s">
        <v>547</v>
      </c>
      <c r="M497" s="4">
        <v>46206.663194444453</v>
      </c>
      <c r="N497" s="1">
        <v>4718600</v>
      </c>
      <c r="O497" s="1" t="s">
        <v>93</v>
      </c>
      <c r="P497" s="1" t="s">
        <v>271</v>
      </c>
      <c r="Q497" s="1" t="s">
        <v>286</v>
      </c>
      <c r="R497" s="1" t="s">
        <v>286</v>
      </c>
      <c r="S497" s="1" t="s">
        <v>9</v>
      </c>
      <c r="T497" s="1" t="s">
        <v>274</v>
      </c>
      <c r="U497" s="1" t="s">
        <v>190</v>
      </c>
      <c r="V497" s="1" t="s">
        <v>565</v>
      </c>
      <c r="W497" s="1" t="s">
        <v>93</v>
      </c>
      <c r="X497" s="1" t="s">
        <v>93</v>
      </c>
      <c r="Y497" s="1" t="s">
        <v>93</v>
      </c>
      <c r="Z497" s="1" t="s">
        <v>110</v>
      </c>
      <c r="AA497" s="1" t="s">
        <v>93</v>
      </c>
      <c r="AB497" s="1">
        <v>1050</v>
      </c>
      <c r="AC497" s="1">
        <v>0</v>
      </c>
      <c r="AD497" s="1">
        <v>0</v>
      </c>
      <c r="AE497" s="1">
        <v>0</v>
      </c>
      <c r="AF497" s="1">
        <v>0</v>
      </c>
      <c r="AG497" s="1">
        <v>0</v>
      </c>
      <c r="AH497" s="1">
        <v>0</v>
      </c>
      <c r="AI497" s="1" t="s">
        <v>1880</v>
      </c>
      <c r="AJ497" s="1" t="s">
        <v>410</v>
      </c>
      <c r="AK497" s="1" t="s">
        <v>14</v>
      </c>
      <c r="AL497" s="1" t="s">
        <v>65</v>
      </c>
      <c r="AM497" s="1" t="s">
        <v>292</v>
      </c>
      <c r="AN497" s="1" t="s">
        <v>21</v>
      </c>
      <c r="AO497" s="1" t="s">
        <v>293</v>
      </c>
      <c r="AP497" s="1" t="s">
        <v>281</v>
      </c>
      <c r="AQ497" s="1" t="s">
        <v>34</v>
      </c>
    </row>
    <row r="498" spans="1:43" x14ac:dyDescent="0.3">
      <c r="A498" s="1">
        <v>24863421</v>
      </c>
      <c r="B498" s="1">
        <v>25702574</v>
      </c>
      <c r="C498" s="1" t="s">
        <v>266</v>
      </c>
      <c r="D498" s="4">
        <v>46206.721990740742</v>
      </c>
      <c r="E498" s="4">
        <v>46206.726365740738</v>
      </c>
      <c r="F498" s="1" t="s">
        <v>22</v>
      </c>
      <c r="G498" s="1" t="s">
        <v>22</v>
      </c>
      <c r="H498" s="1" t="s">
        <v>1881</v>
      </c>
      <c r="I498" s="1" t="s">
        <v>268</v>
      </c>
      <c r="J498" s="1" t="s">
        <v>1882</v>
      </c>
      <c r="K498" s="1" t="s">
        <v>270</v>
      </c>
      <c r="L498" s="1" t="s">
        <v>270</v>
      </c>
      <c r="M498" s="4">
        <v>46206.553472222222</v>
      </c>
      <c r="N498" s="1">
        <v>130486</v>
      </c>
      <c r="O498" s="1" t="s">
        <v>93</v>
      </c>
      <c r="P498" s="1" t="s">
        <v>271</v>
      </c>
      <c r="Q498" s="1" t="s">
        <v>388</v>
      </c>
      <c r="R498" s="1" t="s">
        <v>388</v>
      </c>
      <c r="S498" s="1" t="s">
        <v>9</v>
      </c>
      <c r="T498" s="1" t="s">
        <v>274</v>
      </c>
      <c r="U498" s="1" t="s">
        <v>158</v>
      </c>
      <c r="V498" s="1" t="s">
        <v>389</v>
      </c>
      <c r="W498" s="1" t="s">
        <v>93</v>
      </c>
      <c r="X498" s="1" t="s">
        <v>93</v>
      </c>
      <c r="Y498" s="1" t="s">
        <v>93</v>
      </c>
      <c r="Z498" s="1" t="s">
        <v>70</v>
      </c>
      <c r="AA498" s="1" t="s">
        <v>93</v>
      </c>
      <c r="AB498" s="1">
        <v>388</v>
      </c>
      <c r="AC498" s="1">
        <v>0</v>
      </c>
      <c r="AD498" s="1">
        <v>0</v>
      </c>
      <c r="AE498" s="1">
        <v>0</v>
      </c>
      <c r="AF498" s="1">
        <v>0</v>
      </c>
      <c r="AG498" s="1">
        <v>0</v>
      </c>
      <c r="AH498" s="1">
        <v>0</v>
      </c>
      <c r="AI498" s="1" t="s">
        <v>1883</v>
      </c>
      <c r="AJ498" s="1" t="s">
        <v>410</v>
      </c>
      <c r="AK498" s="1" t="s">
        <v>13</v>
      </c>
      <c r="AL498" s="1" t="s">
        <v>65</v>
      </c>
      <c r="AM498" s="1" t="s">
        <v>292</v>
      </c>
      <c r="AN498" s="1" t="s">
        <v>21</v>
      </c>
      <c r="AO498" s="1" t="s">
        <v>293</v>
      </c>
      <c r="AP498" s="1" t="s">
        <v>281</v>
      </c>
      <c r="AQ498" s="1" t="s">
        <v>34</v>
      </c>
    </row>
    <row r="499" spans="1:43" x14ac:dyDescent="0.3">
      <c r="A499" s="1">
        <v>24863778</v>
      </c>
      <c r="B499" s="1">
        <v>25702973</v>
      </c>
      <c r="C499" s="1" t="s">
        <v>266</v>
      </c>
      <c r="D499" s="4">
        <v>46206.733634259261</v>
      </c>
      <c r="E499" s="4">
        <v>46206.754224537042</v>
      </c>
      <c r="F499" s="1" t="s">
        <v>22</v>
      </c>
      <c r="G499" s="1" t="s">
        <v>22</v>
      </c>
      <c r="H499" s="1" t="s">
        <v>1884</v>
      </c>
      <c r="I499" s="1" t="s">
        <v>268</v>
      </c>
      <c r="J499" s="1" t="s">
        <v>1885</v>
      </c>
      <c r="K499" s="1" t="s">
        <v>270</v>
      </c>
      <c r="L499" s="1" t="s">
        <v>270</v>
      </c>
      <c r="M499" s="4">
        <v>46206.663194444453</v>
      </c>
      <c r="N499" s="1">
        <v>6529</v>
      </c>
      <c r="O499" s="1" t="s">
        <v>1886</v>
      </c>
      <c r="P499" s="1" t="s">
        <v>271</v>
      </c>
      <c r="Q499" s="1" t="s">
        <v>303</v>
      </c>
      <c r="R499" s="1" t="s">
        <v>272</v>
      </c>
      <c r="S499" s="1" t="s">
        <v>8</v>
      </c>
      <c r="T499" s="1" t="s">
        <v>274</v>
      </c>
      <c r="U499" s="1" t="s">
        <v>199</v>
      </c>
      <c r="V499" s="1" t="s">
        <v>1361</v>
      </c>
      <c r="W499" s="1" t="s">
        <v>93</v>
      </c>
      <c r="X499" s="1" t="s">
        <v>93</v>
      </c>
      <c r="Y499" s="1" t="s">
        <v>93</v>
      </c>
      <c r="Z499" s="1" t="s">
        <v>48</v>
      </c>
      <c r="AA499" s="1" t="s">
        <v>93</v>
      </c>
      <c r="AB499" s="1">
        <v>739.69</v>
      </c>
      <c r="AC499" s="1">
        <v>0</v>
      </c>
      <c r="AD499" s="1">
        <v>0</v>
      </c>
      <c r="AE499" s="1">
        <v>0</v>
      </c>
      <c r="AF499" s="1">
        <v>0</v>
      </c>
      <c r="AG499" s="1">
        <v>0</v>
      </c>
      <c r="AH499" s="1">
        <v>0</v>
      </c>
      <c r="AI499" s="1" t="s">
        <v>1887</v>
      </c>
      <c r="AJ499" s="1" t="s">
        <v>410</v>
      </c>
      <c r="AK499" s="1" t="s">
        <v>13</v>
      </c>
      <c r="AL499" s="1" t="s">
        <v>65</v>
      </c>
      <c r="AM499" s="1" t="s">
        <v>292</v>
      </c>
      <c r="AN499" s="1" t="s">
        <v>21</v>
      </c>
      <c r="AO499" s="1" t="s">
        <v>280</v>
      </c>
      <c r="AP499" s="1" t="s">
        <v>324</v>
      </c>
      <c r="AQ499" s="1" t="s">
        <v>20</v>
      </c>
    </row>
    <row r="500" spans="1:43" x14ac:dyDescent="0.3">
      <c r="A500" s="1">
        <v>24863785</v>
      </c>
      <c r="B500" s="1">
        <v>25702980</v>
      </c>
      <c r="C500" s="1" t="s">
        <v>266</v>
      </c>
      <c r="D500" s="4">
        <v>46206.733888888892</v>
      </c>
      <c r="E500" s="4">
        <v>46206.754791666674</v>
      </c>
      <c r="F500" s="1" t="s">
        <v>22</v>
      </c>
      <c r="G500" s="1" t="s">
        <v>22</v>
      </c>
      <c r="H500" s="1" t="s">
        <v>1888</v>
      </c>
      <c r="I500" s="1" t="s">
        <v>268</v>
      </c>
      <c r="J500" s="1" t="s">
        <v>1889</v>
      </c>
      <c r="K500" s="1" t="s">
        <v>1570</v>
      </c>
      <c r="L500" s="1" t="s">
        <v>1570</v>
      </c>
      <c r="M500" s="4">
        <v>46206.518055555563</v>
      </c>
      <c r="N500" s="1">
        <v>6525</v>
      </c>
      <c r="O500" s="1" t="s">
        <v>1890</v>
      </c>
      <c r="P500" s="1" t="s">
        <v>271</v>
      </c>
      <c r="Q500" s="1" t="s">
        <v>303</v>
      </c>
      <c r="R500" s="1" t="s">
        <v>272</v>
      </c>
      <c r="S500" s="1" t="s">
        <v>8</v>
      </c>
      <c r="T500" s="1" t="s">
        <v>274</v>
      </c>
      <c r="U500" s="1" t="s">
        <v>199</v>
      </c>
      <c r="V500" s="1" t="s">
        <v>1361</v>
      </c>
      <c r="W500" s="1" t="s">
        <v>93</v>
      </c>
      <c r="X500" s="1" t="s">
        <v>93</v>
      </c>
      <c r="Y500" s="1" t="s">
        <v>93</v>
      </c>
      <c r="Z500" s="1" t="s">
        <v>48</v>
      </c>
      <c r="AA500" s="1" t="s">
        <v>93</v>
      </c>
      <c r="AB500" s="1">
        <v>215.17500000000001</v>
      </c>
      <c r="AC500" s="1">
        <v>0</v>
      </c>
      <c r="AD500" s="1">
        <v>0</v>
      </c>
      <c r="AE500" s="1">
        <v>0</v>
      </c>
      <c r="AF500" s="1">
        <v>0</v>
      </c>
      <c r="AG500" s="1">
        <v>0</v>
      </c>
      <c r="AH500" s="1">
        <v>0</v>
      </c>
      <c r="AI500" s="1" t="s">
        <v>1891</v>
      </c>
      <c r="AJ500" s="1" t="s">
        <v>410</v>
      </c>
      <c r="AK500" s="1" t="s">
        <v>13</v>
      </c>
      <c r="AL500" s="1" t="s">
        <v>65</v>
      </c>
      <c r="AM500" s="1" t="s">
        <v>292</v>
      </c>
      <c r="AN500" s="1" t="s">
        <v>21</v>
      </c>
      <c r="AO500" s="1" t="s">
        <v>280</v>
      </c>
      <c r="AP500" s="1" t="s">
        <v>281</v>
      </c>
      <c r="AQ500" s="1" t="s">
        <v>37</v>
      </c>
    </row>
    <row r="501" spans="1:43" x14ac:dyDescent="0.3">
      <c r="A501" s="1">
        <v>24864469</v>
      </c>
      <c r="B501" s="1">
        <v>25703698</v>
      </c>
      <c r="C501" s="1" t="s">
        <v>266</v>
      </c>
      <c r="D501" s="4">
        <v>46206.759166666663</v>
      </c>
      <c r="E501" s="4">
        <v>46206.805011574077</v>
      </c>
      <c r="F501" s="1" t="s">
        <v>22</v>
      </c>
      <c r="G501" s="1" t="s">
        <v>22</v>
      </c>
      <c r="H501" s="1" t="s">
        <v>1892</v>
      </c>
      <c r="I501" s="1" t="s">
        <v>268</v>
      </c>
      <c r="J501" s="1" t="s">
        <v>1893</v>
      </c>
      <c r="K501" s="1" t="s">
        <v>270</v>
      </c>
      <c r="L501" s="1" t="s">
        <v>270</v>
      </c>
      <c r="M501" s="4">
        <v>46206.582638888889</v>
      </c>
      <c r="N501" s="1">
        <v>45098</v>
      </c>
      <c r="O501" s="1" t="s">
        <v>1894</v>
      </c>
      <c r="P501" s="1" t="s">
        <v>271</v>
      </c>
      <c r="Q501" s="1" t="s">
        <v>303</v>
      </c>
      <c r="R501" s="1" t="s">
        <v>272</v>
      </c>
      <c r="S501" s="1" t="s">
        <v>8</v>
      </c>
      <c r="T501" s="1" t="s">
        <v>274</v>
      </c>
      <c r="U501" s="1" t="s">
        <v>180</v>
      </c>
      <c r="V501" s="1" t="s">
        <v>1376</v>
      </c>
      <c r="W501" s="1" t="s">
        <v>93</v>
      </c>
      <c r="X501" s="1" t="s">
        <v>93</v>
      </c>
      <c r="Y501" s="1" t="s">
        <v>93</v>
      </c>
      <c r="Z501" s="1" t="s">
        <v>87</v>
      </c>
      <c r="AA501" s="1" t="s">
        <v>93</v>
      </c>
      <c r="AB501" s="1">
        <v>442.35340000000002</v>
      </c>
      <c r="AC501" s="1">
        <v>0</v>
      </c>
      <c r="AD501" s="1">
        <v>0</v>
      </c>
      <c r="AE501" s="1">
        <v>0</v>
      </c>
      <c r="AF501" s="1">
        <v>0</v>
      </c>
      <c r="AG501" s="1">
        <v>0</v>
      </c>
      <c r="AH501" s="1">
        <v>0</v>
      </c>
      <c r="AI501" s="1" t="s">
        <v>1895</v>
      </c>
      <c r="AJ501" s="1" t="s">
        <v>410</v>
      </c>
      <c r="AK501" s="1" t="s">
        <v>13</v>
      </c>
      <c r="AL501" s="1" t="s">
        <v>65</v>
      </c>
      <c r="AM501" s="1" t="s">
        <v>292</v>
      </c>
      <c r="AN501" s="1" t="s">
        <v>21</v>
      </c>
      <c r="AO501" s="1" t="s">
        <v>280</v>
      </c>
      <c r="AP501" s="1" t="s">
        <v>324</v>
      </c>
      <c r="AQ501" s="1" t="s">
        <v>20</v>
      </c>
    </row>
    <row r="502" spans="1:43" x14ac:dyDescent="0.3">
      <c r="A502" s="1">
        <v>24864471</v>
      </c>
      <c r="B502" s="1">
        <v>25703700</v>
      </c>
      <c r="C502" s="1" t="s">
        <v>266</v>
      </c>
      <c r="D502" s="4">
        <v>46206.759189814817</v>
      </c>
      <c r="E502" s="4">
        <v>46206.806018518517</v>
      </c>
      <c r="F502" s="1" t="s">
        <v>22</v>
      </c>
      <c r="G502" s="1" t="s">
        <v>22</v>
      </c>
      <c r="H502" s="1" t="s">
        <v>1896</v>
      </c>
      <c r="I502" s="1" t="s">
        <v>268</v>
      </c>
      <c r="J502" s="1" t="s">
        <v>1897</v>
      </c>
      <c r="K502" s="1" t="s">
        <v>270</v>
      </c>
      <c r="L502" s="1" t="s">
        <v>270</v>
      </c>
      <c r="M502" s="4">
        <v>46206.693055555559</v>
      </c>
      <c r="N502" s="1">
        <v>45097</v>
      </c>
      <c r="O502" s="1" t="s">
        <v>1898</v>
      </c>
      <c r="P502" s="1" t="s">
        <v>271</v>
      </c>
      <c r="Q502" s="1" t="s">
        <v>303</v>
      </c>
      <c r="R502" s="1" t="s">
        <v>272</v>
      </c>
      <c r="S502" s="1" t="s">
        <v>8</v>
      </c>
      <c r="T502" s="1" t="s">
        <v>274</v>
      </c>
      <c r="U502" s="1" t="s">
        <v>180</v>
      </c>
      <c r="V502" s="1" t="s">
        <v>1376</v>
      </c>
      <c r="W502" s="1" t="s">
        <v>93</v>
      </c>
      <c r="X502" s="1" t="s">
        <v>93</v>
      </c>
      <c r="Y502" s="1" t="s">
        <v>93</v>
      </c>
      <c r="Z502" s="1" t="s">
        <v>87</v>
      </c>
      <c r="AA502" s="1" t="s">
        <v>93</v>
      </c>
      <c r="AB502" s="1">
        <v>520.58249999999998</v>
      </c>
      <c r="AC502" s="1">
        <v>0</v>
      </c>
      <c r="AD502" s="1">
        <v>0</v>
      </c>
      <c r="AE502" s="1">
        <v>0</v>
      </c>
      <c r="AF502" s="1">
        <v>0</v>
      </c>
      <c r="AG502" s="1">
        <v>0</v>
      </c>
      <c r="AH502" s="1">
        <v>0</v>
      </c>
      <c r="AI502" s="1" t="s">
        <v>1899</v>
      </c>
      <c r="AJ502" s="1" t="s">
        <v>410</v>
      </c>
      <c r="AK502" s="1" t="s">
        <v>13</v>
      </c>
      <c r="AL502" s="1" t="s">
        <v>65</v>
      </c>
      <c r="AM502" s="1" t="s">
        <v>292</v>
      </c>
      <c r="AN502" s="1" t="s">
        <v>21</v>
      </c>
      <c r="AO502" s="1" t="s">
        <v>280</v>
      </c>
      <c r="AP502" s="1" t="s">
        <v>324</v>
      </c>
      <c r="AQ502" s="1" t="s">
        <v>20</v>
      </c>
    </row>
    <row r="503" spans="1:43" x14ac:dyDescent="0.3">
      <c r="A503" s="1">
        <v>24864477</v>
      </c>
      <c r="B503" s="1">
        <v>25703706</v>
      </c>
      <c r="C503" s="1" t="s">
        <v>266</v>
      </c>
      <c r="D503" s="4">
        <v>46206.75949074074</v>
      </c>
      <c r="E503" s="4">
        <v>46206.806307870371</v>
      </c>
      <c r="F503" s="1" t="s">
        <v>22</v>
      </c>
      <c r="G503" s="1" t="s">
        <v>22</v>
      </c>
      <c r="H503" s="1" t="s">
        <v>1900</v>
      </c>
      <c r="I503" s="1" t="s">
        <v>268</v>
      </c>
      <c r="J503" s="1" t="s">
        <v>1901</v>
      </c>
      <c r="K503" s="1" t="s">
        <v>270</v>
      </c>
      <c r="L503" s="1" t="s">
        <v>270</v>
      </c>
      <c r="M503" s="4">
        <v>46206.693055555559</v>
      </c>
      <c r="N503" s="1">
        <v>45086</v>
      </c>
      <c r="O503" s="1" t="s">
        <v>1902</v>
      </c>
      <c r="P503" s="1" t="s">
        <v>271</v>
      </c>
      <c r="Q503" s="1" t="s">
        <v>303</v>
      </c>
      <c r="R503" s="1" t="s">
        <v>272</v>
      </c>
      <c r="S503" s="1" t="s">
        <v>8</v>
      </c>
      <c r="T503" s="1" t="s">
        <v>274</v>
      </c>
      <c r="U503" s="1" t="s">
        <v>180</v>
      </c>
      <c r="V503" s="1" t="s">
        <v>1376</v>
      </c>
      <c r="W503" s="1" t="s">
        <v>93</v>
      </c>
      <c r="X503" s="1" t="s">
        <v>93</v>
      </c>
      <c r="Y503" s="1" t="s">
        <v>93</v>
      </c>
      <c r="Z503" s="1" t="s">
        <v>87</v>
      </c>
      <c r="AA503" s="1" t="s">
        <v>93</v>
      </c>
      <c r="AB503" s="1">
        <v>411.82659999999998</v>
      </c>
      <c r="AC503" s="1">
        <v>0</v>
      </c>
      <c r="AD503" s="1">
        <v>0</v>
      </c>
      <c r="AE503" s="1">
        <v>0</v>
      </c>
      <c r="AF503" s="1">
        <v>0</v>
      </c>
      <c r="AG503" s="1">
        <v>0</v>
      </c>
      <c r="AH503" s="1">
        <v>0</v>
      </c>
      <c r="AI503" s="1" t="s">
        <v>1903</v>
      </c>
      <c r="AJ503" s="1" t="s">
        <v>410</v>
      </c>
      <c r="AK503" s="1" t="s">
        <v>13</v>
      </c>
      <c r="AL503" s="1" t="s">
        <v>65</v>
      </c>
      <c r="AM503" s="1" t="s">
        <v>292</v>
      </c>
      <c r="AN503" s="1" t="s">
        <v>21</v>
      </c>
      <c r="AO503" s="1" t="s">
        <v>280</v>
      </c>
      <c r="AP503" s="1" t="s">
        <v>324</v>
      </c>
      <c r="AQ503" s="1" t="s">
        <v>20</v>
      </c>
    </row>
    <row r="504" spans="1:43" x14ac:dyDescent="0.3">
      <c r="A504" s="1">
        <v>24864481</v>
      </c>
      <c r="B504" s="1">
        <v>25703710</v>
      </c>
      <c r="C504" s="1" t="s">
        <v>266</v>
      </c>
      <c r="D504" s="4">
        <v>46206.759618055563</v>
      </c>
      <c r="E504" s="4">
        <v>46206.806585648148</v>
      </c>
      <c r="F504" s="1" t="s">
        <v>22</v>
      </c>
      <c r="G504" s="1" t="s">
        <v>22</v>
      </c>
      <c r="H504" s="1" t="s">
        <v>1904</v>
      </c>
      <c r="I504" s="1" t="s">
        <v>268</v>
      </c>
      <c r="J504" s="1" t="s">
        <v>1901</v>
      </c>
      <c r="K504" s="1" t="s">
        <v>270</v>
      </c>
      <c r="L504" s="1" t="s">
        <v>270</v>
      </c>
      <c r="M504" s="4">
        <v>46206.692361111112</v>
      </c>
      <c r="N504" s="1">
        <v>45083</v>
      </c>
      <c r="O504" s="1" t="s">
        <v>1902</v>
      </c>
      <c r="P504" s="1" t="s">
        <v>271</v>
      </c>
      <c r="Q504" s="1" t="s">
        <v>303</v>
      </c>
      <c r="R504" s="1" t="s">
        <v>272</v>
      </c>
      <c r="S504" s="1" t="s">
        <v>8</v>
      </c>
      <c r="T504" s="1" t="s">
        <v>274</v>
      </c>
      <c r="U504" s="1" t="s">
        <v>180</v>
      </c>
      <c r="V504" s="1" t="s">
        <v>1376</v>
      </c>
      <c r="W504" s="1" t="s">
        <v>93</v>
      </c>
      <c r="X504" s="1" t="s">
        <v>93</v>
      </c>
      <c r="Y504" s="1" t="s">
        <v>93</v>
      </c>
      <c r="Z504" s="1" t="s">
        <v>87</v>
      </c>
      <c r="AA504" s="1" t="s">
        <v>93</v>
      </c>
      <c r="AB504" s="1">
        <v>295.05340000000001</v>
      </c>
      <c r="AC504" s="1">
        <v>0</v>
      </c>
      <c r="AD504" s="1">
        <v>0</v>
      </c>
      <c r="AE504" s="1">
        <v>0</v>
      </c>
      <c r="AF504" s="1">
        <v>0</v>
      </c>
      <c r="AG504" s="1">
        <v>0</v>
      </c>
      <c r="AH504" s="1">
        <v>0</v>
      </c>
      <c r="AI504" s="1" t="s">
        <v>1905</v>
      </c>
      <c r="AJ504" s="1" t="s">
        <v>410</v>
      </c>
      <c r="AK504" s="1" t="s">
        <v>13</v>
      </c>
      <c r="AL504" s="1" t="s">
        <v>65</v>
      </c>
      <c r="AM504" s="1" t="s">
        <v>292</v>
      </c>
      <c r="AN504" s="1" t="s">
        <v>21</v>
      </c>
      <c r="AO504" s="1" t="s">
        <v>280</v>
      </c>
      <c r="AP504" s="1" t="s">
        <v>324</v>
      </c>
      <c r="AQ504" s="1" t="s">
        <v>20</v>
      </c>
    </row>
    <row r="505" spans="1:43" x14ac:dyDescent="0.3">
      <c r="A505" s="1">
        <v>24864077</v>
      </c>
      <c r="B505" s="1">
        <v>25703275</v>
      </c>
      <c r="C505" s="1" t="s">
        <v>266</v>
      </c>
      <c r="D505" s="4">
        <v>46206.745057870372</v>
      </c>
      <c r="E505" s="4">
        <v>46206.750405092593</v>
      </c>
      <c r="F505" s="1" t="s">
        <v>22</v>
      </c>
      <c r="G505" s="1" t="s">
        <v>22</v>
      </c>
      <c r="H505" s="1">
        <v>23586023</v>
      </c>
      <c r="I505" s="1" t="s">
        <v>14</v>
      </c>
      <c r="J505" s="1" t="s">
        <v>1906</v>
      </c>
      <c r="K505" s="1" t="s">
        <v>547</v>
      </c>
      <c r="L505" s="1" t="s">
        <v>547</v>
      </c>
      <c r="M505" s="4">
        <v>46206.740972222222</v>
      </c>
      <c r="N505" s="1">
        <v>4718695</v>
      </c>
      <c r="O505" s="1" t="s">
        <v>93</v>
      </c>
      <c r="P505" s="1" t="s">
        <v>271</v>
      </c>
      <c r="Q505" s="1" t="s">
        <v>303</v>
      </c>
      <c r="R505" s="1" t="s">
        <v>272</v>
      </c>
      <c r="S505" s="1" t="s">
        <v>9</v>
      </c>
      <c r="T505" s="1" t="s">
        <v>274</v>
      </c>
      <c r="U505" s="1" t="s">
        <v>1907</v>
      </c>
      <c r="V505" s="1" t="s">
        <v>1908</v>
      </c>
      <c r="W505" s="1" t="s">
        <v>93</v>
      </c>
      <c r="X505" s="1" t="s">
        <v>93</v>
      </c>
      <c r="Y505" s="1" t="s">
        <v>93</v>
      </c>
      <c r="Z505" s="1" t="s">
        <v>117</v>
      </c>
      <c r="AA505" s="1" t="s">
        <v>93</v>
      </c>
      <c r="AB505" s="1">
        <v>1062</v>
      </c>
      <c r="AC505" s="1">
        <v>0</v>
      </c>
      <c r="AD505" s="1">
        <v>0</v>
      </c>
      <c r="AE505" s="1">
        <v>0</v>
      </c>
      <c r="AF505" s="1">
        <v>0</v>
      </c>
      <c r="AG505" s="1">
        <v>0</v>
      </c>
      <c r="AH505" s="1">
        <v>0</v>
      </c>
      <c r="AI505" s="1" t="s">
        <v>1909</v>
      </c>
      <c r="AJ505" s="1" t="s">
        <v>410</v>
      </c>
      <c r="AK505" s="1" t="s">
        <v>14</v>
      </c>
      <c r="AL505" s="1" t="s">
        <v>65</v>
      </c>
      <c r="AM505" s="1" t="s">
        <v>292</v>
      </c>
      <c r="AN505" s="1" t="s">
        <v>21</v>
      </c>
      <c r="AO505" s="1" t="s">
        <v>293</v>
      </c>
      <c r="AP505" s="1" t="s">
        <v>281</v>
      </c>
      <c r="AQ505" s="1" t="s">
        <v>34</v>
      </c>
    </row>
    <row r="506" spans="1:43" x14ac:dyDescent="0.3">
      <c r="A506" s="1">
        <v>24862545</v>
      </c>
      <c r="B506" s="1">
        <v>25701594</v>
      </c>
      <c r="C506" s="1" t="s">
        <v>266</v>
      </c>
      <c r="D506" s="4">
        <v>46206.657256944447</v>
      </c>
      <c r="E506" s="4">
        <v>46206.721261574072</v>
      </c>
      <c r="F506" s="1" t="s">
        <v>22</v>
      </c>
      <c r="G506" s="1" t="s">
        <v>22</v>
      </c>
      <c r="H506" s="1" t="s">
        <v>1910</v>
      </c>
      <c r="I506" s="1" t="s">
        <v>17</v>
      </c>
      <c r="J506" s="1" t="s">
        <v>1911</v>
      </c>
      <c r="K506" s="1" t="s">
        <v>1279</v>
      </c>
      <c r="L506" s="1" t="s">
        <v>1279</v>
      </c>
      <c r="M506" s="4">
        <v>46206.53125</v>
      </c>
      <c r="N506" s="1" t="s">
        <v>755</v>
      </c>
      <c r="O506" s="1" t="s">
        <v>93</v>
      </c>
      <c r="P506" s="1" t="s">
        <v>342</v>
      </c>
      <c r="Q506" s="1" t="s">
        <v>388</v>
      </c>
      <c r="R506" s="1" t="s">
        <v>388</v>
      </c>
      <c r="S506" s="1" t="s">
        <v>9</v>
      </c>
      <c r="T506" s="1" t="s">
        <v>274</v>
      </c>
      <c r="U506" s="1" t="s">
        <v>187</v>
      </c>
      <c r="V506" s="1" t="s">
        <v>1280</v>
      </c>
      <c r="W506" s="1" t="s">
        <v>93</v>
      </c>
      <c r="X506" s="1" t="s">
        <v>93</v>
      </c>
      <c r="Y506" s="1" t="s">
        <v>93</v>
      </c>
      <c r="Z506" s="1" t="s">
        <v>105</v>
      </c>
      <c r="AA506" s="1" t="s">
        <v>93</v>
      </c>
      <c r="AB506" s="1">
        <v>7031</v>
      </c>
      <c r="AC506" s="1">
        <v>1580</v>
      </c>
      <c r="AD506" s="1">
        <v>0</v>
      </c>
      <c r="AE506" s="1">
        <v>0</v>
      </c>
      <c r="AF506" s="1">
        <v>0</v>
      </c>
      <c r="AG506" s="1">
        <v>0</v>
      </c>
      <c r="AH506" s="1">
        <v>0</v>
      </c>
      <c r="AI506" s="1" t="s">
        <v>290</v>
      </c>
      <c r="AJ506" s="1" t="s">
        <v>410</v>
      </c>
      <c r="AK506" s="1" t="s">
        <v>17</v>
      </c>
      <c r="AL506" s="1" t="s">
        <v>65</v>
      </c>
      <c r="AM506" s="1" t="s">
        <v>292</v>
      </c>
      <c r="AN506" s="1" t="s">
        <v>21</v>
      </c>
      <c r="AO506" s="1" t="s">
        <v>280</v>
      </c>
      <c r="AP506" s="1" t="s">
        <v>324</v>
      </c>
      <c r="AQ506" s="1" t="s">
        <v>20</v>
      </c>
    </row>
    <row r="507" spans="1:43" x14ac:dyDescent="0.3">
      <c r="A507" s="1">
        <v>24862547</v>
      </c>
      <c r="B507" s="1">
        <v>25701599</v>
      </c>
      <c r="C507" s="1" t="s">
        <v>266</v>
      </c>
      <c r="D507" s="4">
        <v>46206.657476851848</v>
      </c>
      <c r="E507" s="4">
        <v>46206.658773148149</v>
      </c>
      <c r="F507" s="1" t="s">
        <v>22</v>
      </c>
      <c r="G507" s="1" t="s">
        <v>22</v>
      </c>
      <c r="H507" s="1" t="s">
        <v>1912</v>
      </c>
      <c r="I507" s="1" t="s">
        <v>17</v>
      </c>
      <c r="J507" s="1" t="s">
        <v>1913</v>
      </c>
      <c r="K507" s="1" t="s">
        <v>284</v>
      </c>
      <c r="L507" s="1" t="s">
        <v>284</v>
      </c>
      <c r="M507" s="4">
        <v>46205.605555555558</v>
      </c>
      <c r="N507" s="1" t="s">
        <v>93</v>
      </c>
      <c r="O507" s="1" t="s">
        <v>93</v>
      </c>
      <c r="P507" s="1" t="s">
        <v>271</v>
      </c>
      <c r="Q507" s="1" t="s">
        <v>286</v>
      </c>
      <c r="R507" s="1" t="s">
        <v>286</v>
      </c>
      <c r="S507" s="1" t="s">
        <v>9</v>
      </c>
      <c r="T507" s="1" t="s">
        <v>274</v>
      </c>
      <c r="U507" s="1" t="s">
        <v>198</v>
      </c>
      <c r="V507" s="1" t="s">
        <v>1060</v>
      </c>
      <c r="W507" s="1" t="s">
        <v>93</v>
      </c>
      <c r="X507" s="1" t="s">
        <v>93</v>
      </c>
      <c r="Y507" s="1" t="s">
        <v>93</v>
      </c>
      <c r="Z507" s="1" t="s">
        <v>119</v>
      </c>
      <c r="AA507" s="1" t="s">
        <v>93</v>
      </c>
      <c r="AB507" s="1">
        <v>1285</v>
      </c>
      <c r="AC507" s="1">
        <v>199.18</v>
      </c>
      <c r="AD507" s="1">
        <v>0</v>
      </c>
      <c r="AE507" s="1">
        <v>0</v>
      </c>
      <c r="AF507" s="1">
        <v>0</v>
      </c>
      <c r="AG507" s="1">
        <v>0</v>
      </c>
      <c r="AH507" s="1">
        <v>0</v>
      </c>
      <c r="AI507" s="1" t="s">
        <v>290</v>
      </c>
      <c r="AJ507" s="1" t="s">
        <v>410</v>
      </c>
      <c r="AK507" s="1" t="s">
        <v>17</v>
      </c>
      <c r="AL507" s="1" t="s">
        <v>65</v>
      </c>
      <c r="AM507" s="1" t="s">
        <v>292</v>
      </c>
      <c r="AN507" s="1" t="s">
        <v>21</v>
      </c>
      <c r="AO507" s="1" t="s">
        <v>293</v>
      </c>
      <c r="AP507" s="1" t="s">
        <v>281</v>
      </c>
      <c r="AQ507" s="1" t="s">
        <v>34</v>
      </c>
    </row>
    <row r="508" spans="1:43" x14ac:dyDescent="0.3">
      <c r="A508" s="1">
        <v>24864257</v>
      </c>
      <c r="B508" s="1">
        <v>25703482</v>
      </c>
      <c r="C508" s="1" t="s">
        <v>266</v>
      </c>
      <c r="D508" s="4">
        <v>46206.751608796287</v>
      </c>
      <c r="E508" s="4">
        <v>46208.313125000001</v>
      </c>
      <c r="F508" s="1" t="s">
        <v>19</v>
      </c>
      <c r="G508" s="1" t="s">
        <v>22</v>
      </c>
      <c r="H508" s="1" t="s">
        <v>1914</v>
      </c>
      <c r="I508" s="1" t="s">
        <v>15</v>
      </c>
      <c r="J508" s="1" t="s">
        <v>1915</v>
      </c>
      <c r="K508" s="1" t="s">
        <v>1266</v>
      </c>
      <c r="L508" s="1" t="s">
        <v>1266</v>
      </c>
      <c r="M508" s="4">
        <v>46204.464583333327</v>
      </c>
      <c r="N508" s="1">
        <v>19581554</v>
      </c>
      <c r="O508" s="1" t="s">
        <v>93</v>
      </c>
      <c r="P508" s="1" t="s">
        <v>342</v>
      </c>
      <c r="Q508" s="1" t="s">
        <v>303</v>
      </c>
      <c r="R508" s="1" t="s">
        <v>272</v>
      </c>
      <c r="S508" s="1" t="s">
        <v>3</v>
      </c>
      <c r="T508" s="1" t="s">
        <v>274</v>
      </c>
      <c r="U508" s="1" t="s">
        <v>171</v>
      </c>
      <c r="V508" s="1" t="s">
        <v>912</v>
      </c>
      <c r="W508" s="1" t="s">
        <v>93</v>
      </c>
      <c r="X508" s="1" t="s">
        <v>93</v>
      </c>
      <c r="Y508" s="1" t="s">
        <v>93</v>
      </c>
      <c r="Z508" s="1" t="s">
        <v>76</v>
      </c>
      <c r="AA508" s="1" t="s">
        <v>93</v>
      </c>
      <c r="AB508" s="1">
        <v>56.5</v>
      </c>
      <c r="AC508" s="1">
        <v>10.17</v>
      </c>
      <c r="AD508" s="1">
        <v>9.9499999999999993</v>
      </c>
      <c r="AE508" s="1">
        <v>0</v>
      </c>
      <c r="AF508" s="1">
        <v>0</v>
      </c>
      <c r="AG508" s="1">
        <v>0</v>
      </c>
      <c r="AH508" s="1">
        <v>0</v>
      </c>
      <c r="AI508" s="1" t="s">
        <v>1916</v>
      </c>
      <c r="AJ508" s="1" t="s">
        <v>410</v>
      </c>
      <c r="AK508" s="1" t="s">
        <v>15</v>
      </c>
      <c r="AL508" s="1" t="s">
        <v>65</v>
      </c>
      <c r="AM508" s="1" t="s">
        <v>292</v>
      </c>
      <c r="AN508" s="1" t="s">
        <v>21</v>
      </c>
      <c r="AO508" s="1" t="s">
        <v>280</v>
      </c>
      <c r="AP508" s="1" t="s">
        <v>324</v>
      </c>
      <c r="AQ508" s="1" t="s">
        <v>20</v>
      </c>
    </row>
    <row r="509" spans="1:43" x14ac:dyDescent="0.3">
      <c r="A509" s="1">
        <v>24864204</v>
      </c>
      <c r="B509" s="1">
        <v>25703424</v>
      </c>
      <c r="C509" s="1" t="s">
        <v>266</v>
      </c>
      <c r="D509" s="4">
        <v>46206.748819444438</v>
      </c>
      <c r="E509" s="4">
        <v>46206.786539351851</v>
      </c>
      <c r="F509" s="1" t="s">
        <v>22</v>
      </c>
      <c r="G509" s="1" t="s">
        <v>22</v>
      </c>
      <c r="H509" s="1" t="s">
        <v>1917</v>
      </c>
      <c r="I509" s="1" t="s">
        <v>268</v>
      </c>
      <c r="J509" s="1" t="s">
        <v>1918</v>
      </c>
      <c r="K509" s="1" t="s">
        <v>270</v>
      </c>
      <c r="L509" s="1" t="s">
        <v>270</v>
      </c>
      <c r="M509" s="4">
        <v>46206.710416666669</v>
      </c>
      <c r="N509" s="1">
        <v>7139</v>
      </c>
      <c r="O509" s="1" t="s">
        <v>93</v>
      </c>
      <c r="P509" s="1" t="s">
        <v>271</v>
      </c>
      <c r="Q509" s="1" t="s">
        <v>286</v>
      </c>
      <c r="R509" s="1" t="s">
        <v>272</v>
      </c>
      <c r="S509" s="1" t="s">
        <v>9</v>
      </c>
      <c r="T509" s="1" t="s">
        <v>274</v>
      </c>
      <c r="U509" s="1" t="s">
        <v>154</v>
      </c>
      <c r="V509" s="1" t="s">
        <v>297</v>
      </c>
      <c r="W509" s="1" t="s">
        <v>93</v>
      </c>
      <c r="X509" s="1" t="s">
        <v>93</v>
      </c>
      <c r="Y509" s="1" t="s">
        <v>93</v>
      </c>
      <c r="Z509" s="1" t="s">
        <v>48</v>
      </c>
      <c r="AA509" s="1" t="s">
        <v>93</v>
      </c>
      <c r="AB509" s="1">
        <v>1234.4601</v>
      </c>
      <c r="AC509" s="1">
        <v>0</v>
      </c>
      <c r="AD509" s="1">
        <v>0</v>
      </c>
      <c r="AE509" s="1">
        <v>0</v>
      </c>
      <c r="AF509" s="1">
        <v>0</v>
      </c>
      <c r="AG509" s="1">
        <v>185.17</v>
      </c>
      <c r="AH509" s="1">
        <v>0</v>
      </c>
      <c r="AI509" s="1" t="s">
        <v>1919</v>
      </c>
      <c r="AJ509" s="1" t="s">
        <v>410</v>
      </c>
      <c r="AK509" s="1" t="s">
        <v>13</v>
      </c>
      <c r="AL509" s="1" t="s">
        <v>65</v>
      </c>
      <c r="AM509" s="1" t="s">
        <v>292</v>
      </c>
      <c r="AN509" s="1" t="s">
        <v>21</v>
      </c>
      <c r="AO509" s="1" t="s">
        <v>293</v>
      </c>
      <c r="AP509" s="1" t="s">
        <v>281</v>
      </c>
      <c r="AQ509" s="1" t="s">
        <v>34</v>
      </c>
    </row>
    <row r="510" spans="1:43" x14ac:dyDescent="0.3">
      <c r="A510" s="1">
        <v>24862936</v>
      </c>
      <c r="B510" s="1">
        <v>25702029</v>
      </c>
      <c r="C510" s="1" t="s">
        <v>266</v>
      </c>
      <c r="D510" s="4">
        <v>46206.690937500003</v>
      </c>
      <c r="E510" s="4">
        <v>46207.158807870372</v>
      </c>
      <c r="F510" s="1" t="s">
        <v>19</v>
      </c>
      <c r="G510" s="1" t="s">
        <v>22</v>
      </c>
      <c r="H510" s="1">
        <v>23545723</v>
      </c>
      <c r="I510" s="1" t="s">
        <v>14</v>
      </c>
      <c r="J510" s="1" t="s">
        <v>1920</v>
      </c>
      <c r="K510" s="1" t="s">
        <v>547</v>
      </c>
      <c r="L510" s="1" t="s">
        <v>547</v>
      </c>
      <c r="M510" s="4">
        <v>46206.676388888889</v>
      </c>
      <c r="N510" s="1">
        <v>4716877</v>
      </c>
      <c r="O510" s="1" t="s">
        <v>93</v>
      </c>
      <c r="P510" s="1" t="s">
        <v>342</v>
      </c>
      <c r="Q510" s="1" t="s">
        <v>286</v>
      </c>
      <c r="R510" s="1" t="s">
        <v>286</v>
      </c>
      <c r="S510" s="1" t="s">
        <v>9</v>
      </c>
      <c r="T510" s="1" t="s">
        <v>274</v>
      </c>
      <c r="U510" s="1" t="s">
        <v>142</v>
      </c>
      <c r="V510" s="1" t="s">
        <v>575</v>
      </c>
      <c r="W510" s="1" t="s">
        <v>93</v>
      </c>
      <c r="X510" s="1" t="s">
        <v>93</v>
      </c>
      <c r="Y510" s="1" t="s">
        <v>93</v>
      </c>
      <c r="Z510" s="1" t="s">
        <v>50</v>
      </c>
      <c r="AA510" s="1" t="s">
        <v>93</v>
      </c>
      <c r="AB510" s="1">
        <v>255</v>
      </c>
      <c r="AC510" s="1">
        <v>0.08</v>
      </c>
      <c r="AD510" s="1">
        <v>0</v>
      </c>
      <c r="AE510" s="1">
        <v>0</v>
      </c>
      <c r="AF510" s="1">
        <v>0</v>
      </c>
      <c r="AG510" s="1">
        <v>0</v>
      </c>
      <c r="AH510" s="1">
        <v>0</v>
      </c>
      <c r="AI510" s="1" t="s">
        <v>1921</v>
      </c>
      <c r="AJ510" s="1" t="s">
        <v>410</v>
      </c>
      <c r="AK510" s="1" t="s">
        <v>14</v>
      </c>
      <c r="AL510" s="1" t="s">
        <v>65</v>
      </c>
      <c r="AM510" s="1" t="s">
        <v>292</v>
      </c>
      <c r="AN510" s="1" t="s">
        <v>21</v>
      </c>
      <c r="AO510" s="1" t="s">
        <v>293</v>
      </c>
      <c r="AP510" s="1" t="s">
        <v>281</v>
      </c>
      <c r="AQ510" s="1" t="s">
        <v>34</v>
      </c>
    </row>
    <row r="511" spans="1:43" x14ac:dyDescent="0.3">
      <c r="A511" s="1">
        <v>24862813</v>
      </c>
      <c r="B511" s="1">
        <v>25701899</v>
      </c>
      <c r="C511" s="1" t="s">
        <v>266</v>
      </c>
      <c r="D511" s="4">
        <v>46206.689745370371</v>
      </c>
      <c r="E511" s="4">
        <v>46207.154409722221</v>
      </c>
      <c r="F511" s="1" t="s">
        <v>19</v>
      </c>
      <c r="G511" s="1" t="s">
        <v>22</v>
      </c>
      <c r="H511" s="1" t="s">
        <v>1922</v>
      </c>
      <c r="I511" s="1" t="s">
        <v>14</v>
      </c>
      <c r="J511" s="1" t="s">
        <v>1923</v>
      </c>
      <c r="K511" s="1" t="s">
        <v>547</v>
      </c>
      <c r="L511" s="1" t="s">
        <v>547</v>
      </c>
      <c r="M511" s="4">
        <v>46198.810416666667</v>
      </c>
      <c r="N511" s="1">
        <v>4715329</v>
      </c>
      <c r="O511" s="1" t="s">
        <v>93</v>
      </c>
      <c r="P511" s="1" t="s">
        <v>271</v>
      </c>
      <c r="Q511" s="1" t="s">
        <v>286</v>
      </c>
      <c r="R511" s="1" t="s">
        <v>286</v>
      </c>
      <c r="S511" s="1" t="s">
        <v>9</v>
      </c>
      <c r="T511" s="1" t="s">
        <v>274</v>
      </c>
      <c r="U511" s="1" t="s">
        <v>142</v>
      </c>
      <c r="V511" s="1" t="s">
        <v>575</v>
      </c>
      <c r="W511" s="1" t="s">
        <v>93</v>
      </c>
      <c r="X511" s="1" t="s">
        <v>93</v>
      </c>
      <c r="Y511" s="1" t="s">
        <v>93</v>
      </c>
      <c r="Z511" s="1" t="s">
        <v>50</v>
      </c>
      <c r="AA511" s="1" t="s">
        <v>93</v>
      </c>
      <c r="AB511" s="1">
        <v>315</v>
      </c>
      <c r="AC511" s="1">
        <v>9.4499999999999993</v>
      </c>
      <c r="AD511" s="1">
        <v>0</v>
      </c>
      <c r="AE511" s="1">
        <v>0</v>
      </c>
      <c r="AF511" s="1">
        <v>0</v>
      </c>
      <c r="AG511" s="1">
        <v>0</v>
      </c>
      <c r="AH511" s="1">
        <v>0</v>
      </c>
      <c r="AI511" s="1" t="s">
        <v>1924</v>
      </c>
      <c r="AJ511" s="1" t="s">
        <v>410</v>
      </c>
      <c r="AK511" s="1" t="s">
        <v>14</v>
      </c>
      <c r="AL511" s="1" t="s">
        <v>65</v>
      </c>
      <c r="AM511" s="1" t="s">
        <v>292</v>
      </c>
      <c r="AN511" s="1" t="s">
        <v>21</v>
      </c>
      <c r="AO511" s="1" t="s">
        <v>293</v>
      </c>
      <c r="AP511" s="1" t="s">
        <v>281</v>
      </c>
      <c r="AQ511" s="1" t="s">
        <v>34</v>
      </c>
    </row>
    <row r="512" spans="1:43" x14ac:dyDescent="0.3">
      <c r="A512" s="1">
        <v>24864158</v>
      </c>
      <c r="B512" s="1">
        <v>25703377</v>
      </c>
      <c r="C512" s="1" t="s">
        <v>266</v>
      </c>
      <c r="D512" s="4">
        <v>46206.747349537043</v>
      </c>
      <c r="E512" s="4">
        <v>46206.783425925933</v>
      </c>
      <c r="F512" s="1" t="s">
        <v>22</v>
      </c>
      <c r="G512" s="1" t="s">
        <v>22</v>
      </c>
      <c r="H512" s="1" t="s">
        <v>1925</v>
      </c>
      <c r="I512" s="1" t="s">
        <v>268</v>
      </c>
      <c r="J512" s="1" t="s">
        <v>1926</v>
      </c>
      <c r="K512" s="1" t="s">
        <v>270</v>
      </c>
      <c r="L512" s="1" t="s">
        <v>270</v>
      </c>
      <c r="M512" s="4">
        <v>46206.515972222223</v>
      </c>
      <c r="N512" s="1">
        <v>11112</v>
      </c>
      <c r="O512" s="1" t="s">
        <v>93</v>
      </c>
      <c r="P512" s="1" t="s">
        <v>271</v>
      </c>
      <c r="Q512" s="1" t="s">
        <v>286</v>
      </c>
      <c r="R512" s="1" t="s">
        <v>286</v>
      </c>
      <c r="S512" s="1" t="s">
        <v>9</v>
      </c>
      <c r="T512" s="1" t="s">
        <v>274</v>
      </c>
      <c r="U512" s="1" t="s">
        <v>214</v>
      </c>
      <c r="V512" s="1" t="s">
        <v>1927</v>
      </c>
      <c r="W512" s="1" t="s">
        <v>93</v>
      </c>
      <c r="X512" s="1" t="s">
        <v>93</v>
      </c>
      <c r="Y512" s="1" t="s">
        <v>93</v>
      </c>
      <c r="Z512" s="1" t="s">
        <v>93</v>
      </c>
      <c r="AA512" s="1" t="s">
        <v>93</v>
      </c>
      <c r="AB512" s="1">
        <v>747.68</v>
      </c>
      <c r="AC512" s="1">
        <v>0</v>
      </c>
      <c r="AD512" s="1">
        <v>0</v>
      </c>
      <c r="AE512" s="1">
        <v>0</v>
      </c>
      <c r="AF512" s="1">
        <v>0</v>
      </c>
      <c r="AG512" s="1">
        <v>145.82</v>
      </c>
      <c r="AH512" s="1">
        <v>0</v>
      </c>
      <c r="AI512" s="1" t="s">
        <v>1928</v>
      </c>
      <c r="AJ512" s="1" t="s">
        <v>410</v>
      </c>
      <c r="AK512" s="1" t="s">
        <v>13</v>
      </c>
      <c r="AL512" s="1" t="s">
        <v>65</v>
      </c>
      <c r="AM512" s="1" t="s">
        <v>292</v>
      </c>
      <c r="AN512" s="1" t="s">
        <v>21</v>
      </c>
      <c r="AO512" s="1" t="s">
        <v>293</v>
      </c>
      <c r="AP512" s="1" t="s">
        <v>281</v>
      </c>
      <c r="AQ512" s="1" t="s">
        <v>34</v>
      </c>
    </row>
    <row r="513" spans="1:43" x14ac:dyDescent="0.3">
      <c r="A513" s="1">
        <v>24864159</v>
      </c>
      <c r="B513" s="1">
        <v>25703378</v>
      </c>
      <c r="C513" s="1" t="s">
        <v>266</v>
      </c>
      <c r="D513" s="4">
        <v>46206.747384259259</v>
      </c>
      <c r="E513" s="4">
        <v>46206.783437500002</v>
      </c>
      <c r="F513" s="1" t="s">
        <v>22</v>
      </c>
      <c r="G513" s="1" t="s">
        <v>22</v>
      </c>
      <c r="H513" s="1" t="s">
        <v>1929</v>
      </c>
      <c r="I513" s="1" t="s">
        <v>268</v>
      </c>
      <c r="J513" s="1" t="s">
        <v>1926</v>
      </c>
      <c r="K513" s="1" t="s">
        <v>270</v>
      </c>
      <c r="L513" s="1" t="s">
        <v>270</v>
      </c>
      <c r="M513" s="4">
        <v>46206.48541666667</v>
      </c>
      <c r="N513" s="1">
        <v>11111</v>
      </c>
      <c r="O513" s="1" t="s">
        <v>93</v>
      </c>
      <c r="P513" s="1" t="s">
        <v>271</v>
      </c>
      <c r="Q513" s="1" t="s">
        <v>286</v>
      </c>
      <c r="R513" s="1" t="s">
        <v>286</v>
      </c>
      <c r="S513" s="1" t="s">
        <v>9</v>
      </c>
      <c r="T513" s="1" t="s">
        <v>274</v>
      </c>
      <c r="U513" s="1" t="s">
        <v>214</v>
      </c>
      <c r="V513" s="1" t="s">
        <v>1927</v>
      </c>
      <c r="W513" s="1" t="s">
        <v>93</v>
      </c>
      <c r="X513" s="1" t="s">
        <v>93</v>
      </c>
      <c r="Y513" s="1" t="s">
        <v>93</v>
      </c>
      <c r="Z513" s="1" t="s">
        <v>93</v>
      </c>
      <c r="AA513" s="1" t="s">
        <v>93</v>
      </c>
      <c r="AB513" s="1">
        <v>361.4</v>
      </c>
      <c r="AC513" s="1">
        <v>0</v>
      </c>
      <c r="AD513" s="1">
        <v>0</v>
      </c>
      <c r="AE513" s="1">
        <v>0</v>
      </c>
      <c r="AF513" s="1">
        <v>0</v>
      </c>
      <c r="AG513" s="1">
        <v>68.67</v>
      </c>
      <c r="AH513" s="1">
        <v>0</v>
      </c>
      <c r="AI513" s="1" t="s">
        <v>1930</v>
      </c>
      <c r="AJ513" s="1" t="s">
        <v>410</v>
      </c>
      <c r="AK513" s="1" t="s">
        <v>13</v>
      </c>
      <c r="AL513" s="1" t="s">
        <v>65</v>
      </c>
      <c r="AM513" s="1" t="s">
        <v>292</v>
      </c>
      <c r="AN513" s="1" t="s">
        <v>21</v>
      </c>
      <c r="AO513" s="1" t="s">
        <v>293</v>
      </c>
      <c r="AP513" s="1" t="s">
        <v>281</v>
      </c>
      <c r="AQ513" s="1" t="s">
        <v>34</v>
      </c>
    </row>
    <row r="514" spans="1:43" x14ac:dyDescent="0.3">
      <c r="A514" s="1">
        <v>24863527</v>
      </c>
      <c r="B514" s="1">
        <v>25702680</v>
      </c>
      <c r="C514" s="1" t="s">
        <v>266</v>
      </c>
      <c r="D514" s="4">
        <v>46206.724953703713</v>
      </c>
      <c r="E514" s="4">
        <v>46206.736747685187</v>
      </c>
      <c r="F514" s="1" t="s">
        <v>22</v>
      </c>
      <c r="G514" s="1" t="s">
        <v>22</v>
      </c>
      <c r="H514" s="1" t="s">
        <v>1931</v>
      </c>
      <c r="I514" s="1" t="s">
        <v>268</v>
      </c>
      <c r="J514" s="1" t="s">
        <v>1932</v>
      </c>
      <c r="K514" s="1" t="s">
        <v>270</v>
      </c>
      <c r="L514" s="1" t="s">
        <v>270</v>
      </c>
      <c r="M514" s="4">
        <v>46206.556250000001</v>
      </c>
      <c r="N514" s="1">
        <v>17156</v>
      </c>
      <c r="O514" s="1" t="s">
        <v>1933</v>
      </c>
      <c r="P514" s="1" t="s">
        <v>271</v>
      </c>
      <c r="Q514" s="1" t="s">
        <v>303</v>
      </c>
      <c r="R514" s="1" t="s">
        <v>272</v>
      </c>
      <c r="S514" s="1" t="s">
        <v>8</v>
      </c>
      <c r="T514" s="1" t="s">
        <v>274</v>
      </c>
      <c r="U514" s="1" t="s">
        <v>150</v>
      </c>
      <c r="V514" s="1" t="s">
        <v>1934</v>
      </c>
      <c r="W514" s="1" t="s">
        <v>93</v>
      </c>
      <c r="X514" s="1" t="s">
        <v>93</v>
      </c>
      <c r="Y514" s="1" t="s">
        <v>93</v>
      </c>
      <c r="Z514" s="1" t="s">
        <v>61</v>
      </c>
      <c r="AA514" s="1" t="s">
        <v>93</v>
      </c>
      <c r="AB514" s="1">
        <v>442.38</v>
      </c>
      <c r="AC514" s="1">
        <v>0</v>
      </c>
      <c r="AD514" s="1">
        <v>0</v>
      </c>
      <c r="AE514" s="1">
        <v>0</v>
      </c>
      <c r="AF514" s="1">
        <v>0</v>
      </c>
      <c r="AG514" s="1">
        <v>0</v>
      </c>
      <c r="AH514" s="1">
        <v>0</v>
      </c>
      <c r="AI514" s="1" t="s">
        <v>1935</v>
      </c>
      <c r="AJ514" s="1" t="s">
        <v>410</v>
      </c>
      <c r="AK514" s="1" t="s">
        <v>13</v>
      </c>
      <c r="AL514" s="1" t="s">
        <v>65</v>
      </c>
      <c r="AM514" s="1" t="s">
        <v>292</v>
      </c>
      <c r="AN514" s="1" t="s">
        <v>21</v>
      </c>
      <c r="AO514" s="1" t="s">
        <v>280</v>
      </c>
      <c r="AP514" s="1" t="s">
        <v>324</v>
      </c>
      <c r="AQ514" s="1" t="s">
        <v>20</v>
      </c>
    </row>
    <row r="515" spans="1:43" x14ac:dyDescent="0.3">
      <c r="A515" s="1">
        <v>24863533</v>
      </c>
      <c r="B515" s="1">
        <v>25702685</v>
      </c>
      <c r="C515" s="1" t="s">
        <v>266</v>
      </c>
      <c r="D515" s="4">
        <v>46206.725127314807</v>
      </c>
      <c r="E515" s="4">
        <v>46206.736898148149</v>
      </c>
      <c r="F515" s="1" t="s">
        <v>22</v>
      </c>
      <c r="G515" s="1" t="s">
        <v>22</v>
      </c>
      <c r="H515" s="1" t="s">
        <v>1936</v>
      </c>
      <c r="I515" s="1" t="s">
        <v>268</v>
      </c>
      <c r="J515" s="1" t="s">
        <v>1937</v>
      </c>
      <c r="K515" s="1" t="s">
        <v>270</v>
      </c>
      <c r="L515" s="1" t="s">
        <v>270</v>
      </c>
      <c r="M515" s="4">
        <v>46206.670138888891</v>
      </c>
      <c r="N515" s="1">
        <v>17140</v>
      </c>
      <c r="O515" s="1" t="s">
        <v>1360</v>
      </c>
      <c r="P515" s="1" t="s">
        <v>271</v>
      </c>
      <c r="Q515" s="1" t="s">
        <v>303</v>
      </c>
      <c r="R515" s="1" t="s">
        <v>272</v>
      </c>
      <c r="S515" s="1" t="s">
        <v>8</v>
      </c>
      <c r="T515" s="1" t="s">
        <v>274</v>
      </c>
      <c r="U515" s="1" t="s">
        <v>150</v>
      </c>
      <c r="V515" s="1" t="s">
        <v>1934</v>
      </c>
      <c r="W515" s="1" t="s">
        <v>93</v>
      </c>
      <c r="X515" s="1" t="s">
        <v>93</v>
      </c>
      <c r="Y515" s="1" t="s">
        <v>93</v>
      </c>
      <c r="Z515" s="1" t="s">
        <v>61</v>
      </c>
      <c r="AA515" s="1" t="s">
        <v>93</v>
      </c>
      <c r="AB515" s="1">
        <v>768.5</v>
      </c>
      <c r="AC515" s="1">
        <v>0</v>
      </c>
      <c r="AD515" s="1">
        <v>0</v>
      </c>
      <c r="AE515" s="1">
        <v>0</v>
      </c>
      <c r="AF515" s="1">
        <v>0</v>
      </c>
      <c r="AG515" s="1">
        <v>0</v>
      </c>
      <c r="AH515" s="1">
        <v>0</v>
      </c>
      <c r="AI515" s="1" t="s">
        <v>1938</v>
      </c>
      <c r="AJ515" s="1" t="s">
        <v>410</v>
      </c>
      <c r="AK515" s="1" t="s">
        <v>13</v>
      </c>
      <c r="AL515" s="1" t="s">
        <v>65</v>
      </c>
      <c r="AM515" s="1" t="s">
        <v>292</v>
      </c>
      <c r="AN515" s="1" t="s">
        <v>21</v>
      </c>
      <c r="AO515" s="1" t="s">
        <v>280</v>
      </c>
      <c r="AP515" s="1" t="s">
        <v>324</v>
      </c>
      <c r="AQ515" s="1" t="s">
        <v>20</v>
      </c>
    </row>
    <row r="516" spans="1:43" x14ac:dyDescent="0.3">
      <c r="A516" s="1">
        <v>24868362</v>
      </c>
      <c r="B516" s="1">
        <v>25708190</v>
      </c>
      <c r="C516" s="1" t="s">
        <v>266</v>
      </c>
      <c r="D516" s="4">
        <v>46207.734525462962</v>
      </c>
      <c r="E516" s="4">
        <v>46207.737233796302</v>
      </c>
      <c r="F516" s="1" t="s">
        <v>19</v>
      </c>
      <c r="G516" s="1" t="s">
        <v>19</v>
      </c>
      <c r="H516" s="1" t="s">
        <v>1939</v>
      </c>
      <c r="I516" s="1" t="s">
        <v>268</v>
      </c>
      <c r="J516" s="1" t="s">
        <v>1940</v>
      </c>
      <c r="K516" s="1" t="s">
        <v>270</v>
      </c>
      <c r="L516" s="1" t="s">
        <v>270</v>
      </c>
      <c r="M516" s="4">
        <v>46207.594444444447</v>
      </c>
      <c r="N516" s="1">
        <v>17193</v>
      </c>
      <c r="O516" s="1" t="s">
        <v>93</v>
      </c>
      <c r="P516" s="1" t="s">
        <v>271</v>
      </c>
      <c r="Q516" s="1" t="s">
        <v>286</v>
      </c>
      <c r="R516" s="1" t="s">
        <v>286</v>
      </c>
      <c r="S516" s="1" t="s">
        <v>9</v>
      </c>
      <c r="T516" s="1" t="s">
        <v>274</v>
      </c>
      <c r="U516" s="1" t="s">
        <v>150</v>
      </c>
      <c r="V516" s="1" t="s">
        <v>1934</v>
      </c>
      <c r="W516" s="1" t="s">
        <v>93</v>
      </c>
      <c r="X516" s="1" t="s">
        <v>93</v>
      </c>
      <c r="Y516" s="1" t="s">
        <v>93</v>
      </c>
      <c r="Z516" s="1" t="s">
        <v>61</v>
      </c>
      <c r="AA516" s="1" t="s">
        <v>93</v>
      </c>
      <c r="AB516" s="1">
        <v>1122.1600000000001</v>
      </c>
      <c r="AC516" s="1">
        <v>0</v>
      </c>
      <c r="AD516" s="1">
        <v>0</v>
      </c>
      <c r="AE516" s="1">
        <v>0</v>
      </c>
      <c r="AF516" s="1">
        <v>0</v>
      </c>
      <c r="AG516" s="1">
        <v>0</v>
      </c>
      <c r="AH516" s="1">
        <v>0</v>
      </c>
      <c r="AI516" s="1" t="s">
        <v>1941</v>
      </c>
      <c r="AJ516" s="1" t="s">
        <v>410</v>
      </c>
      <c r="AK516" s="1" t="s">
        <v>13</v>
      </c>
      <c r="AL516" s="1" t="s">
        <v>65</v>
      </c>
      <c r="AM516" s="1" t="s">
        <v>292</v>
      </c>
      <c r="AN516" s="1" t="s">
        <v>21</v>
      </c>
      <c r="AO516" s="1" t="s">
        <v>293</v>
      </c>
      <c r="AP516" s="1" t="s">
        <v>281</v>
      </c>
      <c r="AQ516" s="1" t="s">
        <v>34</v>
      </c>
    </row>
    <row r="517" spans="1:43" x14ac:dyDescent="0.3">
      <c r="A517" s="1">
        <v>24863528</v>
      </c>
      <c r="B517" s="1">
        <v>25702681</v>
      </c>
      <c r="C517" s="1" t="s">
        <v>266</v>
      </c>
      <c r="D517" s="4">
        <v>46206.724988425929</v>
      </c>
      <c r="E517" s="4">
        <v>46206.736747685187</v>
      </c>
      <c r="F517" s="1" t="s">
        <v>22</v>
      </c>
      <c r="G517" s="1" t="s">
        <v>22</v>
      </c>
      <c r="H517" s="1" t="s">
        <v>1942</v>
      </c>
      <c r="I517" s="1" t="s">
        <v>268</v>
      </c>
      <c r="J517" s="1" t="s">
        <v>1943</v>
      </c>
      <c r="K517" s="1" t="s">
        <v>270</v>
      </c>
      <c r="L517" s="1" t="s">
        <v>270</v>
      </c>
      <c r="M517" s="4">
        <v>46206.688194444447</v>
      </c>
      <c r="N517" s="1">
        <v>17154</v>
      </c>
      <c r="O517" s="1" t="s">
        <v>1790</v>
      </c>
      <c r="P517" s="1" t="s">
        <v>271</v>
      </c>
      <c r="Q517" s="1" t="s">
        <v>303</v>
      </c>
      <c r="R517" s="1" t="s">
        <v>272</v>
      </c>
      <c r="S517" s="1" t="s">
        <v>8</v>
      </c>
      <c r="T517" s="1" t="s">
        <v>274</v>
      </c>
      <c r="U517" s="1" t="s">
        <v>150</v>
      </c>
      <c r="V517" s="1" t="s">
        <v>1402</v>
      </c>
      <c r="W517" s="1" t="s">
        <v>93</v>
      </c>
      <c r="X517" s="1" t="s">
        <v>93</v>
      </c>
      <c r="Y517" s="1" t="s">
        <v>93</v>
      </c>
      <c r="Z517" s="1" t="s">
        <v>61</v>
      </c>
      <c r="AA517" s="1" t="s">
        <v>93</v>
      </c>
      <c r="AB517" s="1">
        <v>1310.6199999999999</v>
      </c>
      <c r="AC517" s="1">
        <v>0</v>
      </c>
      <c r="AD517" s="1">
        <v>0</v>
      </c>
      <c r="AE517" s="1">
        <v>0</v>
      </c>
      <c r="AF517" s="1">
        <v>0</v>
      </c>
      <c r="AG517" s="1">
        <v>0</v>
      </c>
      <c r="AH517" s="1">
        <v>0</v>
      </c>
      <c r="AI517" s="1" t="s">
        <v>1944</v>
      </c>
      <c r="AJ517" s="1" t="s">
        <v>410</v>
      </c>
      <c r="AK517" s="1" t="s">
        <v>13</v>
      </c>
      <c r="AL517" s="1" t="s">
        <v>65</v>
      </c>
      <c r="AM517" s="1" t="s">
        <v>292</v>
      </c>
      <c r="AN517" s="1" t="s">
        <v>21</v>
      </c>
      <c r="AO517" s="1" t="s">
        <v>280</v>
      </c>
      <c r="AP517" s="1" t="s">
        <v>324</v>
      </c>
      <c r="AQ517" s="1" t="s">
        <v>20</v>
      </c>
    </row>
    <row r="518" spans="1:43" x14ac:dyDescent="0.3">
      <c r="A518" s="1">
        <v>24863532</v>
      </c>
      <c r="B518" s="1">
        <v>25702684</v>
      </c>
      <c r="C518" s="1" t="s">
        <v>266</v>
      </c>
      <c r="D518" s="4">
        <v>46206.725092592591</v>
      </c>
      <c r="E518" s="4">
        <v>46206.736898148149</v>
      </c>
      <c r="F518" s="1" t="s">
        <v>22</v>
      </c>
      <c r="G518" s="1" t="s">
        <v>22</v>
      </c>
      <c r="H518" s="1" t="s">
        <v>1945</v>
      </c>
      <c r="I518" s="1" t="s">
        <v>268</v>
      </c>
      <c r="J518" s="1" t="s">
        <v>1946</v>
      </c>
      <c r="K518" s="1" t="s">
        <v>270</v>
      </c>
      <c r="L518" s="1" t="s">
        <v>270</v>
      </c>
      <c r="M518" s="4">
        <v>46206.688888888893</v>
      </c>
      <c r="N518" s="1">
        <v>17145</v>
      </c>
      <c r="O518" s="1" t="s">
        <v>1947</v>
      </c>
      <c r="P518" s="1" t="s">
        <v>271</v>
      </c>
      <c r="Q518" s="1" t="s">
        <v>303</v>
      </c>
      <c r="R518" s="1" t="s">
        <v>272</v>
      </c>
      <c r="S518" s="1" t="s">
        <v>8</v>
      </c>
      <c r="T518" s="1" t="s">
        <v>274</v>
      </c>
      <c r="U518" s="1" t="s">
        <v>150</v>
      </c>
      <c r="V518" s="1" t="s">
        <v>1402</v>
      </c>
      <c r="W518" s="1" t="s">
        <v>93</v>
      </c>
      <c r="X518" s="1" t="s">
        <v>93</v>
      </c>
      <c r="Y518" s="1" t="s">
        <v>93</v>
      </c>
      <c r="Z518" s="1" t="s">
        <v>61</v>
      </c>
      <c r="AA518" s="1" t="s">
        <v>93</v>
      </c>
      <c r="AB518" s="1">
        <v>202.85</v>
      </c>
      <c r="AC518" s="1">
        <v>0</v>
      </c>
      <c r="AD518" s="1">
        <v>0</v>
      </c>
      <c r="AE518" s="1">
        <v>0</v>
      </c>
      <c r="AF518" s="1">
        <v>0</v>
      </c>
      <c r="AG518" s="1">
        <v>0</v>
      </c>
      <c r="AH518" s="1">
        <v>0</v>
      </c>
      <c r="AI518" s="1" t="s">
        <v>1948</v>
      </c>
      <c r="AJ518" s="1" t="s">
        <v>410</v>
      </c>
      <c r="AK518" s="1" t="s">
        <v>13</v>
      </c>
      <c r="AL518" s="1" t="s">
        <v>65</v>
      </c>
      <c r="AM518" s="1" t="s">
        <v>292</v>
      </c>
      <c r="AN518" s="1" t="s">
        <v>21</v>
      </c>
      <c r="AO518" s="1" t="s">
        <v>280</v>
      </c>
      <c r="AP518" s="1" t="s">
        <v>324</v>
      </c>
      <c r="AQ518" s="1" t="s">
        <v>20</v>
      </c>
    </row>
    <row r="519" spans="1:43" x14ac:dyDescent="0.3">
      <c r="A519" s="1">
        <v>24863880</v>
      </c>
      <c r="B519" s="1">
        <v>25703079</v>
      </c>
      <c r="C519" s="1" t="s">
        <v>266</v>
      </c>
      <c r="D519" s="4">
        <v>46206.737638888888</v>
      </c>
      <c r="E519" s="4">
        <v>46206.761770833327</v>
      </c>
      <c r="F519" s="1" t="s">
        <v>22</v>
      </c>
      <c r="G519" s="1" t="s">
        <v>22</v>
      </c>
      <c r="H519" s="1" t="s">
        <v>1949</v>
      </c>
      <c r="I519" s="1" t="s">
        <v>268</v>
      </c>
      <c r="J519" s="1" t="s">
        <v>1950</v>
      </c>
      <c r="K519" s="1" t="s">
        <v>988</v>
      </c>
      <c r="L519" s="1" t="s">
        <v>988</v>
      </c>
      <c r="M519" s="4">
        <v>46206.658333333333</v>
      </c>
      <c r="N519" s="1">
        <v>68973</v>
      </c>
      <c r="O519" s="1" t="s">
        <v>1951</v>
      </c>
      <c r="P519" s="1" t="s">
        <v>342</v>
      </c>
      <c r="Q519" s="1" t="s">
        <v>303</v>
      </c>
      <c r="R519" s="1" t="s">
        <v>272</v>
      </c>
      <c r="S519" s="1" t="s">
        <v>8</v>
      </c>
      <c r="T519" s="1" t="s">
        <v>274</v>
      </c>
      <c r="U519" s="1" t="s">
        <v>146</v>
      </c>
      <c r="V519" s="1" t="s">
        <v>1952</v>
      </c>
      <c r="W519" s="1" t="s">
        <v>93</v>
      </c>
      <c r="X519" s="1" t="s">
        <v>93</v>
      </c>
      <c r="Y519" s="1" t="s">
        <v>93</v>
      </c>
      <c r="Z519" s="1" t="s">
        <v>57</v>
      </c>
      <c r="AA519" s="1" t="s">
        <v>93</v>
      </c>
      <c r="AB519" s="1">
        <v>6289.01</v>
      </c>
      <c r="AC519" s="1">
        <v>0</v>
      </c>
      <c r="AD519" s="1">
        <v>1587</v>
      </c>
      <c r="AE519" s="1">
        <v>0</v>
      </c>
      <c r="AF519" s="1">
        <v>0</v>
      </c>
      <c r="AG519" s="1">
        <v>0</v>
      </c>
      <c r="AH519" s="1">
        <v>0</v>
      </c>
      <c r="AI519" s="1" t="s">
        <v>1953</v>
      </c>
      <c r="AJ519" s="1" t="s">
        <v>410</v>
      </c>
      <c r="AK519" s="1" t="s">
        <v>13</v>
      </c>
      <c r="AL519" s="1" t="s">
        <v>65</v>
      </c>
      <c r="AM519" s="1" t="s">
        <v>292</v>
      </c>
      <c r="AN519" s="1" t="s">
        <v>21</v>
      </c>
      <c r="AO519" s="1" t="s">
        <v>280</v>
      </c>
      <c r="AP519" s="1" t="s">
        <v>324</v>
      </c>
      <c r="AQ519" s="1" t="s">
        <v>20</v>
      </c>
    </row>
    <row r="520" spans="1:43" x14ac:dyDescent="0.3">
      <c r="A520" s="1">
        <v>24863861</v>
      </c>
      <c r="B520" s="1">
        <v>25703060</v>
      </c>
      <c r="C520" s="1" t="s">
        <v>266</v>
      </c>
      <c r="D520" s="4">
        <v>46206.736793981479</v>
      </c>
      <c r="E520" s="4">
        <v>46206.760810185187</v>
      </c>
      <c r="F520" s="1" t="s">
        <v>22</v>
      </c>
      <c r="G520" s="1" t="s">
        <v>22</v>
      </c>
      <c r="H520" s="1" t="s">
        <v>1954</v>
      </c>
      <c r="I520" s="1" t="s">
        <v>268</v>
      </c>
      <c r="J520" s="1" t="s">
        <v>1955</v>
      </c>
      <c r="K520" s="1" t="s">
        <v>270</v>
      </c>
      <c r="L520" s="1" t="s">
        <v>270</v>
      </c>
      <c r="M520" s="4">
        <v>46206.598611111112</v>
      </c>
      <c r="N520" s="1">
        <v>68993</v>
      </c>
      <c r="O520" s="1" t="s">
        <v>1956</v>
      </c>
      <c r="P520" s="1" t="s">
        <v>271</v>
      </c>
      <c r="Q520" s="1" t="s">
        <v>303</v>
      </c>
      <c r="R520" s="1" t="s">
        <v>272</v>
      </c>
      <c r="S520" s="1" t="s">
        <v>8</v>
      </c>
      <c r="T520" s="1" t="s">
        <v>274</v>
      </c>
      <c r="U520" s="1" t="s">
        <v>146</v>
      </c>
      <c r="V520" s="1" t="s">
        <v>990</v>
      </c>
      <c r="W520" s="1" t="s">
        <v>93</v>
      </c>
      <c r="X520" s="1" t="s">
        <v>93</v>
      </c>
      <c r="Y520" s="1" t="s">
        <v>93</v>
      </c>
      <c r="Z520" s="1" t="s">
        <v>57</v>
      </c>
      <c r="AA520" s="1" t="s">
        <v>93</v>
      </c>
      <c r="AB520" s="1">
        <v>1499.0001</v>
      </c>
      <c r="AC520" s="1">
        <v>0</v>
      </c>
      <c r="AD520" s="1">
        <v>0</v>
      </c>
      <c r="AE520" s="1">
        <v>0</v>
      </c>
      <c r="AF520" s="1">
        <v>0</v>
      </c>
      <c r="AG520" s="1">
        <v>0</v>
      </c>
      <c r="AH520" s="1">
        <v>0</v>
      </c>
      <c r="AI520" s="1" t="s">
        <v>1957</v>
      </c>
      <c r="AJ520" s="1" t="s">
        <v>410</v>
      </c>
      <c r="AK520" s="1" t="s">
        <v>13</v>
      </c>
      <c r="AL520" s="1" t="s">
        <v>65</v>
      </c>
      <c r="AM520" s="1" t="s">
        <v>292</v>
      </c>
      <c r="AN520" s="1" t="s">
        <v>21</v>
      </c>
      <c r="AO520" s="1" t="s">
        <v>280</v>
      </c>
      <c r="AP520" s="1" t="s">
        <v>324</v>
      </c>
      <c r="AQ520" s="1" t="s">
        <v>20</v>
      </c>
    </row>
    <row r="521" spans="1:43" x14ac:dyDescent="0.3">
      <c r="A521" s="1">
        <v>24863862</v>
      </c>
      <c r="B521" s="1">
        <v>25703061</v>
      </c>
      <c r="C521" s="1" t="s">
        <v>266</v>
      </c>
      <c r="D521" s="4">
        <v>46206.736828703702</v>
      </c>
      <c r="E521" s="4">
        <v>46206.760810185187</v>
      </c>
      <c r="F521" s="1" t="s">
        <v>22</v>
      </c>
      <c r="G521" s="1" t="s">
        <v>22</v>
      </c>
      <c r="H521" s="1" t="s">
        <v>1958</v>
      </c>
      <c r="I521" s="1" t="s">
        <v>268</v>
      </c>
      <c r="J521" s="1" t="s">
        <v>1959</v>
      </c>
      <c r="K521" s="1" t="s">
        <v>270</v>
      </c>
      <c r="L521" s="1" t="s">
        <v>270</v>
      </c>
      <c r="M521" s="4">
        <v>46206.650694444441</v>
      </c>
      <c r="N521" s="1">
        <v>68990</v>
      </c>
      <c r="O521" s="1" t="s">
        <v>855</v>
      </c>
      <c r="P521" s="1" t="s">
        <v>271</v>
      </c>
      <c r="Q521" s="1" t="s">
        <v>303</v>
      </c>
      <c r="R521" s="1" t="s">
        <v>272</v>
      </c>
      <c r="S521" s="1" t="s">
        <v>8</v>
      </c>
      <c r="T521" s="1" t="s">
        <v>274</v>
      </c>
      <c r="U521" s="1" t="s">
        <v>146</v>
      </c>
      <c r="V521" s="1" t="s">
        <v>990</v>
      </c>
      <c r="W521" s="1" t="s">
        <v>93</v>
      </c>
      <c r="X521" s="1" t="s">
        <v>93</v>
      </c>
      <c r="Y521" s="1" t="s">
        <v>93</v>
      </c>
      <c r="Z521" s="1" t="s">
        <v>57</v>
      </c>
      <c r="AA521" s="1" t="s">
        <v>93</v>
      </c>
      <c r="AB521" s="1">
        <v>705.71199999999999</v>
      </c>
      <c r="AC521" s="1">
        <v>0</v>
      </c>
      <c r="AD521" s="1">
        <v>0</v>
      </c>
      <c r="AE521" s="1">
        <v>0</v>
      </c>
      <c r="AF521" s="1">
        <v>0</v>
      </c>
      <c r="AG521" s="1">
        <v>0</v>
      </c>
      <c r="AH521" s="1">
        <v>0</v>
      </c>
      <c r="AI521" s="1" t="s">
        <v>1960</v>
      </c>
      <c r="AJ521" s="1" t="s">
        <v>410</v>
      </c>
      <c r="AK521" s="1" t="s">
        <v>13</v>
      </c>
      <c r="AL521" s="1" t="s">
        <v>65</v>
      </c>
      <c r="AM521" s="1" t="s">
        <v>292</v>
      </c>
      <c r="AN521" s="1" t="s">
        <v>21</v>
      </c>
      <c r="AO521" s="1" t="s">
        <v>280</v>
      </c>
      <c r="AP521" s="1" t="s">
        <v>324</v>
      </c>
      <c r="AQ521" s="1" t="s">
        <v>20</v>
      </c>
    </row>
    <row r="522" spans="1:43" x14ac:dyDescent="0.3">
      <c r="A522" s="1">
        <v>24863863</v>
      </c>
      <c r="B522" s="1">
        <v>25703062</v>
      </c>
      <c r="C522" s="1" t="s">
        <v>266</v>
      </c>
      <c r="D522" s="4">
        <v>46206.736863425933</v>
      </c>
      <c r="E522" s="4">
        <v>46206.760821759257</v>
      </c>
      <c r="F522" s="1" t="s">
        <v>22</v>
      </c>
      <c r="G522" s="1" t="s">
        <v>22</v>
      </c>
      <c r="H522" s="1" t="s">
        <v>1961</v>
      </c>
      <c r="I522" s="1" t="s">
        <v>268</v>
      </c>
      <c r="J522" s="1" t="s">
        <v>1962</v>
      </c>
      <c r="K522" s="1" t="s">
        <v>270</v>
      </c>
      <c r="L522" s="1" t="s">
        <v>270</v>
      </c>
      <c r="M522" s="4">
        <v>46206.584027777782</v>
      </c>
      <c r="N522" s="1">
        <v>68989</v>
      </c>
      <c r="O522" s="1" t="s">
        <v>1963</v>
      </c>
      <c r="P522" s="1" t="s">
        <v>271</v>
      </c>
      <c r="Q522" s="1" t="s">
        <v>303</v>
      </c>
      <c r="R522" s="1" t="s">
        <v>272</v>
      </c>
      <c r="S522" s="1" t="s">
        <v>8</v>
      </c>
      <c r="T522" s="1" t="s">
        <v>274</v>
      </c>
      <c r="U522" s="1" t="s">
        <v>146</v>
      </c>
      <c r="V522" s="1" t="s">
        <v>990</v>
      </c>
      <c r="W522" s="1" t="s">
        <v>93</v>
      </c>
      <c r="X522" s="1" t="s">
        <v>93</v>
      </c>
      <c r="Y522" s="1" t="s">
        <v>93</v>
      </c>
      <c r="Z522" s="1" t="s">
        <v>57</v>
      </c>
      <c r="AA522" s="1" t="s">
        <v>93</v>
      </c>
      <c r="AB522" s="1">
        <v>626.49</v>
      </c>
      <c r="AC522" s="1">
        <v>0</v>
      </c>
      <c r="AD522" s="1">
        <v>0</v>
      </c>
      <c r="AE522" s="1">
        <v>0</v>
      </c>
      <c r="AF522" s="1">
        <v>0</v>
      </c>
      <c r="AG522" s="1">
        <v>0</v>
      </c>
      <c r="AH522" s="1">
        <v>0</v>
      </c>
      <c r="AI522" s="1" t="s">
        <v>1964</v>
      </c>
      <c r="AJ522" s="1" t="s">
        <v>410</v>
      </c>
      <c r="AK522" s="1" t="s">
        <v>13</v>
      </c>
      <c r="AL522" s="1" t="s">
        <v>65</v>
      </c>
      <c r="AM522" s="1" t="s">
        <v>292</v>
      </c>
      <c r="AN522" s="1" t="s">
        <v>21</v>
      </c>
      <c r="AO522" s="1" t="s">
        <v>280</v>
      </c>
      <c r="AP522" s="1" t="s">
        <v>324</v>
      </c>
      <c r="AQ522" s="1" t="s">
        <v>20</v>
      </c>
    </row>
    <row r="523" spans="1:43" x14ac:dyDescent="0.3">
      <c r="A523" s="1">
        <v>24863867</v>
      </c>
      <c r="B523" s="1">
        <v>25703067</v>
      </c>
      <c r="C523" s="1" t="s">
        <v>266</v>
      </c>
      <c r="D523" s="4">
        <v>46206.737002314818</v>
      </c>
      <c r="E523" s="4">
        <v>46206.76121527778</v>
      </c>
      <c r="F523" s="1" t="s">
        <v>22</v>
      </c>
      <c r="G523" s="1" t="s">
        <v>22</v>
      </c>
      <c r="H523" s="1" t="s">
        <v>1965</v>
      </c>
      <c r="I523" s="1" t="s">
        <v>268</v>
      </c>
      <c r="J523" s="1" t="s">
        <v>1966</v>
      </c>
      <c r="K523" s="1" t="s">
        <v>270</v>
      </c>
      <c r="L523" s="1" t="s">
        <v>270</v>
      </c>
      <c r="M523" s="4">
        <v>46206.578472222223</v>
      </c>
      <c r="N523" s="1">
        <v>68985</v>
      </c>
      <c r="O523" s="1" t="s">
        <v>1963</v>
      </c>
      <c r="P523" s="1" t="s">
        <v>271</v>
      </c>
      <c r="Q523" s="1" t="s">
        <v>303</v>
      </c>
      <c r="R523" s="1" t="s">
        <v>272</v>
      </c>
      <c r="S523" s="1" t="s">
        <v>8</v>
      </c>
      <c r="T523" s="1" t="s">
        <v>274</v>
      </c>
      <c r="U523" s="1" t="s">
        <v>146</v>
      </c>
      <c r="V523" s="1" t="s">
        <v>990</v>
      </c>
      <c r="W523" s="1" t="s">
        <v>93</v>
      </c>
      <c r="X523" s="1" t="s">
        <v>93</v>
      </c>
      <c r="Y523" s="1" t="s">
        <v>93</v>
      </c>
      <c r="Z523" s="1" t="s">
        <v>57</v>
      </c>
      <c r="AA523" s="1" t="s">
        <v>93</v>
      </c>
      <c r="AB523" s="1">
        <v>696.05600000000004</v>
      </c>
      <c r="AC523" s="1">
        <v>0</v>
      </c>
      <c r="AD523" s="1">
        <v>0</v>
      </c>
      <c r="AE523" s="1">
        <v>0</v>
      </c>
      <c r="AF523" s="1">
        <v>0</v>
      </c>
      <c r="AG523" s="1">
        <v>0</v>
      </c>
      <c r="AH523" s="1">
        <v>0</v>
      </c>
      <c r="AI523" s="1" t="s">
        <v>1967</v>
      </c>
      <c r="AJ523" s="1" t="s">
        <v>410</v>
      </c>
      <c r="AK523" s="1" t="s">
        <v>13</v>
      </c>
      <c r="AL523" s="1" t="s">
        <v>65</v>
      </c>
      <c r="AM523" s="1" t="s">
        <v>292</v>
      </c>
      <c r="AN523" s="1" t="s">
        <v>21</v>
      </c>
      <c r="AO523" s="1" t="s">
        <v>280</v>
      </c>
      <c r="AP523" s="1" t="s">
        <v>324</v>
      </c>
      <c r="AQ523" s="1" t="s">
        <v>20</v>
      </c>
    </row>
    <row r="524" spans="1:43" x14ac:dyDescent="0.3">
      <c r="A524" s="1">
        <v>24863872</v>
      </c>
      <c r="B524" s="1">
        <v>25703072</v>
      </c>
      <c r="C524" s="1" t="s">
        <v>266</v>
      </c>
      <c r="D524" s="4">
        <v>46206.737245370372</v>
      </c>
      <c r="E524" s="4">
        <v>46206.761631944442</v>
      </c>
      <c r="F524" s="1" t="s">
        <v>22</v>
      </c>
      <c r="G524" s="1" t="s">
        <v>22</v>
      </c>
      <c r="H524" s="1" t="s">
        <v>1968</v>
      </c>
      <c r="I524" s="1" t="s">
        <v>268</v>
      </c>
      <c r="J524" s="1" t="s">
        <v>1969</v>
      </c>
      <c r="K524" s="1" t="s">
        <v>270</v>
      </c>
      <c r="L524" s="1" t="s">
        <v>270</v>
      </c>
      <c r="M524" s="4">
        <v>46206.567361111112</v>
      </c>
      <c r="N524" s="1">
        <v>68980</v>
      </c>
      <c r="O524" s="1" t="s">
        <v>1963</v>
      </c>
      <c r="P524" s="1" t="s">
        <v>271</v>
      </c>
      <c r="Q524" s="1" t="s">
        <v>303</v>
      </c>
      <c r="R524" s="1" t="s">
        <v>272</v>
      </c>
      <c r="S524" s="1" t="s">
        <v>8</v>
      </c>
      <c r="T524" s="1" t="s">
        <v>274</v>
      </c>
      <c r="U524" s="1" t="s">
        <v>146</v>
      </c>
      <c r="V524" s="1" t="s">
        <v>990</v>
      </c>
      <c r="W524" s="1" t="s">
        <v>93</v>
      </c>
      <c r="X524" s="1" t="s">
        <v>93</v>
      </c>
      <c r="Y524" s="1" t="s">
        <v>93</v>
      </c>
      <c r="Z524" s="1" t="s">
        <v>57</v>
      </c>
      <c r="AA524" s="1" t="s">
        <v>93</v>
      </c>
      <c r="AB524" s="1">
        <v>461.98</v>
      </c>
      <c r="AC524" s="1">
        <v>0</v>
      </c>
      <c r="AD524" s="1">
        <v>0</v>
      </c>
      <c r="AE524" s="1">
        <v>0</v>
      </c>
      <c r="AF524" s="1">
        <v>0</v>
      </c>
      <c r="AG524" s="1">
        <v>0</v>
      </c>
      <c r="AH524" s="1">
        <v>0</v>
      </c>
      <c r="AI524" s="1" t="s">
        <v>1970</v>
      </c>
      <c r="AJ524" s="1" t="s">
        <v>410</v>
      </c>
      <c r="AK524" s="1" t="s">
        <v>13</v>
      </c>
      <c r="AL524" s="1" t="s">
        <v>65</v>
      </c>
      <c r="AM524" s="1" t="s">
        <v>292</v>
      </c>
      <c r="AN524" s="1" t="s">
        <v>21</v>
      </c>
      <c r="AO524" s="1" t="s">
        <v>280</v>
      </c>
      <c r="AP524" s="1" t="s">
        <v>324</v>
      </c>
      <c r="AQ524" s="1" t="s">
        <v>20</v>
      </c>
    </row>
    <row r="525" spans="1:43" x14ac:dyDescent="0.3">
      <c r="A525" s="1">
        <v>24863879</v>
      </c>
      <c r="B525" s="1">
        <v>25703078</v>
      </c>
      <c r="C525" s="1" t="s">
        <v>266</v>
      </c>
      <c r="D525" s="4">
        <v>46206.737604166658</v>
      </c>
      <c r="E525" s="4">
        <v>46206.761770833327</v>
      </c>
      <c r="F525" s="1" t="s">
        <v>22</v>
      </c>
      <c r="G525" s="1" t="s">
        <v>22</v>
      </c>
      <c r="H525" s="1" t="s">
        <v>1971</v>
      </c>
      <c r="I525" s="1" t="s">
        <v>268</v>
      </c>
      <c r="J525" s="1" t="s">
        <v>1972</v>
      </c>
      <c r="K525" s="1" t="s">
        <v>270</v>
      </c>
      <c r="L525" s="1" t="s">
        <v>270</v>
      </c>
      <c r="M525" s="4">
        <v>46206.587500000001</v>
      </c>
      <c r="N525" s="1">
        <v>68974</v>
      </c>
      <c r="O525" s="1" t="s">
        <v>1963</v>
      </c>
      <c r="P525" s="1" t="s">
        <v>271</v>
      </c>
      <c r="Q525" s="1" t="s">
        <v>303</v>
      </c>
      <c r="R525" s="1" t="s">
        <v>272</v>
      </c>
      <c r="S525" s="1" t="s">
        <v>8</v>
      </c>
      <c r="T525" s="1" t="s">
        <v>274</v>
      </c>
      <c r="U525" s="1" t="s">
        <v>146</v>
      </c>
      <c r="V525" s="1" t="s">
        <v>990</v>
      </c>
      <c r="W525" s="1" t="s">
        <v>93</v>
      </c>
      <c r="X525" s="1" t="s">
        <v>93</v>
      </c>
      <c r="Y525" s="1" t="s">
        <v>93</v>
      </c>
      <c r="Z525" s="1" t="s">
        <v>57</v>
      </c>
      <c r="AA525" s="1" t="s">
        <v>93</v>
      </c>
      <c r="AB525" s="1">
        <v>180.51499999999999</v>
      </c>
      <c r="AC525" s="1">
        <v>0</v>
      </c>
      <c r="AD525" s="1">
        <v>0</v>
      </c>
      <c r="AE525" s="1">
        <v>0</v>
      </c>
      <c r="AF525" s="1">
        <v>0</v>
      </c>
      <c r="AG525" s="1">
        <v>0</v>
      </c>
      <c r="AH525" s="1">
        <v>0</v>
      </c>
      <c r="AI525" s="1" t="s">
        <v>1973</v>
      </c>
      <c r="AJ525" s="1" t="s">
        <v>410</v>
      </c>
      <c r="AK525" s="1" t="s">
        <v>13</v>
      </c>
      <c r="AL525" s="1" t="s">
        <v>65</v>
      </c>
      <c r="AM525" s="1" t="s">
        <v>292</v>
      </c>
      <c r="AN525" s="1" t="s">
        <v>21</v>
      </c>
      <c r="AO525" s="1" t="s">
        <v>280</v>
      </c>
      <c r="AP525" s="1" t="s">
        <v>324</v>
      </c>
      <c r="AQ525" s="1" t="s">
        <v>20</v>
      </c>
    </row>
    <row r="526" spans="1:43" x14ac:dyDescent="0.3">
      <c r="A526" s="1">
        <v>24863883</v>
      </c>
      <c r="B526" s="1">
        <v>25703082</v>
      </c>
      <c r="C526" s="1" t="s">
        <v>266</v>
      </c>
      <c r="D526" s="4">
        <v>46206.737835648149</v>
      </c>
      <c r="E526" s="4">
        <v>46206.762071759258</v>
      </c>
      <c r="F526" s="1" t="s">
        <v>22</v>
      </c>
      <c r="G526" s="1" t="s">
        <v>22</v>
      </c>
      <c r="H526" s="1" t="s">
        <v>1974</v>
      </c>
      <c r="I526" s="1" t="s">
        <v>268</v>
      </c>
      <c r="J526" s="1" t="s">
        <v>1975</v>
      </c>
      <c r="K526" s="1" t="s">
        <v>270</v>
      </c>
      <c r="L526" s="1" t="s">
        <v>270</v>
      </c>
      <c r="M526" s="4">
        <v>46206.500694444447</v>
      </c>
      <c r="N526" s="1">
        <v>68970</v>
      </c>
      <c r="O526" s="1" t="s">
        <v>1956</v>
      </c>
      <c r="P526" s="1" t="s">
        <v>271</v>
      </c>
      <c r="Q526" s="1" t="s">
        <v>303</v>
      </c>
      <c r="R526" s="1" t="s">
        <v>272</v>
      </c>
      <c r="S526" s="1" t="s">
        <v>8</v>
      </c>
      <c r="T526" s="1" t="s">
        <v>274</v>
      </c>
      <c r="U526" s="1" t="s">
        <v>146</v>
      </c>
      <c r="V526" s="1" t="s">
        <v>990</v>
      </c>
      <c r="W526" s="1" t="s">
        <v>93</v>
      </c>
      <c r="X526" s="1" t="s">
        <v>93</v>
      </c>
      <c r="Y526" s="1" t="s">
        <v>93</v>
      </c>
      <c r="Z526" s="1" t="s">
        <v>57</v>
      </c>
      <c r="AA526" s="1" t="s">
        <v>93</v>
      </c>
      <c r="AB526" s="1">
        <v>335.09</v>
      </c>
      <c r="AC526" s="1">
        <v>0</v>
      </c>
      <c r="AD526" s="1">
        <v>0</v>
      </c>
      <c r="AE526" s="1">
        <v>0</v>
      </c>
      <c r="AF526" s="1">
        <v>0</v>
      </c>
      <c r="AG526" s="1">
        <v>0</v>
      </c>
      <c r="AH526" s="1">
        <v>0</v>
      </c>
      <c r="AI526" s="1" t="s">
        <v>1976</v>
      </c>
      <c r="AJ526" s="1" t="s">
        <v>410</v>
      </c>
      <c r="AK526" s="1" t="s">
        <v>13</v>
      </c>
      <c r="AL526" s="1" t="s">
        <v>65</v>
      </c>
      <c r="AM526" s="1" t="s">
        <v>292</v>
      </c>
      <c r="AN526" s="1" t="s">
        <v>21</v>
      </c>
      <c r="AO526" s="1" t="s">
        <v>280</v>
      </c>
      <c r="AP526" s="1" t="s">
        <v>324</v>
      </c>
      <c r="AQ526" s="1" t="s">
        <v>20</v>
      </c>
    </row>
    <row r="527" spans="1:43" x14ac:dyDescent="0.3">
      <c r="A527" s="1">
        <v>24871425</v>
      </c>
      <c r="B527" s="1">
        <v>25711861</v>
      </c>
      <c r="C527" s="1" t="s">
        <v>266</v>
      </c>
      <c r="D527" s="4">
        <v>46208.751585648148</v>
      </c>
      <c r="E527" s="4">
        <v>46208.758240740739</v>
      </c>
      <c r="F527" s="1" t="s">
        <v>19</v>
      </c>
      <c r="G527" s="1" t="s">
        <v>19</v>
      </c>
      <c r="H527" s="1" t="s">
        <v>1977</v>
      </c>
      <c r="I527" s="1" t="s">
        <v>268</v>
      </c>
      <c r="J527" s="1" t="s">
        <v>1978</v>
      </c>
      <c r="K527" s="1" t="s">
        <v>1979</v>
      </c>
      <c r="L527" s="1" t="s">
        <v>1979</v>
      </c>
      <c r="M527" s="4">
        <v>46208.613194444442</v>
      </c>
      <c r="N527" s="1">
        <v>69081</v>
      </c>
      <c r="O527" s="1" t="s">
        <v>1980</v>
      </c>
      <c r="P527" s="1" t="s">
        <v>342</v>
      </c>
      <c r="Q527" s="1" t="s">
        <v>303</v>
      </c>
      <c r="R527" s="1" t="s">
        <v>272</v>
      </c>
      <c r="S527" s="1" t="s">
        <v>8</v>
      </c>
      <c r="T527" s="1" t="s">
        <v>274</v>
      </c>
      <c r="U527" s="1" t="s">
        <v>146</v>
      </c>
      <c r="V527" s="1" t="s">
        <v>990</v>
      </c>
      <c r="W527" s="1" t="s">
        <v>93</v>
      </c>
      <c r="X527" s="1" t="s">
        <v>93</v>
      </c>
      <c r="Y527" s="1" t="s">
        <v>93</v>
      </c>
      <c r="Z527" s="1" t="s">
        <v>57</v>
      </c>
      <c r="AA527" s="1" t="s">
        <v>93</v>
      </c>
      <c r="AB527" s="1">
        <v>382.52</v>
      </c>
      <c r="AC527" s="1">
        <v>0</v>
      </c>
      <c r="AD527" s="1">
        <v>342.64</v>
      </c>
      <c r="AE527" s="1">
        <v>0</v>
      </c>
      <c r="AF527" s="1">
        <v>0</v>
      </c>
      <c r="AG527" s="1">
        <v>0</v>
      </c>
      <c r="AH527" s="1">
        <v>0</v>
      </c>
      <c r="AI527" s="1" t="s">
        <v>1981</v>
      </c>
      <c r="AJ527" s="1" t="s">
        <v>410</v>
      </c>
      <c r="AK527" s="1" t="s">
        <v>13</v>
      </c>
      <c r="AL527" s="1" t="s">
        <v>65</v>
      </c>
      <c r="AM527" s="1" t="s">
        <v>292</v>
      </c>
      <c r="AN527" s="1" t="s">
        <v>21</v>
      </c>
      <c r="AO527" s="1" t="s">
        <v>280</v>
      </c>
      <c r="AP527" s="1" t="s">
        <v>324</v>
      </c>
      <c r="AQ527" s="1" t="s">
        <v>20</v>
      </c>
    </row>
    <row r="528" spans="1:43" x14ac:dyDescent="0.3">
      <c r="A528" s="1">
        <v>24864506</v>
      </c>
      <c r="B528" s="1">
        <v>25703734</v>
      </c>
      <c r="C528" s="1" t="s">
        <v>266</v>
      </c>
      <c r="D528" s="4">
        <v>46206.760868055557</v>
      </c>
      <c r="E528" s="4">
        <v>46206.809814814813</v>
      </c>
      <c r="F528" s="1" t="s">
        <v>22</v>
      </c>
      <c r="G528" s="1" t="s">
        <v>22</v>
      </c>
      <c r="H528" s="1" t="s">
        <v>1982</v>
      </c>
      <c r="I528" s="1" t="s">
        <v>268</v>
      </c>
      <c r="J528" s="1" t="s">
        <v>1983</v>
      </c>
      <c r="K528" s="1" t="s">
        <v>270</v>
      </c>
      <c r="L528" s="1" t="s">
        <v>270</v>
      </c>
      <c r="M528" s="4">
        <v>46206.566666666673</v>
      </c>
      <c r="N528" s="1">
        <v>4913</v>
      </c>
      <c r="O528" s="1" t="s">
        <v>1851</v>
      </c>
      <c r="P528" s="1" t="s">
        <v>271</v>
      </c>
      <c r="Q528" s="1" t="s">
        <v>303</v>
      </c>
      <c r="R528" s="1" t="s">
        <v>272</v>
      </c>
      <c r="S528" s="1" t="s">
        <v>8</v>
      </c>
      <c r="T528" s="1" t="s">
        <v>274</v>
      </c>
      <c r="U528" s="1" t="s">
        <v>156</v>
      </c>
      <c r="V528" s="1" t="s">
        <v>997</v>
      </c>
      <c r="W528" s="1" t="s">
        <v>93</v>
      </c>
      <c r="X528" s="1" t="s">
        <v>93</v>
      </c>
      <c r="Y528" s="1" t="s">
        <v>93</v>
      </c>
      <c r="Z528" s="1" t="s">
        <v>66</v>
      </c>
      <c r="AA528" s="1" t="s">
        <v>93</v>
      </c>
      <c r="AB528" s="1">
        <v>656.5</v>
      </c>
      <c r="AC528" s="1">
        <v>0</v>
      </c>
      <c r="AD528" s="1">
        <v>0</v>
      </c>
      <c r="AE528" s="1">
        <v>0</v>
      </c>
      <c r="AF528" s="1">
        <v>0</v>
      </c>
      <c r="AG528" s="1">
        <v>0</v>
      </c>
      <c r="AH528" s="1">
        <v>0</v>
      </c>
      <c r="AI528" s="1" t="s">
        <v>1984</v>
      </c>
      <c r="AJ528" s="1" t="s">
        <v>410</v>
      </c>
      <c r="AK528" s="1" t="s">
        <v>13</v>
      </c>
      <c r="AL528" s="1" t="s">
        <v>65</v>
      </c>
      <c r="AM528" s="1" t="s">
        <v>292</v>
      </c>
      <c r="AN528" s="1" t="s">
        <v>21</v>
      </c>
      <c r="AO528" s="1" t="s">
        <v>280</v>
      </c>
      <c r="AP528" s="1" t="s">
        <v>324</v>
      </c>
      <c r="AQ528" s="1" t="s">
        <v>20</v>
      </c>
    </row>
    <row r="529" spans="1:43" x14ac:dyDescent="0.3">
      <c r="A529" s="1">
        <v>24864502</v>
      </c>
      <c r="B529" s="1">
        <v>25703730</v>
      </c>
      <c r="C529" s="1" t="s">
        <v>266</v>
      </c>
      <c r="D529" s="4">
        <v>46206.760752314818</v>
      </c>
      <c r="E529" s="4">
        <v>46206.809548611112</v>
      </c>
      <c r="F529" s="1" t="s">
        <v>22</v>
      </c>
      <c r="G529" s="1" t="s">
        <v>22</v>
      </c>
      <c r="H529" s="1" t="s">
        <v>1985</v>
      </c>
      <c r="I529" s="1" t="s">
        <v>268</v>
      </c>
      <c r="J529" s="1" t="s">
        <v>1986</v>
      </c>
      <c r="K529" s="1" t="s">
        <v>270</v>
      </c>
      <c r="L529" s="1" t="s">
        <v>270</v>
      </c>
      <c r="M529" s="4">
        <v>46206.667361111111</v>
      </c>
      <c r="N529" s="1">
        <v>4917</v>
      </c>
      <c r="O529" s="1" t="s">
        <v>93</v>
      </c>
      <c r="P529" s="1" t="s">
        <v>271</v>
      </c>
      <c r="Q529" s="1" t="s">
        <v>286</v>
      </c>
      <c r="R529" s="1" t="s">
        <v>272</v>
      </c>
      <c r="S529" s="1" t="s">
        <v>9</v>
      </c>
      <c r="T529" s="1" t="s">
        <v>274</v>
      </c>
      <c r="U529" s="1" t="s">
        <v>156</v>
      </c>
      <c r="V529" s="1" t="s">
        <v>1987</v>
      </c>
      <c r="W529" s="1" t="s">
        <v>93</v>
      </c>
      <c r="X529" s="1" t="s">
        <v>93</v>
      </c>
      <c r="Y529" s="1" t="s">
        <v>93</v>
      </c>
      <c r="Z529" s="1" t="s">
        <v>66</v>
      </c>
      <c r="AA529" s="1" t="s">
        <v>93</v>
      </c>
      <c r="AB529" s="1">
        <v>852.88</v>
      </c>
      <c r="AC529" s="1">
        <v>0</v>
      </c>
      <c r="AD529" s="1">
        <v>0</v>
      </c>
      <c r="AE529" s="1">
        <v>0</v>
      </c>
      <c r="AF529" s="1">
        <v>0</v>
      </c>
      <c r="AG529" s="1">
        <v>0</v>
      </c>
      <c r="AH529" s="1">
        <v>0</v>
      </c>
      <c r="AI529" s="1" t="s">
        <v>1988</v>
      </c>
      <c r="AJ529" s="1" t="s">
        <v>410</v>
      </c>
      <c r="AK529" s="1" t="s">
        <v>13</v>
      </c>
      <c r="AL529" s="1" t="s">
        <v>65</v>
      </c>
      <c r="AM529" s="1" t="s">
        <v>292</v>
      </c>
      <c r="AN529" s="1" t="s">
        <v>21</v>
      </c>
      <c r="AO529" s="1" t="s">
        <v>293</v>
      </c>
      <c r="AP529" s="1" t="s">
        <v>281</v>
      </c>
      <c r="AQ529" s="1" t="s">
        <v>34</v>
      </c>
    </row>
    <row r="530" spans="1:43" x14ac:dyDescent="0.3">
      <c r="A530" s="1">
        <v>24862238</v>
      </c>
      <c r="B530" s="1">
        <v>25701196</v>
      </c>
      <c r="C530" s="1" t="s">
        <v>266</v>
      </c>
      <c r="D530" s="4">
        <v>46206.620694444442</v>
      </c>
      <c r="E530" s="4">
        <v>46206.622291666667</v>
      </c>
      <c r="F530" s="1" t="s">
        <v>22</v>
      </c>
      <c r="G530" s="1" t="s">
        <v>22</v>
      </c>
      <c r="H530" s="1" t="s">
        <v>1989</v>
      </c>
      <c r="I530" s="1" t="s">
        <v>268</v>
      </c>
      <c r="J530" s="1" t="s">
        <v>1990</v>
      </c>
      <c r="K530" s="1" t="s">
        <v>1432</v>
      </c>
      <c r="L530" s="1" t="s">
        <v>1432</v>
      </c>
      <c r="M530" s="4">
        <v>46168.618750000001</v>
      </c>
      <c r="N530" s="1">
        <v>7689</v>
      </c>
      <c r="O530" s="1" t="s">
        <v>1991</v>
      </c>
      <c r="P530" s="1" t="s">
        <v>342</v>
      </c>
      <c r="Q530" s="1" t="s">
        <v>388</v>
      </c>
      <c r="R530" s="1" t="s">
        <v>388</v>
      </c>
      <c r="S530" s="1" t="s">
        <v>8</v>
      </c>
      <c r="T530" s="1" t="s">
        <v>274</v>
      </c>
      <c r="U530" s="1" t="s">
        <v>196</v>
      </c>
      <c r="V530" s="1" t="s">
        <v>1992</v>
      </c>
      <c r="W530" s="1" t="s">
        <v>93</v>
      </c>
      <c r="X530" s="1" t="s">
        <v>93</v>
      </c>
      <c r="Y530" s="1" t="s">
        <v>93</v>
      </c>
      <c r="Z530" s="1" t="s">
        <v>112</v>
      </c>
      <c r="AA530" s="1" t="s">
        <v>93</v>
      </c>
      <c r="AB530" s="1">
        <v>329.48</v>
      </c>
      <c r="AC530" s="1">
        <v>0</v>
      </c>
      <c r="AD530" s="1">
        <v>0</v>
      </c>
      <c r="AE530" s="1">
        <v>0</v>
      </c>
      <c r="AF530" s="1">
        <v>0</v>
      </c>
      <c r="AG530" s="1">
        <v>0</v>
      </c>
      <c r="AH530" s="1">
        <v>0</v>
      </c>
      <c r="AI530" s="1" t="s">
        <v>1993</v>
      </c>
      <c r="AJ530" s="1" t="s">
        <v>410</v>
      </c>
      <c r="AK530" s="1" t="s">
        <v>13</v>
      </c>
      <c r="AL530" s="1" t="s">
        <v>65</v>
      </c>
      <c r="AM530" s="1" t="s">
        <v>292</v>
      </c>
      <c r="AN530" s="1" t="s">
        <v>21</v>
      </c>
      <c r="AO530" s="1" t="s">
        <v>280</v>
      </c>
      <c r="AP530" s="1" t="s">
        <v>324</v>
      </c>
      <c r="AQ530" s="1" t="s">
        <v>20</v>
      </c>
    </row>
    <row r="531" spans="1:43" x14ac:dyDescent="0.3">
      <c r="A531" s="1">
        <v>24862268</v>
      </c>
      <c r="B531" s="1">
        <v>25701234</v>
      </c>
      <c r="C531" s="1" t="s">
        <v>266</v>
      </c>
      <c r="D531" s="4">
        <v>46206.621550925927</v>
      </c>
      <c r="E531" s="4">
        <v>46206.622511574067</v>
      </c>
      <c r="F531" s="1" t="s">
        <v>22</v>
      </c>
      <c r="G531" s="1" t="s">
        <v>22</v>
      </c>
      <c r="H531" s="1" t="s">
        <v>1994</v>
      </c>
      <c r="I531" s="1" t="s">
        <v>268</v>
      </c>
      <c r="J531" s="1" t="s">
        <v>1995</v>
      </c>
      <c r="K531" s="1" t="s">
        <v>1996</v>
      </c>
      <c r="L531" s="1" t="s">
        <v>1996</v>
      </c>
      <c r="M531" s="4">
        <v>46168.849305555559</v>
      </c>
      <c r="N531" s="1">
        <v>7619</v>
      </c>
      <c r="O531" s="1" t="s">
        <v>1997</v>
      </c>
      <c r="P531" s="1" t="s">
        <v>342</v>
      </c>
      <c r="Q531" s="1" t="s">
        <v>388</v>
      </c>
      <c r="R531" s="1" t="s">
        <v>388</v>
      </c>
      <c r="S531" s="1" t="s">
        <v>8</v>
      </c>
      <c r="T531" s="1" t="s">
        <v>274</v>
      </c>
      <c r="U531" s="1" t="s">
        <v>196</v>
      </c>
      <c r="V531" s="1" t="s">
        <v>1992</v>
      </c>
      <c r="W531" s="1" t="s">
        <v>93</v>
      </c>
      <c r="X531" s="1" t="s">
        <v>93</v>
      </c>
      <c r="Y531" s="1" t="s">
        <v>93</v>
      </c>
      <c r="Z531" s="1" t="s">
        <v>112</v>
      </c>
      <c r="AA531" s="1" t="s">
        <v>93</v>
      </c>
      <c r="AB531" s="1">
        <v>478</v>
      </c>
      <c r="AC531" s="1">
        <v>0</v>
      </c>
      <c r="AD531" s="1">
        <v>0</v>
      </c>
      <c r="AE531" s="1">
        <v>0</v>
      </c>
      <c r="AF531" s="1">
        <v>0</v>
      </c>
      <c r="AG531" s="1">
        <v>0</v>
      </c>
      <c r="AH531" s="1">
        <v>0</v>
      </c>
      <c r="AI531" s="1" t="s">
        <v>1998</v>
      </c>
      <c r="AJ531" s="1" t="s">
        <v>410</v>
      </c>
      <c r="AK531" s="1" t="s">
        <v>13</v>
      </c>
      <c r="AL531" s="1" t="s">
        <v>65</v>
      </c>
      <c r="AM531" s="1" t="s">
        <v>292</v>
      </c>
      <c r="AN531" s="1" t="s">
        <v>21</v>
      </c>
      <c r="AO531" s="1" t="s">
        <v>280</v>
      </c>
      <c r="AP531" s="1" t="s">
        <v>324</v>
      </c>
      <c r="AQ531" s="1" t="s">
        <v>20</v>
      </c>
    </row>
    <row r="532" spans="1:43" x14ac:dyDescent="0.3">
      <c r="A532" s="1">
        <v>24864695</v>
      </c>
      <c r="B532" s="1">
        <v>25703958</v>
      </c>
      <c r="C532" s="1" t="s">
        <v>266</v>
      </c>
      <c r="D532" s="4">
        <v>46206.792291666658</v>
      </c>
      <c r="E532" s="4">
        <v>46206.814270833333</v>
      </c>
      <c r="F532" s="1" t="s">
        <v>22</v>
      </c>
      <c r="G532" s="1" t="s">
        <v>22</v>
      </c>
      <c r="H532" s="1" t="s">
        <v>1999</v>
      </c>
      <c r="I532" s="1" t="s">
        <v>268</v>
      </c>
      <c r="J532" s="1" t="s">
        <v>2000</v>
      </c>
      <c r="K532" s="1" t="s">
        <v>1432</v>
      </c>
      <c r="L532" s="1" t="s">
        <v>1432</v>
      </c>
      <c r="M532" s="4">
        <v>46206.738194444442</v>
      </c>
      <c r="N532" s="1">
        <v>9657</v>
      </c>
      <c r="O532" s="1" t="s">
        <v>1433</v>
      </c>
      <c r="P532" s="1" t="s">
        <v>342</v>
      </c>
      <c r="Q532" s="1" t="s">
        <v>388</v>
      </c>
      <c r="R532" s="1" t="s">
        <v>388</v>
      </c>
      <c r="S532" s="1" t="s">
        <v>8</v>
      </c>
      <c r="T532" s="1" t="s">
        <v>274</v>
      </c>
      <c r="U532" s="1" t="s">
        <v>196</v>
      </c>
      <c r="V532" s="1" t="s">
        <v>1992</v>
      </c>
      <c r="W532" s="1" t="s">
        <v>93</v>
      </c>
      <c r="X532" s="1" t="s">
        <v>93</v>
      </c>
      <c r="Y532" s="1" t="s">
        <v>93</v>
      </c>
      <c r="Z532" s="1" t="s">
        <v>112</v>
      </c>
      <c r="AA532" s="1" t="s">
        <v>93</v>
      </c>
      <c r="AB532" s="1">
        <v>781.52</v>
      </c>
      <c r="AC532" s="1">
        <v>0</v>
      </c>
      <c r="AD532" s="1">
        <v>0</v>
      </c>
      <c r="AE532" s="1">
        <v>0</v>
      </c>
      <c r="AF532" s="1">
        <v>0</v>
      </c>
      <c r="AG532" s="1">
        <v>0</v>
      </c>
      <c r="AH532" s="1">
        <v>0</v>
      </c>
      <c r="AI532" s="1" t="s">
        <v>2001</v>
      </c>
      <c r="AJ532" s="1" t="s">
        <v>410</v>
      </c>
      <c r="AK532" s="1" t="s">
        <v>13</v>
      </c>
      <c r="AL532" s="1" t="s">
        <v>65</v>
      </c>
      <c r="AM532" s="1" t="s">
        <v>292</v>
      </c>
      <c r="AN532" s="1" t="s">
        <v>21</v>
      </c>
      <c r="AO532" s="1" t="s">
        <v>280</v>
      </c>
      <c r="AP532" s="1" t="s">
        <v>324</v>
      </c>
      <c r="AQ532" s="1" t="s">
        <v>20</v>
      </c>
    </row>
    <row r="533" spans="1:43" x14ac:dyDescent="0.3">
      <c r="A533" s="1">
        <v>24864697</v>
      </c>
      <c r="B533" s="1">
        <v>25703960</v>
      </c>
      <c r="C533" s="1" t="s">
        <v>266</v>
      </c>
      <c r="D533" s="4">
        <v>46206.792361111111</v>
      </c>
      <c r="E533" s="4">
        <v>46206.814270833333</v>
      </c>
      <c r="F533" s="1" t="s">
        <v>22</v>
      </c>
      <c r="G533" s="1" t="s">
        <v>22</v>
      </c>
      <c r="H533" s="1" t="s">
        <v>2002</v>
      </c>
      <c r="I533" s="1" t="s">
        <v>268</v>
      </c>
      <c r="J533" s="1" t="s">
        <v>2003</v>
      </c>
      <c r="K533" s="1" t="s">
        <v>1432</v>
      </c>
      <c r="L533" s="1" t="s">
        <v>1432</v>
      </c>
      <c r="M533" s="4">
        <v>46206.618055555547</v>
      </c>
      <c r="N533" s="1">
        <v>9655</v>
      </c>
      <c r="O533" s="1" t="s">
        <v>2004</v>
      </c>
      <c r="P533" s="1" t="s">
        <v>342</v>
      </c>
      <c r="Q533" s="1" t="s">
        <v>388</v>
      </c>
      <c r="R533" s="1" t="s">
        <v>388</v>
      </c>
      <c r="S533" s="1" t="s">
        <v>8</v>
      </c>
      <c r="T533" s="1" t="s">
        <v>274</v>
      </c>
      <c r="U533" s="1" t="s">
        <v>196</v>
      </c>
      <c r="V533" s="1" t="s">
        <v>1992</v>
      </c>
      <c r="W533" s="1" t="s">
        <v>93</v>
      </c>
      <c r="X533" s="1" t="s">
        <v>93</v>
      </c>
      <c r="Y533" s="1" t="s">
        <v>93</v>
      </c>
      <c r="Z533" s="1" t="s">
        <v>112</v>
      </c>
      <c r="AA533" s="1" t="s">
        <v>93</v>
      </c>
      <c r="AB533" s="1">
        <v>1148.25</v>
      </c>
      <c r="AC533" s="1">
        <v>0</v>
      </c>
      <c r="AD533" s="1">
        <v>0</v>
      </c>
      <c r="AE533" s="1">
        <v>0</v>
      </c>
      <c r="AF533" s="1">
        <v>0</v>
      </c>
      <c r="AG533" s="1">
        <v>0</v>
      </c>
      <c r="AH533" s="1">
        <v>0</v>
      </c>
      <c r="AI533" s="1" t="s">
        <v>2005</v>
      </c>
      <c r="AJ533" s="1" t="s">
        <v>410</v>
      </c>
      <c r="AK533" s="1" t="s">
        <v>13</v>
      </c>
      <c r="AL533" s="1" t="s">
        <v>65</v>
      </c>
      <c r="AM533" s="1" t="s">
        <v>292</v>
      </c>
      <c r="AN533" s="1" t="s">
        <v>21</v>
      </c>
      <c r="AO533" s="1" t="s">
        <v>280</v>
      </c>
      <c r="AP533" s="1" t="s">
        <v>324</v>
      </c>
      <c r="AQ533" s="1" t="s">
        <v>20</v>
      </c>
    </row>
    <row r="534" spans="1:43" x14ac:dyDescent="0.3">
      <c r="A534" s="1">
        <v>24864704</v>
      </c>
      <c r="B534" s="1">
        <v>25703967</v>
      </c>
      <c r="C534" s="1" t="s">
        <v>266</v>
      </c>
      <c r="D534" s="4">
        <v>46206.792592592603</v>
      </c>
      <c r="E534" s="4">
        <v>46206.814328703702</v>
      </c>
      <c r="F534" s="1" t="s">
        <v>22</v>
      </c>
      <c r="G534" s="1" t="s">
        <v>22</v>
      </c>
      <c r="H534" s="1" t="s">
        <v>2006</v>
      </c>
      <c r="I534" s="1" t="s">
        <v>268</v>
      </c>
      <c r="J534" s="1" t="s">
        <v>2007</v>
      </c>
      <c r="K534" s="1" t="s">
        <v>2008</v>
      </c>
      <c r="L534" s="1" t="s">
        <v>2008</v>
      </c>
      <c r="M534" s="4">
        <v>46206.54791666667</v>
      </c>
      <c r="N534" s="1">
        <v>9636</v>
      </c>
      <c r="O534" s="1" t="s">
        <v>2009</v>
      </c>
      <c r="P534" s="1" t="s">
        <v>342</v>
      </c>
      <c r="Q534" s="1" t="s">
        <v>388</v>
      </c>
      <c r="R534" s="1" t="s">
        <v>388</v>
      </c>
      <c r="S534" s="1" t="s">
        <v>8</v>
      </c>
      <c r="T534" s="1" t="s">
        <v>274</v>
      </c>
      <c r="U534" s="1" t="s">
        <v>196</v>
      </c>
      <c r="V534" s="1" t="s">
        <v>1434</v>
      </c>
      <c r="W534" s="1" t="s">
        <v>93</v>
      </c>
      <c r="X534" s="1" t="s">
        <v>93</v>
      </c>
      <c r="Y534" s="1" t="s">
        <v>93</v>
      </c>
      <c r="Z534" s="1" t="s">
        <v>112</v>
      </c>
      <c r="AA534" s="1" t="s">
        <v>93</v>
      </c>
      <c r="AB534" s="1">
        <v>611.26</v>
      </c>
      <c r="AC534" s="1">
        <v>0</v>
      </c>
      <c r="AD534" s="1">
        <v>0</v>
      </c>
      <c r="AE534" s="1">
        <v>0</v>
      </c>
      <c r="AF534" s="1">
        <v>0</v>
      </c>
      <c r="AG534" s="1">
        <v>0</v>
      </c>
      <c r="AH534" s="1">
        <v>0</v>
      </c>
      <c r="AI534" s="1" t="s">
        <v>2010</v>
      </c>
      <c r="AJ534" s="1" t="s">
        <v>410</v>
      </c>
      <c r="AK534" s="1" t="s">
        <v>13</v>
      </c>
      <c r="AL534" s="1" t="s">
        <v>65</v>
      </c>
      <c r="AM534" s="1" t="s">
        <v>292</v>
      </c>
      <c r="AN534" s="1" t="s">
        <v>21</v>
      </c>
      <c r="AO534" s="1" t="s">
        <v>280</v>
      </c>
      <c r="AP534" s="1" t="s">
        <v>324</v>
      </c>
      <c r="AQ534" s="1" t="s">
        <v>20</v>
      </c>
    </row>
    <row r="535" spans="1:43" x14ac:dyDescent="0.3">
      <c r="A535" s="1">
        <v>24864709</v>
      </c>
      <c r="B535" s="1">
        <v>25703972</v>
      </c>
      <c r="C535" s="1" t="s">
        <v>266</v>
      </c>
      <c r="D535" s="4">
        <v>46206.79277777778</v>
      </c>
      <c r="E535" s="4">
        <v>46206.814409722218</v>
      </c>
      <c r="F535" s="1" t="s">
        <v>22</v>
      </c>
      <c r="G535" s="1" t="s">
        <v>22</v>
      </c>
      <c r="H535" s="1" t="s">
        <v>2011</v>
      </c>
      <c r="I535" s="1" t="s">
        <v>268</v>
      </c>
      <c r="J535" s="1" t="s">
        <v>2012</v>
      </c>
      <c r="K535" s="1" t="s">
        <v>2013</v>
      </c>
      <c r="L535" s="1" t="s">
        <v>2013</v>
      </c>
      <c r="M535" s="4">
        <v>46206.606944444437</v>
      </c>
      <c r="N535" s="1">
        <v>9400</v>
      </c>
      <c r="O535" s="1" t="s">
        <v>93</v>
      </c>
      <c r="P535" s="1" t="s">
        <v>342</v>
      </c>
      <c r="Q535" s="1" t="s">
        <v>388</v>
      </c>
      <c r="R535" s="1" t="s">
        <v>388</v>
      </c>
      <c r="S535" s="1" t="s">
        <v>9</v>
      </c>
      <c r="T535" s="1" t="s">
        <v>274</v>
      </c>
      <c r="U535" s="1" t="s">
        <v>196</v>
      </c>
      <c r="V535" s="1" t="s">
        <v>1434</v>
      </c>
      <c r="W535" s="1" t="s">
        <v>93</v>
      </c>
      <c r="X535" s="1" t="s">
        <v>93</v>
      </c>
      <c r="Y535" s="1" t="s">
        <v>93</v>
      </c>
      <c r="Z535" s="1" t="s">
        <v>112</v>
      </c>
      <c r="AA535" s="1" t="s">
        <v>93</v>
      </c>
      <c r="AB535" s="1">
        <v>648.55999999999995</v>
      </c>
      <c r="AC535" s="1">
        <v>0</v>
      </c>
      <c r="AD535" s="1">
        <v>0</v>
      </c>
      <c r="AE535" s="1">
        <v>0</v>
      </c>
      <c r="AF535" s="1">
        <v>0</v>
      </c>
      <c r="AG535" s="1">
        <v>95.96</v>
      </c>
      <c r="AH535" s="1">
        <v>0</v>
      </c>
      <c r="AI535" s="1" t="s">
        <v>2014</v>
      </c>
      <c r="AJ535" s="1" t="s">
        <v>410</v>
      </c>
      <c r="AK535" s="1" t="s">
        <v>13</v>
      </c>
      <c r="AL535" s="1" t="s">
        <v>65</v>
      </c>
      <c r="AM535" s="1" t="s">
        <v>292</v>
      </c>
      <c r="AN535" s="1" t="s">
        <v>21</v>
      </c>
      <c r="AO535" s="1" t="s">
        <v>280</v>
      </c>
      <c r="AP535" s="1" t="s">
        <v>324</v>
      </c>
      <c r="AQ535" s="1" t="s">
        <v>20</v>
      </c>
    </row>
    <row r="536" spans="1:43" x14ac:dyDescent="0.3">
      <c r="A536" s="1">
        <v>24866143</v>
      </c>
      <c r="B536" s="1">
        <v>25705610</v>
      </c>
      <c r="C536" s="1" t="s">
        <v>266</v>
      </c>
      <c r="D536" s="4">
        <v>46207.022256944438</v>
      </c>
      <c r="E536" s="4">
        <v>46207.028680555559</v>
      </c>
      <c r="F536" s="1" t="s">
        <v>19</v>
      </c>
      <c r="G536" s="1" t="s">
        <v>19</v>
      </c>
      <c r="H536" s="1" t="s">
        <v>2015</v>
      </c>
      <c r="I536" s="1" t="s">
        <v>268</v>
      </c>
      <c r="J536" s="1" t="s">
        <v>2016</v>
      </c>
      <c r="K536" s="1" t="s">
        <v>1432</v>
      </c>
      <c r="L536" s="1" t="s">
        <v>1432</v>
      </c>
      <c r="M536" s="4">
        <v>46206.794444444437</v>
      </c>
      <c r="N536" s="1">
        <v>9676</v>
      </c>
      <c r="O536" s="1" t="s">
        <v>2017</v>
      </c>
      <c r="P536" s="1" t="s">
        <v>342</v>
      </c>
      <c r="Q536" s="1" t="s">
        <v>388</v>
      </c>
      <c r="R536" s="1" t="s">
        <v>388</v>
      </c>
      <c r="S536" s="1" t="s">
        <v>8</v>
      </c>
      <c r="T536" s="1" t="s">
        <v>274</v>
      </c>
      <c r="U536" s="1" t="s">
        <v>196</v>
      </c>
      <c r="V536" s="1" t="s">
        <v>1434</v>
      </c>
      <c r="W536" s="1" t="s">
        <v>93</v>
      </c>
      <c r="X536" s="1" t="s">
        <v>93</v>
      </c>
      <c r="Y536" s="1" t="s">
        <v>93</v>
      </c>
      <c r="Z536" s="1" t="s">
        <v>112</v>
      </c>
      <c r="AA536" s="1" t="s">
        <v>93</v>
      </c>
      <c r="AB536" s="1">
        <v>1336.2</v>
      </c>
      <c r="AC536" s="1">
        <v>0</v>
      </c>
      <c r="AD536" s="1">
        <v>0</v>
      </c>
      <c r="AE536" s="1">
        <v>0</v>
      </c>
      <c r="AF536" s="1">
        <v>0</v>
      </c>
      <c r="AG536" s="1">
        <v>0</v>
      </c>
      <c r="AH536" s="1">
        <v>0</v>
      </c>
      <c r="AI536" s="1" t="s">
        <v>2018</v>
      </c>
      <c r="AJ536" s="1" t="s">
        <v>410</v>
      </c>
      <c r="AK536" s="1" t="s">
        <v>13</v>
      </c>
      <c r="AL536" s="1" t="s">
        <v>65</v>
      </c>
      <c r="AM536" s="1" t="s">
        <v>292</v>
      </c>
      <c r="AN536" s="1" t="s">
        <v>21</v>
      </c>
      <c r="AO536" s="1" t="s">
        <v>280</v>
      </c>
      <c r="AP536" s="1" t="s">
        <v>324</v>
      </c>
      <c r="AQ536" s="1" t="s">
        <v>20</v>
      </c>
    </row>
    <row r="537" spans="1:43" x14ac:dyDescent="0.3">
      <c r="A537" s="1">
        <v>24864194</v>
      </c>
      <c r="B537" s="1">
        <v>25703413</v>
      </c>
      <c r="C537" s="1" t="s">
        <v>266</v>
      </c>
      <c r="D537" s="4">
        <v>46206.748483796298</v>
      </c>
      <c r="E537" s="4">
        <v>46206.786377314813</v>
      </c>
      <c r="F537" s="1" t="s">
        <v>22</v>
      </c>
      <c r="G537" s="1" t="s">
        <v>22</v>
      </c>
      <c r="H537" s="1" t="s">
        <v>2019</v>
      </c>
      <c r="I537" s="1" t="s">
        <v>268</v>
      </c>
      <c r="J537" s="1" t="s">
        <v>2020</v>
      </c>
      <c r="K537" s="1" t="s">
        <v>270</v>
      </c>
      <c r="L537" s="1" t="s">
        <v>270</v>
      </c>
      <c r="M537" s="4">
        <v>46206.700694444437</v>
      </c>
      <c r="N537" s="1">
        <v>1520</v>
      </c>
      <c r="O537" s="1" t="s">
        <v>2021</v>
      </c>
      <c r="P537" s="1" t="s">
        <v>271</v>
      </c>
      <c r="Q537" s="1" t="s">
        <v>303</v>
      </c>
      <c r="R537" s="1" t="s">
        <v>272</v>
      </c>
      <c r="S537" s="1" t="s">
        <v>8</v>
      </c>
      <c r="T537" s="1" t="s">
        <v>274</v>
      </c>
      <c r="U537" s="1" t="s">
        <v>188</v>
      </c>
      <c r="V537" s="1" t="s">
        <v>2022</v>
      </c>
      <c r="W537" s="1" t="s">
        <v>93</v>
      </c>
      <c r="X537" s="1" t="s">
        <v>93</v>
      </c>
      <c r="Y537" s="1" t="s">
        <v>93</v>
      </c>
      <c r="Z537" s="1" t="s">
        <v>95</v>
      </c>
      <c r="AA537" s="1" t="s">
        <v>93</v>
      </c>
      <c r="AB537" s="1">
        <v>442.58010000000002</v>
      </c>
      <c r="AC537" s="1">
        <v>0</v>
      </c>
      <c r="AD537" s="1">
        <v>0</v>
      </c>
      <c r="AE537" s="1">
        <v>0</v>
      </c>
      <c r="AF537" s="1">
        <v>0</v>
      </c>
      <c r="AG537" s="1">
        <v>0</v>
      </c>
      <c r="AH537" s="1">
        <v>0</v>
      </c>
      <c r="AI537" s="1" t="s">
        <v>2023</v>
      </c>
      <c r="AJ537" s="1" t="s">
        <v>410</v>
      </c>
      <c r="AK537" s="1" t="s">
        <v>13</v>
      </c>
      <c r="AL537" s="1" t="s">
        <v>65</v>
      </c>
      <c r="AM537" s="1" t="s">
        <v>292</v>
      </c>
      <c r="AN537" s="1" t="s">
        <v>21</v>
      </c>
      <c r="AO537" s="1" t="s">
        <v>280</v>
      </c>
      <c r="AP537" s="1" t="s">
        <v>324</v>
      </c>
      <c r="AQ537" s="1" t="s">
        <v>20</v>
      </c>
    </row>
    <row r="538" spans="1:43" x14ac:dyDescent="0.3">
      <c r="A538" s="1">
        <v>24864200</v>
      </c>
      <c r="B538" s="1">
        <v>25703419</v>
      </c>
      <c r="C538" s="1" t="s">
        <v>266</v>
      </c>
      <c r="D538" s="4">
        <v>46206.748668981483</v>
      </c>
      <c r="E538" s="4">
        <v>46206.78638888889</v>
      </c>
      <c r="F538" s="1" t="s">
        <v>22</v>
      </c>
      <c r="G538" s="1" t="s">
        <v>22</v>
      </c>
      <c r="H538" s="1" t="s">
        <v>2024</v>
      </c>
      <c r="I538" s="1" t="s">
        <v>268</v>
      </c>
      <c r="J538" s="1" t="s">
        <v>2025</v>
      </c>
      <c r="K538" s="1" t="s">
        <v>270</v>
      </c>
      <c r="L538" s="1" t="s">
        <v>270</v>
      </c>
      <c r="M538" s="4">
        <v>46206.491666666669</v>
      </c>
      <c r="N538" s="1">
        <v>1507</v>
      </c>
      <c r="O538" s="1" t="s">
        <v>2026</v>
      </c>
      <c r="P538" s="1" t="s">
        <v>271</v>
      </c>
      <c r="Q538" s="1" t="s">
        <v>303</v>
      </c>
      <c r="R538" s="1" t="s">
        <v>272</v>
      </c>
      <c r="S538" s="1" t="s">
        <v>8</v>
      </c>
      <c r="T538" s="1" t="s">
        <v>274</v>
      </c>
      <c r="U538" s="1" t="s">
        <v>188</v>
      </c>
      <c r="V538" s="1" t="s">
        <v>1438</v>
      </c>
      <c r="W538" s="1" t="s">
        <v>93</v>
      </c>
      <c r="X538" s="1" t="s">
        <v>93</v>
      </c>
      <c r="Y538" s="1" t="s">
        <v>93</v>
      </c>
      <c r="Z538" s="1" t="s">
        <v>95</v>
      </c>
      <c r="AA538" s="1" t="s">
        <v>93</v>
      </c>
      <c r="AB538" s="1">
        <v>673.43</v>
      </c>
      <c r="AC538" s="1">
        <v>0</v>
      </c>
      <c r="AD538" s="1">
        <v>0</v>
      </c>
      <c r="AE538" s="1">
        <v>0</v>
      </c>
      <c r="AF538" s="1">
        <v>0</v>
      </c>
      <c r="AG538" s="1">
        <v>0</v>
      </c>
      <c r="AH538" s="1">
        <v>0</v>
      </c>
      <c r="AI538" s="1" t="s">
        <v>2027</v>
      </c>
      <c r="AJ538" s="1" t="s">
        <v>410</v>
      </c>
      <c r="AK538" s="1" t="s">
        <v>13</v>
      </c>
      <c r="AL538" s="1" t="s">
        <v>65</v>
      </c>
      <c r="AM538" s="1" t="s">
        <v>292</v>
      </c>
      <c r="AN538" s="1" t="s">
        <v>21</v>
      </c>
      <c r="AO538" s="1" t="s">
        <v>280</v>
      </c>
      <c r="AP538" s="1" t="s">
        <v>324</v>
      </c>
      <c r="AQ538" s="1" t="s">
        <v>20</v>
      </c>
    </row>
    <row r="539" spans="1:43" x14ac:dyDescent="0.3">
      <c r="A539" s="1">
        <v>24864198</v>
      </c>
      <c r="B539" s="1">
        <v>25703417</v>
      </c>
      <c r="C539" s="1" t="s">
        <v>266</v>
      </c>
      <c r="D539" s="4">
        <v>46206.74858796296</v>
      </c>
      <c r="E539" s="4">
        <v>46206.78638888889</v>
      </c>
      <c r="F539" s="1" t="s">
        <v>22</v>
      </c>
      <c r="G539" s="1" t="s">
        <v>22</v>
      </c>
      <c r="H539" s="1" t="s">
        <v>2028</v>
      </c>
      <c r="I539" s="1" t="s">
        <v>268</v>
      </c>
      <c r="J539" s="1" t="s">
        <v>2029</v>
      </c>
      <c r="K539" s="1" t="s">
        <v>270</v>
      </c>
      <c r="L539" s="1" t="s">
        <v>270</v>
      </c>
      <c r="M539" s="4">
        <v>46206.677083333343</v>
      </c>
      <c r="N539" s="1">
        <v>1517</v>
      </c>
      <c r="O539" s="1" t="s">
        <v>93</v>
      </c>
      <c r="P539" s="1" t="s">
        <v>271</v>
      </c>
      <c r="Q539" s="1" t="s">
        <v>303</v>
      </c>
      <c r="R539" s="1" t="s">
        <v>272</v>
      </c>
      <c r="S539" s="1" t="s">
        <v>9</v>
      </c>
      <c r="T539" s="1" t="s">
        <v>274</v>
      </c>
      <c r="U539" s="1" t="s">
        <v>188</v>
      </c>
      <c r="V539" s="1" t="s">
        <v>2030</v>
      </c>
      <c r="W539" s="1" t="s">
        <v>93</v>
      </c>
      <c r="X539" s="1" t="s">
        <v>93</v>
      </c>
      <c r="Y539" s="1" t="s">
        <v>93</v>
      </c>
      <c r="Z539" s="1" t="s">
        <v>95</v>
      </c>
      <c r="AA539" s="1" t="s">
        <v>93</v>
      </c>
      <c r="AB539" s="1">
        <v>711.43</v>
      </c>
      <c r="AC539" s="1">
        <v>0</v>
      </c>
      <c r="AD539" s="1">
        <v>0</v>
      </c>
      <c r="AE539" s="1">
        <v>0</v>
      </c>
      <c r="AF539" s="1">
        <v>0</v>
      </c>
      <c r="AG539" s="1">
        <v>35.57</v>
      </c>
      <c r="AH539" s="1">
        <v>0</v>
      </c>
      <c r="AI539" s="1" t="s">
        <v>2031</v>
      </c>
      <c r="AJ539" s="1" t="s">
        <v>410</v>
      </c>
      <c r="AK539" s="1" t="s">
        <v>13</v>
      </c>
      <c r="AL539" s="1" t="s">
        <v>65</v>
      </c>
      <c r="AM539" s="1" t="s">
        <v>292</v>
      </c>
      <c r="AN539" s="1" t="s">
        <v>21</v>
      </c>
      <c r="AO539" s="1" t="s">
        <v>293</v>
      </c>
      <c r="AP539" s="1" t="s">
        <v>281</v>
      </c>
      <c r="AQ539" s="1" t="s">
        <v>34</v>
      </c>
    </row>
    <row r="540" spans="1:43" x14ac:dyDescent="0.3">
      <c r="A540" s="1">
        <v>24864199</v>
      </c>
      <c r="B540" s="1">
        <v>25703418</v>
      </c>
      <c r="C540" s="1" t="s">
        <v>266</v>
      </c>
      <c r="D540" s="4">
        <v>46206.74863425926</v>
      </c>
      <c r="E540" s="4">
        <v>46206.78638888889</v>
      </c>
      <c r="F540" s="1" t="s">
        <v>22</v>
      </c>
      <c r="G540" s="1" t="s">
        <v>22</v>
      </c>
      <c r="H540" s="1" t="s">
        <v>2032</v>
      </c>
      <c r="I540" s="1" t="s">
        <v>268</v>
      </c>
      <c r="J540" s="1" t="s">
        <v>2033</v>
      </c>
      <c r="K540" s="1" t="s">
        <v>270</v>
      </c>
      <c r="L540" s="1" t="s">
        <v>270</v>
      </c>
      <c r="M540" s="4">
        <v>46206.645138888889</v>
      </c>
      <c r="N540" s="1">
        <v>1516</v>
      </c>
      <c r="O540" s="1" t="s">
        <v>93</v>
      </c>
      <c r="P540" s="1" t="s">
        <v>271</v>
      </c>
      <c r="Q540" s="1" t="s">
        <v>303</v>
      </c>
      <c r="R540" s="1" t="s">
        <v>272</v>
      </c>
      <c r="S540" s="1" t="s">
        <v>9</v>
      </c>
      <c r="T540" s="1" t="s">
        <v>274</v>
      </c>
      <c r="U540" s="1" t="s">
        <v>188</v>
      </c>
      <c r="V540" s="1" t="s">
        <v>2030</v>
      </c>
      <c r="W540" s="1" t="s">
        <v>93</v>
      </c>
      <c r="X540" s="1" t="s">
        <v>93</v>
      </c>
      <c r="Y540" s="1" t="s">
        <v>93</v>
      </c>
      <c r="Z540" s="1" t="s">
        <v>95</v>
      </c>
      <c r="AA540" s="1" t="s">
        <v>93</v>
      </c>
      <c r="AB540" s="1">
        <v>711.43</v>
      </c>
      <c r="AC540" s="1">
        <v>0</v>
      </c>
      <c r="AD540" s="1">
        <v>0</v>
      </c>
      <c r="AE540" s="1">
        <v>0</v>
      </c>
      <c r="AF540" s="1">
        <v>0</v>
      </c>
      <c r="AG540" s="1">
        <v>35.57</v>
      </c>
      <c r="AH540" s="1">
        <v>0</v>
      </c>
      <c r="AI540" s="1" t="s">
        <v>2034</v>
      </c>
      <c r="AJ540" s="1" t="s">
        <v>410</v>
      </c>
      <c r="AK540" s="1" t="s">
        <v>13</v>
      </c>
      <c r="AL540" s="1" t="s">
        <v>65</v>
      </c>
      <c r="AM540" s="1" t="s">
        <v>292</v>
      </c>
      <c r="AN540" s="1" t="s">
        <v>21</v>
      </c>
      <c r="AO540" s="1" t="s">
        <v>293</v>
      </c>
      <c r="AP540" s="1" t="s">
        <v>281</v>
      </c>
      <c r="AQ540" s="1" t="s">
        <v>34</v>
      </c>
    </row>
    <row r="541" spans="1:43" x14ac:dyDescent="0.3">
      <c r="A541" s="1">
        <v>24863090</v>
      </c>
      <c r="B541" s="1">
        <v>25702212</v>
      </c>
      <c r="C541" s="1" t="s">
        <v>266</v>
      </c>
      <c r="D541" s="4">
        <v>46206.697488425933</v>
      </c>
      <c r="E541" s="4">
        <v>46206.733240740738</v>
      </c>
      <c r="F541" s="1" t="s">
        <v>22</v>
      </c>
      <c r="G541" s="1" t="s">
        <v>22</v>
      </c>
      <c r="H541" s="1" t="s">
        <v>2035</v>
      </c>
      <c r="I541" s="1" t="s">
        <v>14</v>
      </c>
      <c r="J541" s="1" t="s">
        <v>1450</v>
      </c>
      <c r="K541" s="1" t="s">
        <v>547</v>
      </c>
      <c r="L541" s="1" t="s">
        <v>547</v>
      </c>
      <c r="M541" s="4">
        <v>46206.676388888889</v>
      </c>
      <c r="N541" s="1">
        <v>4718619</v>
      </c>
      <c r="O541" s="1" t="s">
        <v>93</v>
      </c>
      <c r="P541" s="1" t="s">
        <v>271</v>
      </c>
      <c r="Q541" s="1" t="s">
        <v>286</v>
      </c>
      <c r="R541" s="1" t="s">
        <v>286</v>
      </c>
      <c r="S541" s="1" t="s">
        <v>9</v>
      </c>
      <c r="T541" s="1" t="s">
        <v>274</v>
      </c>
      <c r="U541" s="1" t="s">
        <v>176</v>
      </c>
      <c r="V541" s="1" t="s">
        <v>1451</v>
      </c>
      <c r="W541" s="1" t="s">
        <v>93</v>
      </c>
      <c r="X541" s="1" t="s">
        <v>93</v>
      </c>
      <c r="Y541" s="1" t="s">
        <v>93</v>
      </c>
      <c r="Z541" s="1" t="s">
        <v>81</v>
      </c>
      <c r="AA541" s="1" t="s">
        <v>93</v>
      </c>
      <c r="AB541" s="1">
        <v>3376.43</v>
      </c>
      <c r="AC541" s="1">
        <v>158.52000000000001</v>
      </c>
      <c r="AD541" s="1">
        <v>0</v>
      </c>
      <c r="AE541" s="1">
        <v>0</v>
      </c>
      <c r="AF541" s="1">
        <v>0</v>
      </c>
      <c r="AG541" s="1">
        <v>0</v>
      </c>
      <c r="AH541" s="1">
        <v>0</v>
      </c>
      <c r="AI541" s="1" t="s">
        <v>2036</v>
      </c>
      <c r="AJ541" s="1" t="s">
        <v>410</v>
      </c>
      <c r="AK541" s="1" t="s">
        <v>14</v>
      </c>
      <c r="AL541" s="1" t="s">
        <v>65</v>
      </c>
      <c r="AM541" s="1" t="s">
        <v>292</v>
      </c>
      <c r="AN541" s="1" t="s">
        <v>21</v>
      </c>
      <c r="AO541" s="1" t="s">
        <v>293</v>
      </c>
      <c r="AP541" s="1" t="s">
        <v>281</v>
      </c>
      <c r="AQ541" s="1" t="s">
        <v>34</v>
      </c>
    </row>
    <row r="542" spans="1:43" x14ac:dyDescent="0.3">
      <c r="A542" s="1">
        <v>24863082</v>
      </c>
      <c r="B542" s="1">
        <v>25702204</v>
      </c>
      <c r="C542" s="1" t="s">
        <v>266</v>
      </c>
      <c r="D542" s="4">
        <v>46206.697430555563</v>
      </c>
      <c r="E542" s="4">
        <v>46206.732210648152</v>
      </c>
      <c r="F542" s="1" t="s">
        <v>22</v>
      </c>
      <c r="G542" s="1" t="s">
        <v>22</v>
      </c>
      <c r="H542" s="1">
        <v>23579662</v>
      </c>
      <c r="I542" s="1" t="s">
        <v>14</v>
      </c>
      <c r="J542" s="1" t="s">
        <v>2037</v>
      </c>
      <c r="K542" s="1" t="s">
        <v>547</v>
      </c>
      <c r="L542" s="1" t="s">
        <v>547</v>
      </c>
      <c r="M542" s="4">
        <v>46206.623611111107</v>
      </c>
      <c r="N542" s="1">
        <v>4718518</v>
      </c>
      <c r="O542" s="1" t="s">
        <v>93</v>
      </c>
      <c r="P542" s="1" t="s">
        <v>271</v>
      </c>
      <c r="Q542" s="1" t="s">
        <v>388</v>
      </c>
      <c r="R542" s="1" t="s">
        <v>388</v>
      </c>
      <c r="S542" s="1" t="s">
        <v>9</v>
      </c>
      <c r="T542" s="1" t="s">
        <v>274</v>
      </c>
      <c r="U542" s="1" t="s">
        <v>176</v>
      </c>
      <c r="V542" s="1" t="s">
        <v>1723</v>
      </c>
      <c r="W542" s="1" t="s">
        <v>93</v>
      </c>
      <c r="X542" s="1" t="s">
        <v>93</v>
      </c>
      <c r="Y542" s="1" t="s">
        <v>93</v>
      </c>
      <c r="Z542" s="1" t="s">
        <v>81</v>
      </c>
      <c r="AA542" s="1" t="s">
        <v>93</v>
      </c>
      <c r="AB542" s="1">
        <v>1155</v>
      </c>
      <c r="AC542" s="1">
        <v>0</v>
      </c>
      <c r="AD542" s="1">
        <v>0</v>
      </c>
      <c r="AE542" s="1">
        <v>0</v>
      </c>
      <c r="AF542" s="1">
        <v>0</v>
      </c>
      <c r="AG542" s="1">
        <v>0</v>
      </c>
      <c r="AH542" s="1">
        <v>0</v>
      </c>
      <c r="AI542" s="1" t="s">
        <v>2038</v>
      </c>
      <c r="AJ542" s="1" t="s">
        <v>410</v>
      </c>
      <c r="AK542" s="1" t="s">
        <v>14</v>
      </c>
      <c r="AL542" s="1" t="s">
        <v>65</v>
      </c>
      <c r="AM542" s="1" t="s">
        <v>292</v>
      </c>
      <c r="AN542" s="1" t="s">
        <v>21</v>
      </c>
      <c r="AO542" s="1" t="s">
        <v>293</v>
      </c>
      <c r="AP542" s="1" t="s">
        <v>281</v>
      </c>
      <c r="AQ542" s="1" t="s">
        <v>34</v>
      </c>
    </row>
    <row r="543" spans="1:43" x14ac:dyDescent="0.3">
      <c r="A543" s="1">
        <v>24863087</v>
      </c>
      <c r="B543" s="1">
        <v>25702209</v>
      </c>
      <c r="C543" s="1" t="s">
        <v>266</v>
      </c>
      <c r="D543" s="4">
        <v>46206.697465277779</v>
      </c>
      <c r="E543" s="4">
        <v>46206.733240740738</v>
      </c>
      <c r="F543" s="1" t="s">
        <v>22</v>
      </c>
      <c r="G543" s="1" t="s">
        <v>22</v>
      </c>
      <c r="H543" s="1">
        <v>23581291</v>
      </c>
      <c r="I543" s="1" t="s">
        <v>14</v>
      </c>
      <c r="J543" s="1" t="s">
        <v>2039</v>
      </c>
      <c r="K543" s="1" t="s">
        <v>547</v>
      </c>
      <c r="L543" s="1" t="s">
        <v>547</v>
      </c>
      <c r="M543" s="4">
        <v>46206.65347222222</v>
      </c>
      <c r="N543" s="1">
        <v>4718575</v>
      </c>
      <c r="O543" s="1" t="s">
        <v>93</v>
      </c>
      <c r="P543" s="1" t="s">
        <v>271</v>
      </c>
      <c r="Q543" s="1" t="s">
        <v>388</v>
      </c>
      <c r="R543" s="1" t="s">
        <v>388</v>
      </c>
      <c r="S543" s="1" t="s">
        <v>9</v>
      </c>
      <c r="T543" s="1" t="s">
        <v>274</v>
      </c>
      <c r="U543" s="1" t="s">
        <v>176</v>
      </c>
      <c r="V543" s="1" t="s">
        <v>1723</v>
      </c>
      <c r="W543" s="1" t="s">
        <v>93</v>
      </c>
      <c r="X543" s="1" t="s">
        <v>93</v>
      </c>
      <c r="Y543" s="1" t="s">
        <v>93</v>
      </c>
      <c r="Z543" s="1" t="s">
        <v>81</v>
      </c>
      <c r="AA543" s="1" t="s">
        <v>93</v>
      </c>
      <c r="AB543" s="1">
        <v>1155</v>
      </c>
      <c r="AC543" s="1">
        <v>0</v>
      </c>
      <c r="AD543" s="1">
        <v>0</v>
      </c>
      <c r="AE543" s="1">
        <v>0</v>
      </c>
      <c r="AF543" s="1">
        <v>0</v>
      </c>
      <c r="AG543" s="1">
        <v>0</v>
      </c>
      <c r="AH543" s="1">
        <v>0</v>
      </c>
      <c r="AI543" s="1" t="s">
        <v>2040</v>
      </c>
      <c r="AJ543" s="1" t="s">
        <v>410</v>
      </c>
      <c r="AK543" s="1" t="s">
        <v>14</v>
      </c>
      <c r="AL543" s="1" t="s">
        <v>65</v>
      </c>
      <c r="AM543" s="1" t="s">
        <v>292</v>
      </c>
      <c r="AN543" s="1" t="s">
        <v>21</v>
      </c>
      <c r="AO543" s="1" t="s">
        <v>293</v>
      </c>
      <c r="AP543" s="1" t="s">
        <v>281</v>
      </c>
      <c r="AQ543" s="1" t="s">
        <v>34</v>
      </c>
    </row>
    <row r="544" spans="1:43" x14ac:dyDescent="0.3">
      <c r="A544" s="1">
        <v>24863307</v>
      </c>
      <c r="B544" s="1">
        <v>25702453</v>
      </c>
      <c r="C544" s="1" t="s">
        <v>266</v>
      </c>
      <c r="D544" s="4">
        <v>46206.715115740742</v>
      </c>
      <c r="E544" s="4">
        <v>46206.725277777783</v>
      </c>
      <c r="F544" s="1" t="s">
        <v>22</v>
      </c>
      <c r="G544" s="1" t="s">
        <v>22</v>
      </c>
      <c r="H544" s="1" t="s">
        <v>2041</v>
      </c>
      <c r="I544" s="1" t="s">
        <v>17</v>
      </c>
      <c r="J544" s="1" t="s">
        <v>2042</v>
      </c>
      <c r="K544" s="1" t="s">
        <v>579</v>
      </c>
      <c r="L544" s="1" t="s">
        <v>579</v>
      </c>
      <c r="M544" s="4">
        <v>46206.604861111111</v>
      </c>
      <c r="N544" s="1" t="s">
        <v>2043</v>
      </c>
      <c r="O544" s="1" t="s">
        <v>93</v>
      </c>
      <c r="P544" s="1" t="s">
        <v>342</v>
      </c>
      <c r="Q544" s="1" t="s">
        <v>286</v>
      </c>
      <c r="R544" s="1" t="s">
        <v>286</v>
      </c>
      <c r="S544" s="1" t="s">
        <v>9</v>
      </c>
      <c r="T544" s="1" t="s">
        <v>274</v>
      </c>
      <c r="U544" s="1" t="s">
        <v>141</v>
      </c>
      <c r="V544" s="1" t="s">
        <v>581</v>
      </c>
      <c r="W544" s="1" t="s">
        <v>93</v>
      </c>
      <c r="X544" s="1" t="s">
        <v>93</v>
      </c>
      <c r="Y544" s="1" t="s">
        <v>93</v>
      </c>
      <c r="Z544" s="1" t="s">
        <v>47</v>
      </c>
      <c r="AA544" s="1" t="s">
        <v>93</v>
      </c>
      <c r="AB544" s="1">
        <v>320</v>
      </c>
      <c r="AC544" s="1">
        <v>0</v>
      </c>
      <c r="AD544" s="1">
        <v>0</v>
      </c>
      <c r="AE544" s="1">
        <v>0</v>
      </c>
      <c r="AF544" s="1">
        <v>0</v>
      </c>
      <c r="AG544" s="1">
        <v>0</v>
      </c>
      <c r="AH544" s="1">
        <v>0</v>
      </c>
      <c r="AI544" s="1" t="s">
        <v>290</v>
      </c>
      <c r="AJ544" s="1" t="s">
        <v>410</v>
      </c>
      <c r="AK544" s="1" t="s">
        <v>17</v>
      </c>
      <c r="AL544" s="1" t="s">
        <v>65</v>
      </c>
      <c r="AM544" s="1" t="s">
        <v>292</v>
      </c>
      <c r="AN544" s="1" t="s">
        <v>21</v>
      </c>
      <c r="AO544" s="1" t="s">
        <v>280</v>
      </c>
      <c r="AP544" s="1" t="s">
        <v>324</v>
      </c>
      <c r="AQ544" s="1" t="s">
        <v>20</v>
      </c>
    </row>
    <row r="545" spans="1:43" x14ac:dyDescent="0.3">
      <c r="A545" s="1">
        <v>24868513</v>
      </c>
      <c r="B545" s="1">
        <v>25708364</v>
      </c>
      <c r="C545" s="1" t="s">
        <v>266</v>
      </c>
      <c r="D545" s="4">
        <v>46207.757789351846</v>
      </c>
      <c r="E545" s="4">
        <v>46207.758993055562</v>
      </c>
      <c r="F545" s="1" t="s">
        <v>19</v>
      </c>
      <c r="G545" s="1" t="s">
        <v>19</v>
      </c>
      <c r="H545" s="1" t="s">
        <v>2044</v>
      </c>
      <c r="I545" s="1" t="s">
        <v>1020</v>
      </c>
      <c r="J545" s="1" t="s">
        <v>2045</v>
      </c>
      <c r="K545" s="1" t="s">
        <v>2046</v>
      </c>
      <c r="L545" s="1" t="s">
        <v>2046</v>
      </c>
      <c r="M545" s="4">
        <v>46207.756944444453</v>
      </c>
      <c r="N545" s="1">
        <v>7548553</v>
      </c>
      <c r="O545" s="1" t="s">
        <v>93</v>
      </c>
      <c r="P545" s="1" t="s">
        <v>342</v>
      </c>
      <c r="Q545" s="1" t="s">
        <v>286</v>
      </c>
      <c r="R545" s="1" t="s">
        <v>286</v>
      </c>
      <c r="S545" s="1" t="s">
        <v>7</v>
      </c>
      <c r="T545" s="1" t="s">
        <v>274</v>
      </c>
      <c r="U545" s="1" t="s">
        <v>93</v>
      </c>
      <c r="V545" s="1" t="s">
        <v>2047</v>
      </c>
      <c r="W545" s="1" t="s">
        <v>93</v>
      </c>
      <c r="X545" s="1" t="s">
        <v>298</v>
      </c>
      <c r="Y545" s="1">
        <v>2307191987</v>
      </c>
      <c r="Z545" s="1" t="s">
        <v>46</v>
      </c>
      <c r="AA545" s="1" t="s">
        <v>93</v>
      </c>
      <c r="AB545" s="1">
        <v>1563.99</v>
      </c>
      <c r="AC545" s="1">
        <v>116.23</v>
      </c>
      <c r="AD545" s="1">
        <v>0</v>
      </c>
      <c r="AE545" s="1">
        <v>0</v>
      </c>
      <c r="AF545" s="1">
        <v>0</v>
      </c>
      <c r="AG545" s="1">
        <v>0</v>
      </c>
      <c r="AH545" s="1">
        <v>252.24</v>
      </c>
      <c r="AI545" s="1" t="s">
        <v>93</v>
      </c>
      <c r="AJ545" s="1" t="s">
        <v>451</v>
      </c>
      <c r="AK545" s="1" t="s">
        <v>46</v>
      </c>
      <c r="AL545" s="1" t="s">
        <v>84</v>
      </c>
      <c r="AM545" s="1" t="s">
        <v>452</v>
      </c>
      <c r="AN545" s="1" t="s">
        <v>21</v>
      </c>
      <c r="AO545" s="1" t="s">
        <v>280</v>
      </c>
      <c r="AP545" s="1" t="s">
        <v>2048</v>
      </c>
      <c r="AQ545" s="1" t="s">
        <v>124</v>
      </c>
    </row>
    <row r="546" spans="1:43" x14ac:dyDescent="0.3">
      <c r="A546" s="1">
        <v>24868513</v>
      </c>
      <c r="B546" s="1">
        <v>25708366</v>
      </c>
      <c r="C546" s="1" t="s">
        <v>294</v>
      </c>
      <c r="D546" s="4">
        <v>46207.757789351846</v>
      </c>
      <c r="E546" s="4">
        <v>46207.758993055562</v>
      </c>
      <c r="F546" s="1" t="s">
        <v>19</v>
      </c>
      <c r="G546" s="1" t="s">
        <v>19</v>
      </c>
      <c r="H546" s="1" t="s">
        <v>2044</v>
      </c>
      <c r="I546" s="1" t="s">
        <v>1020</v>
      </c>
      <c r="J546" s="1" t="s">
        <v>2049</v>
      </c>
      <c r="K546" s="1" t="s">
        <v>2046</v>
      </c>
      <c r="L546" s="1" t="s">
        <v>2046</v>
      </c>
      <c r="M546" s="4">
        <v>46207.756944444453</v>
      </c>
      <c r="N546" s="1">
        <v>7548553</v>
      </c>
      <c r="O546" s="1" t="s">
        <v>93</v>
      </c>
      <c r="P546" s="1" t="s">
        <v>342</v>
      </c>
      <c r="Q546" s="1" t="s">
        <v>286</v>
      </c>
      <c r="R546" s="1" t="s">
        <v>286</v>
      </c>
      <c r="S546" s="1" t="s">
        <v>7</v>
      </c>
      <c r="T546" s="1" t="s">
        <v>274</v>
      </c>
      <c r="U546" s="1" t="s">
        <v>93</v>
      </c>
      <c r="V546" s="1" t="s">
        <v>2047</v>
      </c>
      <c r="W546" s="1" t="s">
        <v>93</v>
      </c>
      <c r="X546" s="1" t="s">
        <v>298</v>
      </c>
      <c r="Y546" s="1">
        <v>2307191988</v>
      </c>
      <c r="Z546" s="1" t="s">
        <v>46</v>
      </c>
      <c r="AA546" s="1" t="s">
        <v>93</v>
      </c>
      <c r="AB546" s="1">
        <v>1563.99</v>
      </c>
      <c r="AC546" s="1">
        <v>116.23</v>
      </c>
      <c r="AD546" s="1">
        <v>0</v>
      </c>
      <c r="AE546" s="1">
        <v>0</v>
      </c>
      <c r="AF546" s="1">
        <v>0</v>
      </c>
      <c r="AG546" s="1">
        <v>0</v>
      </c>
      <c r="AH546" s="1">
        <v>0</v>
      </c>
      <c r="AI546" s="1" t="s">
        <v>93</v>
      </c>
      <c r="AJ546" s="1" t="s">
        <v>451</v>
      </c>
      <c r="AK546" s="1" t="s">
        <v>46</v>
      </c>
      <c r="AL546" s="1" t="s">
        <v>84</v>
      </c>
      <c r="AM546" s="1" t="s">
        <v>452</v>
      </c>
      <c r="AN546" s="1" t="s">
        <v>21</v>
      </c>
      <c r="AO546" s="1" t="s">
        <v>280</v>
      </c>
      <c r="AP546" s="1" t="s">
        <v>2048</v>
      </c>
      <c r="AQ546" s="1" t="s">
        <v>124</v>
      </c>
    </row>
    <row r="547" spans="1:43" x14ac:dyDescent="0.3">
      <c r="A547" s="1">
        <v>24867036</v>
      </c>
      <c r="B547" s="1">
        <v>25706545</v>
      </c>
      <c r="C547" s="1" t="s">
        <v>266</v>
      </c>
      <c r="D547" s="4">
        <v>46207.450798611113</v>
      </c>
      <c r="E547" s="4">
        <v>46207.452696759261</v>
      </c>
      <c r="F547" s="1" t="s">
        <v>19</v>
      </c>
      <c r="G547" s="1" t="s">
        <v>19</v>
      </c>
      <c r="H547" s="1" t="s">
        <v>2050</v>
      </c>
      <c r="I547" s="1" t="s">
        <v>1020</v>
      </c>
      <c r="J547" s="1" t="s">
        <v>2051</v>
      </c>
      <c r="K547" s="1" t="s">
        <v>2046</v>
      </c>
      <c r="L547" s="1" t="s">
        <v>2046</v>
      </c>
      <c r="M547" s="4">
        <v>46207.45</v>
      </c>
      <c r="N547" s="1">
        <v>7547240</v>
      </c>
      <c r="O547" s="1" t="s">
        <v>93</v>
      </c>
      <c r="P547" s="1" t="s">
        <v>342</v>
      </c>
      <c r="Q547" s="1" t="s">
        <v>286</v>
      </c>
      <c r="R547" s="1" t="s">
        <v>286</v>
      </c>
      <c r="S547" s="1" t="s">
        <v>7</v>
      </c>
      <c r="T547" s="1" t="s">
        <v>274</v>
      </c>
      <c r="U547" s="1" t="s">
        <v>93</v>
      </c>
      <c r="V547" s="1" t="s">
        <v>2052</v>
      </c>
      <c r="W547" s="1" t="s">
        <v>93</v>
      </c>
      <c r="X547" s="1" t="s">
        <v>298</v>
      </c>
      <c r="Y547" s="1">
        <v>2307166950</v>
      </c>
      <c r="Z547" s="1" t="s">
        <v>46</v>
      </c>
      <c r="AA547" s="1" t="s">
        <v>93</v>
      </c>
      <c r="AB547" s="1">
        <v>715.76</v>
      </c>
      <c r="AC547" s="1">
        <v>114.86</v>
      </c>
      <c r="AD547" s="1">
        <v>0</v>
      </c>
      <c r="AE547" s="1">
        <v>0</v>
      </c>
      <c r="AF547" s="1">
        <v>0</v>
      </c>
      <c r="AG547" s="1">
        <v>0</v>
      </c>
      <c r="AH547" s="1">
        <v>65.42</v>
      </c>
      <c r="AI547" s="1" t="s">
        <v>93</v>
      </c>
      <c r="AJ547" s="1" t="s">
        <v>451</v>
      </c>
      <c r="AK547" s="1" t="s">
        <v>46</v>
      </c>
      <c r="AL547" s="1" t="s">
        <v>84</v>
      </c>
      <c r="AM547" s="1" t="s">
        <v>452</v>
      </c>
      <c r="AN547" s="1" t="s">
        <v>21</v>
      </c>
      <c r="AO547" s="1" t="s">
        <v>280</v>
      </c>
      <c r="AP547" s="1" t="s">
        <v>2048</v>
      </c>
      <c r="AQ547" s="1" t="s">
        <v>124</v>
      </c>
    </row>
    <row r="548" spans="1:43" x14ac:dyDescent="0.3">
      <c r="A548" s="1">
        <v>24864512</v>
      </c>
      <c r="B548" s="1">
        <v>25703741</v>
      </c>
      <c r="C548" s="1" t="s">
        <v>266</v>
      </c>
      <c r="D548" s="4">
        <v>46206.762326388889</v>
      </c>
      <c r="E548" s="4">
        <v>46206.763020833343</v>
      </c>
      <c r="F548" s="1" t="s">
        <v>22</v>
      </c>
      <c r="G548" s="1" t="s">
        <v>22</v>
      </c>
      <c r="H548" s="1" t="s">
        <v>2053</v>
      </c>
      <c r="I548" s="1" t="s">
        <v>1020</v>
      </c>
      <c r="J548" s="1" t="s">
        <v>2054</v>
      </c>
      <c r="K548" s="1" t="s">
        <v>1022</v>
      </c>
      <c r="L548" s="1" t="s">
        <v>1022</v>
      </c>
      <c r="M548" s="4">
        <v>46206.237500000003</v>
      </c>
      <c r="N548" s="1" t="s">
        <v>93</v>
      </c>
      <c r="O548" s="1" t="s">
        <v>93</v>
      </c>
      <c r="P548" s="1" t="s">
        <v>342</v>
      </c>
      <c r="Q548" s="1" t="s">
        <v>303</v>
      </c>
      <c r="R548" s="1" t="s">
        <v>272</v>
      </c>
      <c r="S548" s="1" t="s">
        <v>7</v>
      </c>
      <c r="T548" s="1" t="s">
        <v>274</v>
      </c>
      <c r="U548" s="1" t="s">
        <v>155</v>
      </c>
      <c r="V548" s="1" t="s">
        <v>522</v>
      </c>
      <c r="W548" s="1" t="s">
        <v>93</v>
      </c>
      <c r="X548" s="1" t="s">
        <v>298</v>
      </c>
      <c r="Y548" s="1">
        <v>2307128563</v>
      </c>
      <c r="Z548" s="1" t="s">
        <v>43</v>
      </c>
      <c r="AA548" s="1" t="s">
        <v>93</v>
      </c>
      <c r="AB548" s="1">
        <v>1247.24</v>
      </c>
      <c r="AC548" s="1">
        <v>48.63</v>
      </c>
      <c r="AD548" s="1">
        <v>0</v>
      </c>
      <c r="AE548" s="1">
        <v>0</v>
      </c>
      <c r="AF548" s="1">
        <v>0</v>
      </c>
      <c r="AG548" s="1">
        <v>0</v>
      </c>
      <c r="AH548" s="1">
        <v>112.25</v>
      </c>
      <c r="AI548" s="1" t="s">
        <v>1023</v>
      </c>
      <c r="AJ548" s="1" t="s">
        <v>707</v>
      </c>
      <c r="AK548" s="1" t="s">
        <v>43</v>
      </c>
      <c r="AL548" s="1" t="s">
        <v>69</v>
      </c>
      <c r="AM548" s="1" t="s">
        <v>337</v>
      </c>
      <c r="AN548" s="1" t="s">
        <v>21</v>
      </c>
      <c r="AO548" s="1" t="s">
        <v>280</v>
      </c>
      <c r="AP548" s="1" t="s">
        <v>810</v>
      </c>
      <c r="AQ548" s="1" t="s">
        <v>123</v>
      </c>
    </row>
    <row r="549" spans="1:43" x14ac:dyDescent="0.3">
      <c r="A549" s="1">
        <v>24868672</v>
      </c>
      <c r="B549" s="1">
        <v>25708575</v>
      </c>
      <c r="C549" s="1" t="s">
        <v>266</v>
      </c>
      <c r="D549" s="4">
        <v>46207.800104166658</v>
      </c>
      <c r="E549" s="4">
        <v>46207.80097222222</v>
      </c>
      <c r="F549" s="1" t="s">
        <v>19</v>
      </c>
      <c r="G549" s="1" t="s">
        <v>19</v>
      </c>
      <c r="H549" s="1" t="s">
        <v>2055</v>
      </c>
      <c r="I549" s="1" t="s">
        <v>1020</v>
      </c>
      <c r="J549" s="1" t="s">
        <v>2056</v>
      </c>
      <c r="K549" s="1" t="s">
        <v>2046</v>
      </c>
      <c r="L549" s="1" t="s">
        <v>2046</v>
      </c>
      <c r="M549" s="4">
        <v>46207.799305555563</v>
      </c>
      <c r="N549" s="1">
        <v>7548723</v>
      </c>
      <c r="O549" s="1" t="s">
        <v>93</v>
      </c>
      <c r="P549" s="1" t="s">
        <v>342</v>
      </c>
      <c r="Q549" s="1" t="s">
        <v>303</v>
      </c>
      <c r="R549" s="1" t="s">
        <v>273</v>
      </c>
      <c r="S549" s="1" t="s">
        <v>7</v>
      </c>
      <c r="T549" s="1" t="s">
        <v>274</v>
      </c>
      <c r="U549" s="1" t="s">
        <v>169</v>
      </c>
      <c r="V549" s="1" t="s">
        <v>2057</v>
      </c>
      <c r="W549" s="1" t="s">
        <v>93</v>
      </c>
      <c r="X549" s="1" t="s">
        <v>298</v>
      </c>
      <c r="Y549" s="1">
        <v>2307195284</v>
      </c>
      <c r="Z549" s="1" t="s">
        <v>46</v>
      </c>
      <c r="AA549" s="1" t="s">
        <v>93</v>
      </c>
      <c r="AB549" s="1">
        <v>233.11</v>
      </c>
      <c r="AC549" s="1">
        <v>52.72</v>
      </c>
      <c r="AD549" s="1">
        <v>0</v>
      </c>
      <c r="AE549" s="1">
        <v>0</v>
      </c>
      <c r="AF549" s="1">
        <v>0</v>
      </c>
      <c r="AG549" s="1">
        <v>0</v>
      </c>
      <c r="AH549" s="1">
        <v>17.32</v>
      </c>
      <c r="AI549" s="1" t="s">
        <v>93</v>
      </c>
      <c r="AJ549" s="1" t="s">
        <v>2058</v>
      </c>
      <c r="AK549" s="1" t="s">
        <v>46</v>
      </c>
      <c r="AL549" s="1" t="s">
        <v>82</v>
      </c>
      <c r="AM549" s="1" t="s">
        <v>2059</v>
      </c>
      <c r="AN549" s="1" t="s">
        <v>32</v>
      </c>
      <c r="AO549" s="1" t="s">
        <v>293</v>
      </c>
      <c r="AP549" s="1" t="s">
        <v>2048</v>
      </c>
      <c r="AQ549" s="1" t="s">
        <v>124</v>
      </c>
    </row>
    <row r="550" spans="1:43" x14ac:dyDescent="0.3">
      <c r="A550" s="1">
        <v>24868823</v>
      </c>
      <c r="B550" s="1">
        <v>25708770</v>
      </c>
      <c r="C550" s="1" t="s">
        <v>266</v>
      </c>
      <c r="D550" s="4">
        <v>46207.844664351847</v>
      </c>
      <c r="E550" s="4">
        <v>46207.855104166672</v>
      </c>
      <c r="F550" s="1" t="s">
        <v>19</v>
      </c>
      <c r="G550" s="1" t="s">
        <v>19</v>
      </c>
      <c r="H550" s="1" t="s">
        <v>2060</v>
      </c>
      <c r="I550" s="1" t="s">
        <v>1020</v>
      </c>
      <c r="J550" s="1" t="s">
        <v>2061</v>
      </c>
      <c r="K550" s="1" t="s">
        <v>2046</v>
      </c>
      <c r="L550" s="1" t="s">
        <v>2046</v>
      </c>
      <c r="M550" s="4">
        <v>46207.843055555553</v>
      </c>
      <c r="N550" s="1">
        <v>7548870</v>
      </c>
      <c r="O550" s="1" t="s">
        <v>93</v>
      </c>
      <c r="P550" s="1" t="s">
        <v>342</v>
      </c>
      <c r="Q550" s="1" t="s">
        <v>286</v>
      </c>
      <c r="R550" s="1" t="s">
        <v>286</v>
      </c>
      <c r="S550" s="1" t="s">
        <v>7</v>
      </c>
      <c r="T550" s="1" t="s">
        <v>274</v>
      </c>
      <c r="U550" s="1" t="s">
        <v>169</v>
      </c>
      <c r="V550" s="1" t="s">
        <v>2062</v>
      </c>
      <c r="W550" s="1" t="s">
        <v>93</v>
      </c>
      <c r="X550" s="1" t="s">
        <v>298</v>
      </c>
      <c r="Y550" s="1">
        <v>2307198496</v>
      </c>
      <c r="Z550" s="1" t="s">
        <v>46</v>
      </c>
      <c r="AA550" s="1" t="s">
        <v>93</v>
      </c>
      <c r="AB550" s="1">
        <v>1174.8800000000001</v>
      </c>
      <c r="AC550" s="1">
        <v>52.72</v>
      </c>
      <c r="AD550" s="1">
        <v>0</v>
      </c>
      <c r="AE550" s="1">
        <v>0</v>
      </c>
      <c r="AF550" s="1">
        <v>0</v>
      </c>
      <c r="AG550" s="1">
        <v>0</v>
      </c>
      <c r="AH550" s="1">
        <v>106.74</v>
      </c>
      <c r="AI550" s="1" t="s">
        <v>93</v>
      </c>
      <c r="AJ550" s="1" t="s">
        <v>2058</v>
      </c>
      <c r="AK550" s="1" t="s">
        <v>46</v>
      </c>
      <c r="AL550" s="1" t="s">
        <v>82</v>
      </c>
      <c r="AM550" s="1" t="s">
        <v>2059</v>
      </c>
      <c r="AN550" s="1" t="s">
        <v>32</v>
      </c>
      <c r="AO550" s="1" t="s">
        <v>293</v>
      </c>
      <c r="AP550" s="1" t="s">
        <v>2048</v>
      </c>
      <c r="AQ550" s="1" t="s">
        <v>124</v>
      </c>
    </row>
    <row r="551" spans="1:43" x14ac:dyDescent="0.3">
      <c r="A551" s="1">
        <v>24870536</v>
      </c>
      <c r="B551" s="1">
        <v>25710725</v>
      </c>
      <c r="C551" s="1" t="s">
        <v>266</v>
      </c>
      <c r="D551" s="4">
        <v>46208.521770833337</v>
      </c>
      <c r="E551" s="4">
        <v>46208.523541666669</v>
      </c>
      <c r="F551" s="1" t="s">
        <v>19</v>
      </c>
      <c r="G551" s="1" t="s">
        <v>19</v>
      </c>
      <c r="H551" s="1" t="s">
        <v>2063</v>
      </c>
      <c r="I551" s="1" t="s">
        <v>1020</v>
      </c>
      <c r="J551" s="1" t="s">
        <v>2064</v>
      </c>
      <c r="K551" s="1" t="s">
        <v>2046</v>
      </c>
      <c r="L551" s="1" t="s">
        <v>2046</v>
      </c>
      <c r="M551" s="4">
        <v>46208.520833333343</v>
      </c>
      <c r="N551" s="1">
        <v>7550204</v>
      </c>
      <c r="O551" s="1" t="s">
        <v>93</v>
      </c>
      <c r="P551" s="1" t="s">
        <v>342</v>
      </c>
      <c r="Q551" s="1" t="s">
        <v>286</v>
      </c>
      <c r="R551" s="1" t="s">
        <v>286</v>
      </c>
      <c r="S551" s="1" t="s">
        <v>7</v>
      </c>
      <c r="T551" s="1" t="s">
        <v>274</v>
      </c>
      <c r="U551" s="1" t="s">
        <v>169</v>
      </c>
      <c r="V551" s="1" t="s">
        <v>2065</v>
      </c>
      <c r="W551" s="1" t="s">
        <v>93</v>
      </c>
      <c r="X551" s="1" t="s">
        <v>298</v>
      </c>
      <c r="Y551" s="1">
        <v>2307226718</v>
      </c>
      <c r="Z551" s="1" t="s">
        <v>46</v>
      </c>
      <c r="AA551" s="1" t="s">
        <v>93</v>
      </c>
      <c r="AB551" s="1">
        <v>365.09</v>
      </c>
      <c r="AC551" s="1">
        <v>52.72</v>
      </c>
      <c r="AD551" s="1">
        <v>0</v>
      </c>
      <c r="AE551" s="1">
        <v>0</v>
      </c>
      <c r="AF551" s="1">
        <v>0</v>
      </c>
      <c r="AG551" s="1">
        <v>0</v>
      </c>
      <c r="AH551" s="1">
        <v>135.44</v>
      </c>
      <c r="AI551" s="1" t="s">
        <v>93</v>
      </c>
      <c r="AJ551" s="1" t="s">
        <v>2058</v>
      </c>
      <c r="AK551" s="1" t="s">
        <v>46</v>
      </c>
      <c r="AL551" s="1" t="s">
        <v>82</v>
      </c>
      <c r="AM551" s="1" t="s">
        <v>2059</v>
      </c>
      <c r="AN551" s="1" t="s">
        <v>32</v>
      </c>
      <c r="AO551" s="1" t="s">
        <v>293</v>
      </c>
      <c r="AP551" s="1" t="s">
        <v>2048</v>
      </c>
      <c r="AQ551" s="1" t="s">
        <v>124</v>
      </c>
    </row>
    <row r="552" spans="1:43" x14ac:dyDescent="0.3">
      <c r="A552" s="1">
        <v>24870536</v>
      </c>
      <c r="B552" s="1">
        <v>25710727</v>
      </c>
      <c r="C552" s="1" t="s">
        <v>294</v>
      </c>
      <c r="D552" s="4">
        <v>46208.521770833337</v>
      </c>
      <c r="E552" s="4">
        <v>46208.523541666669</v>
      </c>
      <c r="F552" s="1" t="s">
        <v>19</v>
      </c>
      <c r="G552" s="1" t="s">
        <v>19</v>
      </c>
      <c r="H552" s="1" t="s">
        <v>2063</v>
      </c>
      <c r="I552" s="1" t="s">
        <v>1020</v>
      </c>
      <c r="J552" s="1" t="s">
        <v>2066</v>
      </c>
      <c r="K552" s="1" t="s">
        <v>2046</v>
      </c>
      <c r="L552" s="1" t="s">
        <v>2046</v>
      </c>
      <c r="M552" s="4">
        <v>46208.520833333343</v>
      </c>
      <c r="N552" s="1">
        <v>7550204</v>
      </c>
      <c r="O552" s="1" t="s">
        <v>93</v>
      </c>
      <c r="P552" s="1" t="s">
        <v>342</v>
      </c>
      <c r="Q552" s="1" t="s">
        <v>286</v>
      </c>
      <c r="R552" s="1" t="s">
        <v>286</v>
      </c>
      <c r="S552" s="1" t="s">
        <v>7</v>
      </c>
      <c r="T552" s="1" t="s">
        <v>274</v>
      </c>
      <c r="U552" s="1" t="s">
        <v>169</v>
      </c>
      <c r="V552" s="1" t="s">
        <v>2065</v>
      </c>
      <c r="W552" s="1" t="s">
        <v>93</v>
      </c>
      <c r="X552" s="1" t="s">
        <v>298</v>
      </c>
      <c r="Y552" s="1">
        <v>2307226719</v>
      </c>
      <c r="Z552" s="1" t="s">
        <v>46</v>
      </c>
      <c r="AA552" s="1" t="s">
        <v>93</v>
      </c>
      <c r="AB552" s="1">
        <v>365.09</v>
      </c>
      <c r="AC552" s="1">
        <v>52.72</v>
      </c>
      <c r="AD552" s="1">
        <v>0</v>
      </c>
      <c r="AE552" s="1">
        <v>0</v>
      </c>
      <c r="AF552" s="1">
        <v>0</v>
      </c>
      <c r="AG552" s="1">
        <v>0</v>
      </c>
      <c r="AH552" s="1">
        <v>0</v>
      </c>
      <c r="AI552" s="1" t="s">
        <v>93</v>
      </c>
      <c r="AJ552" s="1" t="s">
        <v>2058</v>
      </c>
      <c r="AK552" s="1" t="s">
        <v>46</v>
      </c>
      <c r="AL552" s="1" t="s">
        <v>82</v>
      </c>
      <c r="AM552" s="1" t="s">
        <v>2059</v>
      </c>
      <c r="AN552" s="1" t="s">
        <v>32</v>
      </c>
      <c r="AO552" s="1" t="s">
        <v>293</v>
      </c>
      <c r="AP552" s="1" t="s">
        <v>2048</v>
      </c>
      <c r="AQ552" s="1" t="s">
        <v>124</v>
      </c>
    </row>
    <row r="553" spans="1:43" x14ac:dyDescent="0.3">
      <c r="A553" s="1">
        <v>24870536</v>
      </c>
      <c r="B553" s="1">
        <v>25710728</v>
      </c>
      <c r="C553" s="1" t="s">
        <v>382</v>
      </c>
      <c r="D553" s="4">
        <v>46208.521770833337</v>
      </c>
      <c r="E553" s="4">
        <v>46208.523541666669</v>
      </c>
      <c r="F553" s="1" t="s">
        <v>19</v>
      </c>
      <c r="G553" s="1" t="s">
        <v>19</v>
      </c>
      <c r="H553" s="1" t="s">
        <v>2063</v>
      </c>
      <c r="I553" s="1" t="s">
        <v>1020</v>
      </c>
      <c r="J553" s="1" t="s">
        <v>2067</v>
      </c>
      <c r="K553" s="1" t="s">
        <v>2046</v>
      </c>
      <c r="L553" s="1" t="s">
        <v>2046</v>
      </c>
      <c r="M553" s="4">
        <v>46208.520833333343</v>
      </c>
      <c r="N553" s="1">
        <v>7550204</v>
      </c>
      <c r="O553" s="1" t="s">
        <v>93</v>
      </c>
      <c r="P553" s="1" t="s">
        <v>342</v>
      </c>
      <c r="Q553" s="1" t="s">
        <v>286</v>
      </c>
      <c r="R553" s="1" t="s">
        <v>286</v>
      </c>
      <c r="S553" s="1" t="s">
        <v>7</v>
      </c>
      <c r="T553" s="1" t="s">
        <v>274</v>
      </c>
      <c r="U553" s="1" t="s">
        <v>169</v>
      </c>
      <c r="V553" s="1" t="s">
        <v>2065</v>
      </c>
      <c r="W553" s="1" t="s">
        <v>93</v>
      </c>
      <c r="X553" s="1" t="s">
        <v>298</v>
      </c>
      <c r="Y553" s="1">
        <v>2307226720</v>
      </c>
      <c r="Z553" s="1" t="s">
        <v>46</v>
      </c>
      <c r="AA553" s="1" t="s">
        <v>93</v>
      </c>
      <c r="AB553" s="1">
        <v>365.09</v>
      </c>
      <c r="AC553" s="1">
        <v>52.72</v>
      </c>
      <c r="AD553" s="1">
        <v>0</v>
      </c>
      <c r="AE553" s="1">
        <v>0</v>
      </c>
      <c r="AF553" s="1">
        <v>0</v>
      </c>
      <c r="AG553" s="1">
        <v>0</v>
      </c>
      <c r="AH553" s="1">
        <v>0</v>
      </c>
      <c r="AI553" s="1" t="s">
        <v>93</v>
      </c>
      <c r="AJ553" s="1" t="s">
        <v>2058</v>
      </c>
      <c r="AK553" s="1" t="s">
        <v>46</v>
      </c>
      <c r="AL553" s="1" t="s">
        <v>82</v>
      </c>
      <c r="AM553" s="1" t="s">
        <v>2059</v>
      </c>
      <c r="AN553" s="1" t="s">
        <v>32</v>
      </c>
      <c r="AO553" s="1" t="s">
        <v>293</v>
      </c>
      <c r="AP553" s="1" t="s">
        <v>2048</v>
      </c>
      <c r="AQ553" s="1" t="s">
        <v>124</v>
      </c>
    </row>
    <row r="554" spans="1:43" x14ac:dyDescent="0.3">
      <c r="A554" s="1">
        <v>24870536</v>
      </c>
      <c r="B554" s="1">
        <v>25710731</v>
      </c>
      <c r="C554" s="1" t="s">
        <v>516</v>
      </c>
      <c r="D554" s="4">
        <v>46208.521770833337</v>
      </c>
      <c r="E554" s="4">
        <v>46208.523541666669</v>
      </c>
      <c r="F554" s="1" t="s">
        <v>19</v>
      </c>
      <c r="G554" s="1" t="s">
        <v>19</v>
      </c>
      <c r="H554" s="1" t="s">
        <v>2063</v>
      </c>
      <c r="I554" s="1" t="s">
        <v>1020</v>
      </c>
      <c r="J554" s="1" t="s">
        <v>2068</v>
      </c>
      <c r="K554" s="1" t="s">
        <v>2046</v>
      </c>
      <c r="L554" s="1" t="s">
        <v>2046</v>
      </c>
      <c r="M554" s="4">
        <v>46208.520833333343</v>
      </c>
      <c r="N554" s="1">
        <v>7550204</v>
      </c>
      <c r="O554" s="1" t="s">
        <v>93</v>
      </c>
      <c r="P554" s="1" t="s">
        <v>342</v>
      </c>
      <c r="Q554" s="1" t="s">
        <v>286</v>
      </c>
      <c r="R554" s="1" t="s">
        <v>286</v>
      </c>
      <c r="S554" s="1" t="s">
        <v>7</v>
      </c>
      <c r="T554" s="1" t="s">
        <v>274</v>
      </c>
      <c r="U554" s="1" t="s">
        <v>169</v>
      </c>
      <c r="V554" s="1" t="s">
        <v>2065</v>
      </c>
      <c r="W554" s="1" t="s">
        <v>93</v>
      </c>
      <c r="X554" s="1" t="s">
        <v>298</v>
      </c>
      <c r="Y554" s="1">
        <v>2307226721</v>
      </c>
      <c r="Z554" s="1" t="s">
        <v>46</v>
      </c>
      <c r="AA554" s="1" t="s">
        <v>93</v>
      </c>
      <c r="AB554" s="1">
        <v>365.09</v>
      </c>
      <c r="AC554" s="1">
        <v>52.72</v>
      </c>
      <c r="AD554" s="1">
        <v>0</v>
      </c>
      <c r="AE554" s="1">
        <v>0</v>
      </c>
      <c r="AF554" s="1">
        <v>0</v>
      </c>
      <c r="AG554" s="1">
        <v>0</v>
      </c>
      <c r="AH554" s="1">
        <v>0</v>
      </c>
      <c r="AI554" s="1" t="s">
        <v>93</v>
      </c>
      <c r="AJ554" s="1" t="s">
        <v>2058</v>
      </c>
      <c r="AK554" s="1" t="s">
        <v>46</v>
      </c>
      <c r="AL554" s="1" t="s">
        <v>82</v>
      </c>
      <c r="AM554" s="1" t="s">
        <v>2059</v>
      </c>
      <c r="AN554" s="1" t="s">
        <v>32</v>
      </c>
      <c r="AO554" s="1" t="s">
        <v>293</v>
      </c>
      <c r="AP554" s="1" t="s">
        <v>2048</v>
      </c>
      <c r="AQ554" s="1" t="s">
        <v>124</v>
      </c>
    </row>
    <row r="555" spans="1:43" x14ac:dyDescent="0.3">
      <c r="A555" s="1">
        <v>24870220</v>
      </c>
      <c r="B555" s="1">
        <v>25710317</v>
      </c>
      <c r="C555" s="1" t="s">
        <v>266</v>
      </c>
      <c r="D555" s="4">
        <v>46208.459108796298</v>
      </c>
      <c r="E555" s="4">
        <v>46208.461018518523</v>
      </c>
      <c r="F555" s="1" t="s">
        <v>19</v>
      </c>
      <c r="G555" s="1" t="s">
        <v>19</v>
      </c>
      <c r="H555" s="1" t="s">
        <v>2069</v>
      </c>
      <c r="I555" s="1" t="s">
        <v>1020</v>
      </c>
      <c r="J555" s="1" t="s">
        <v>2070</v>
      </c>
      <c r="K555" s="1" t="s">
        <v>2046</v>
      </c>
      <c r="L555" s="1" t="s">
        <v>2046</v>
      </c>
      <c r="M555" s="4">
        <v>46208.458333333343</v>
      </c>
      <c r="N555" s="1">
        <v>7549950</v>
      </c>
      <c r="O555" s="1" t="s">
        <v>93</v>
      </c>
      <c r="P555" s="1" t="s">
        <v>342</v>
      </c>
      <c r="Q555" s="1" t="s">
        <v>286</v>
      </c>
      <c r="R555" s="1" t="s">
        <v>286</v>
      </c>
      <c r="S555" s="1" t="s">
        <v>7</v>
      </c>
      <c r="T555" s="1" t="s">
        <v>274</v>
      </c>
      <c r="U555" s="1" t="s">
        <v>169</v>
      </c>
      <c r="V555" s="1" t="s">
        <v>2071</v>
      </c>
      <c r="W555" s="1" t="s">
        <v>93</v>
      </c>
      <c r="X555" s="1" t="s">
        <v>298</v>
      </c>
      <c r="Y555" s="1">
        <v>2307221621</v>
      </c>
      <c r="Z555" s="1" t="s">
        <v>46</v>
      </c>
      <c r="AA555" s="1" t="s">
        <v>93</v>
      </c>
      <c r="AB555" s="1">
        <v>502.02</v>
      </c>
      <c r="AC555" s="1">
        <v>56.88</v>
      </c>
      <c r="AD555" s="1">
        <v>0</v>
      </c>
      <c r="AE555" s="1">
        <v>0</v>
      </c>
      <c r="AF555" s="1">
        <v>0</v>
      </c>
      <c r="AG555" s="1">
        <v>0</v>
      </c>
      <c r="AH555" s="1">
        <v>41.16</v>
      </c>
      <c r="AI555" s="1" t="s">
        <v>93</v>
      </c>
      <c r="AJ555" s="1" t="s">
        <v>2058</v>
      </c>
      <c r="AK555" s="1" t="s">
        <v>46</v>
      </c>
      <c r="AL555" s="1" t="s">
        <v>82</v>
      </c>
      <c r="AM555" s="1" t="s">
        <v>2059</v>
      </c>
      <c r="AN555" s="1" t="s">
        <v>32</v>
      </c>
      <c r="AO555" s="1" t="s">
        <v>293</v>
      </c>
      <c r="AP555" s="1" t="s">
        <v>2048</v>
      </c>
      <c r="AQ555" s="1" t="s">
        <v>124</v>
      </c>
    </row>
    <row r="556" spans="1:43" x14ac:dyDescent="0.3">
      <c r="A556" s="1">
        <v>24862474</v>
      </c>
      <c r="B556" s="1">
        <v>25701497</v>
      </c>
      <c r="C556" s="1" t="s">
        <v>266</v>
      </c>
      <c r="D556" s="4">
        <v>46206.643229166657</v>
      </c>
      <c r="E556" s="4">
        <v>46206.64502314815</v>
      </c>
      <c r="F556" s="1" t="s">
        <v>22</v>
      </c>
      <c r="G556" s="1" t="s">
        <v>22</v>
      </c>
      <c r="H556" s="1" t="s">
        <v>2072</v>
      </c>
      <c r="I556" s="1" t="s">
        <v>1020</v>
      </c>
      <c r="J556" s="1" t="s">
        <v>2073</v>
      </c>
      <c r="K556" s="1" t="s">
        <v>2046</v>
      </c>
      <c r="L556" s="1" t="s">
        <v>2046</v>
      </c>
      <c r="M556" s="4">
        <v>46206.642361111109</v>
      </c>
      <c r="N556" s="1">
        <v>7545309</v>
      </c>
      <c r="O556" s="1" t="s">
        <v>93</v>
      </c>
      <c r="P556" s="1" t="s">
        <v>342</v>
      </c>
      <c r="Q556" s="1" t="s">
        <v>303</v>
      </c>
      <c r="R556" s="1" t="s">
        <v>273</v>
      </c>
      <c r="S556" s="1" t="s">
        <v>7</v>
      </c>
      <c r="T556" s="1" t="s">
        <v>274</v>
      </c>
      <c r="U556" s="1" t="s">
        <v>169</v>
      </c>
      <c r="V556" s="1" t="s">
        <v>2074</v>
      </c>
      <c r="W556" s="1" t="s">
        <v>93</v>
      </c>
      <c r="X556" s="1" t="s">
        <v>298</v>
      </c>
      <c r="Y556" s="1">
        <v>2307112661</v>
      </c>
      <c r="Z556" s="1" t="s">
        <v>46</v>
      </c>
      <c r="AA556" s="1" t="s">
        <v>93</v>
      </c>
      <c r="AB556" s="1">
        <v>1375.08</v>
      </c>
      <c r="AC556" s="1">
        <v>56.88</v>
      </c>
      <c r="AD556" s="1">
        <v>0</v>
      </c>
      <c r="AE556" s="1">
        <v>0</v>
      </c>
      <c r="AF556" s="1">
        <v>0</v>
      </c>
      <c r="AG556" s="1">
        <v>0</v>
      </c>
      <c r="AH556" s="1">
        <v>188.56</v>
      </c>
      <c r="AI556" s="1" t="s">
        <v>93</v>
      </c>
      <c r="AJ556" s="1" t="s">
        <v>2058</v>
      </c>
      <c r="AK556" s="1" t="s">
        <v>46</v>
      </c>
      <c r="AL556" s="1" t="s">
        <v>82</v>
      </c>
      <c r="AM556" s="1" t="s">
        <v>2059</v>
      </c>
      <c r="AN556" s="1" t="s">
        <v>32</v>
      </c>
      <c r="AO556" s="1" t="s">
        <v>293</v>
      </c>
      <c r="AP556" s="1" t="s">
        <v>2048</v>
      </c>
      <c r="AQ556" s="1" t="s">
        <v>124</v>
      </c>
    </row>
    <row r="557" spans="1:43" x14ac:dyDescent="0.3">
      <c r="A557" s="1">
        <v>24865563</v>
      </c>
      <c r="B557" s="1">
        <v>25704982</v>
      </c>
      <c r="C557" s="1" t="s">
        <v>266</v>
      </c>
      <c r="D557" s="4">
        <v>46206.973055555558</v>
      </c>
      <c r="E557" s="4">
        <v>46206.975636574083</v>
      </c>
      <c r="F557" s="1" t="s">
        <v>22</v>
      </c>
      <c r="G557" s="1" t="s">
        <v>22</v>
      </c>
      <c r="H557" s="1" t="s">
        <v>2075</v>
      </c>
      <c r="I557" s="1" t="s">
        <v>1020</v>
      </c>
      <c r="J557" s="1" t="s">
        <v>2076</v>
      </c>
      <c r="K557" s="1" t="s">
        <v>2046</v>
      </c>
      <c r="L557" s="1" t="s">
        <v>2046</v>
      </c>
      <c r="M557" s="4">
        <v>46206.972222222219</v>
      </c>
      <c r="N557" s="1">
        <v>7546356</v>
      </c>
      <c r="O557" s="1" t="s">
        <v>93</v>
      </c>
      <c r="P557" s="1" t="s">
        <v>342</v>
      </c>
      <c r="Q557" s="1" t="s">
        <v>286</v>
      </c>
      <c r="R557" s="1" t="s">
        <v>286</v>
      </c>
      <c r="S557" s="1" t="s">
        <v>7</v>
      </c>
      <c r="T557" s="1" t="s">
        <v>274</v>
      </c>
      <c r="U557" s="1" t="s">
        <v>169</v>
      </c>
      <c r="V557" s="1" t="s">
        <v>2077</v>
      </c>
      <c r="W557" s="1" t="s">
        <v>93</v>
      </c>
      <c r="X557" s="1" t="s">
        <v>298</v>
      </c>
      <c r="Y557" s="1">
        <v>2307151056</v>
      </c>
      <c r="Z557" s="1" t="s">
        <v>46</v>
      </c>
      <c r="AA557" s="1" t="s">
        <v>93</v>
      </c>
      <c r="AB557" s="1">
        <v>332.25</v>
      </c>
      <c r="AC557" s="1">
        <v>62.14</v>
      </c>
      <c r="AD557" s="1">
        <v>0</v>
      </c>
      <c r="AE557" s="1">
        <v>0</v>
      </c>
      <c r="AF557" s="1">
        <v>0</v>
      </c>
      <c r="AG557" s="1">
        <v>0</v>
      </c>
      <c r="AH557" s="1">
        <v>30.9</v>
      </c>
      <c r="AI557" s="1" t="s">
        <v>93</v>
      </c>
      <c r="AJ557" s="1" t="s">
        <v>2058</v>
      </c>
      <c r="AK557" s="1" t="s">
        <v>46</v>
      </c>
      <c r="AL557" s="1" t="s">
        <v>82</v>
      </c>
      <c r="AM557" s="1" t="s">
        <v>2059</v>
      </c>
      <c r="AN557" s="1" t="s">
        <v>32</v>
      </c>
      <c r="AO557" s="1" t="s">
        <v>293</v>
      </c>
      <c r="AP557" s="1" t="s">
        <v>2048</v>
      </c>
      <c r="AQ557" s="1" t="s">
        <v>124</v>
      </c>
    </row>
    <row r="558" spans="1:43" x14ac:dyDescent="0.3">
      <c r="A558" s="1">
        <v>24867637</v>
      </c>
      <c r="B558" s="1">
        <v>25707295</v>
      </c>
      <c r="C558" s="1" t="s">
        <v>266</v>
      </c>
      <c r="D558" s="4">
        <v>46207.559837962966</v>
      </c>
      <c r="E558" s="4">
        <v>46207.560983796298</v>
      </c>
      <c r="F558" s="1" t="s">
        <v>19</v>
      </c>
      <c r="G558" s="1" t="s">
        <v>19</v>
      </c>
      <c r="H558" s="1" t="s">
        <v>2078</v>
      </c>
      <c r="I558" s="1" t="s">
        <v>1020</v>
      </c>
      <c r="J558" s="1" t="s">
        <v>2079</v>
      </c>
      <c r="K558" s="1" t="s">
        <v>2046</v>
      </c>
      <c r="L558" s="1" t="s">
        <v>2046</v>
      </c>
      <c r="M558" s="4">
        <v>46207.559027777781</v>
      </c>
      <c r="N558" s="1">
        <v>7546644</v>
      </c>
      <c r="O558" s="1" t="s">
        <v>93</v>
      </c>
      <c r="P558" s="1" t="s">
        <v>342</v>
      </c>
      <c r="Q558" s="1" t="s">
        <v>286</v>
      </c>
      <c r="R558" s="1" t="s">
        <v>286</v>
      </c>
      <c r="S558" s="1" t="s">
        <v>7</v>
      </c>
      <c r="T558" s="1" t="s">
        <v>274</v>
      </c>
      <c r="U558" s="1" t="s">
        <v>169</v>
      </c>
      <c r="V558" s="1" t="s">
        <v>2080</v>
      </c>
      <c r="W558" s="1" t="s">
        <v>93</v>
      </c>
      <c r="X558" s="1" t="s">
        <v>298</v>
      </c>
      <c r="Y558" s="1">
        <v>2307177510</v>
      </c>
      <c r="Z558" s="1" t="s">
        <v>46</v>
      </c>
      <c r="AA558" s="1" t="s">
        <v>93</v>
      </c>
      <c r="AB558" s="1">
        <v>2237.2600000000002</v>
      </c>
      <c r="AC558" s="1">
        <v>87.73</v>
      </c>
      <c r="AD558" s="1">
        <v>0</v>
      </c>
      <c r="AE558" s="1">
        <v>0</v>
      </c>
      <c r="AF558" s="1">
        <v>0</v>
      </c>
      <c r="AG558" s="1">
        <v>0</v>
      </c>
      <c r="AH558" s="1">
        <v>607.04999999999995</v>
      </c>
      <c r="AI558" s="1" t="s">
        <v>93</v>
      </c>
      <c r="AJ558" s="1" t="s">
        <v>2081</v>
      </c>
      <c r="AK558" s="1" t="s">
        <v>46</v>
      </c>
      <c r="AL558" s="1" t="s">
        <v>80</v>
      </c>
      <c r="AM558" s="1" t="s">
        <v>279</v>
      </c>
      <c r="AN558" s="1" t="s">
        <v>21</v>
      </c>
      <c r="AO558" s="1" t="s">
        <v>280</v>
      </c>
      <c r="AP558" s="1" t="s">
        <v>2048</v>
      </c>
      <c r="AQ558" s="1" t="s">
        <v>124</v>
      </c>
    </row>
    <row r="559" spans="1:43" x14ac:dyDescent="0.3">
      <c r="A559" s="1">
        <v>24867637</v>
      </c>
      <c r="B559" s="1">
        <v>25707296</v>
      </c>
      <c r="C559" s="1" t="s">
        <v>294</v>
      </c>
      <c r="D559" s="4">
        <v>46207.559837962966</v>
      </c>
      <c r="E559" s="4">
        <v>46207.560983796298</v>
      </c>
      <c r="F559" s="1" t="s">
        <v>19</v>
      </c>
      <c r="G559" s="1" t="s">
        <v>19</v>
      </c>
      <c r="H559" s="1" t="s">
        <v>2078</v>
      </c>
      <c r="I559" s="1" t="s">
        <v>1020</v>
      </c>
      <c r="J559" s="1" t="s">
        <v>2082</v>
      </c>
      <c r="K559" s="1" t="s">
        <v>2046</v>
      </c>
      <c r="L559" s="1" t="s">
        <v>2046</v>
      </c>
      <c r="M559" s="4">
        <v>46207.559027777781</v>
      </c>
      <c r="N559" s="1">
        <v>7546644</v>
      </c>
      <c r="O559" s="1" t="s">
        <v>93</v>
      </c>
      <c r="P559" s="1" t="s">
        <v>342</v>
      </c>
      <c r="Q559" s="1" t="s">
        <v>286</v>
      </c>
      <c r="R559" s="1" t="s">
        <v>286</v>
      </c>
      <c r="S559" s="1" t="s">
        <v>7</v>
      </c>
      <c r="T559" s="1" t="s">
        <v>274</v>
      </c>
      <c r="U559" s="1" t="s">
        <v>169</v>
      </c>
      <c r="V559" s="1" t="s">
        <v>2080</v>
      </c>
      <c r="W559" s="1" t="s">
        <v>93</v>
      </c>
      <c r="X559" s="1" t="s">
        <v>298</v>
      </c>
      <c r="Y559" s="1">
        <v>2307177511</v>
      </c>
      <c r="Z559" s="1" t="s">
        <v>46</v>
      </c>
      <c r="AA559" s="1" t="s">
        <v>93</v>
      </c>
      <c r="AB559" s="1">
        <v>2237.2600000000002</v>
      </c>
      <c r="AC559" s="1">
        <v>87.73</v>
      </c>
      <c r="AD559" s="1">
        <v>0</v>
      </c>
      <c r="AE559" s="1">
        <v>0</v>
      </c>
      <c r="AF559" s="1">
        <v>0</v>
      </c>
      <c r="AG559" s="1">
        <v>0</v>
      </c>
      <c r="AH559" s="1">
        <v>0</v>
      </c>
      <c r="AI559" s="1" t="s">
        <v>93</v>
      </c>
      <c r="AJ559" s="1" t="s">
        <v>2081</v>
      </c>
      <c r="AK559" s="1" t="s">
        <v>46</v>
      </c>
      <c r="AL559" s="1" t="s">
        <v>80</v>
      </c>
      <c r="AM559" s="1" t="s">
        <v>279</v>
      </c>
      <c r="AN559" s="1" t="s">
        <v>21</v>
      </c>
      <c r="AO559" s="1" t="s">
        <v>280</v>
      </c>
      <c r="AP559" s="1" t="s">
        <v>2048</v>
      </c>
      <c r="AQ559" s="1" t="s">
        <v>124</v>
      </c>
    </row>
    <row r="560" spans="1:43" x14ac:dyDescent="0.3">
      <c r="A560" s="1">
        <v>24867637</v>
      </c>
      <c r="B560" s="1">
        <v>25707297</v>
      </c>
      <c r="C560" s="1" t="s">
        <v>382</v>
      </c>
      <c r="D560" s="4">
        <v>46207.559837962966</v>
      </c>
      <c r="E560" s="4">
        <v>46207.560983796298</v>
      </c>
      <c r="F560" s="1" t="s">
        <v>19</v>
      </c>
      <c r="G560" s="1" t="s">
        <v>19</v>
      </c>
      <c r="H560" s="1" t="s">
        <v>2078</v>
      </c>
      <c r="I560" s="1" t="s">
        <v>1020</v>
      </c>
      <c r="J560" s="1" t="s">
        <v>2083</v>
      </c>
      <c r="K560" s="1" t="s">
        <v>2046</v>
      </c>
      <c r="L560" s="1" t="s">
        <v>2046</v>
      </c>
      <c r="M560" s="4">
        <v>46207.559027777781</v>
      </c>
      <c r="N560" s="1">
        <v>7546644</v>
      </c>
      <c r="O560" s="1" t="s">
        <v>93</v>
      </c>
      <c r="P560" s="1" t="s">
        <v>342</v>
      </c>
      <c r="Q560" s="1" t="s">
        <v>286</v>
      </c>
      <c r="R560" s="1" t="s">
        <v>286</v>
      </c>
      <c r="S560" s="1" t="s">
        <v>7</v>
      </c>
      <c r="T560" s="1" t="s">
        <v>274</v>
      </c>
      <c r="U560" s="1" t="s">
        <v>169</v>
      </c>
      <c r="V560" s="1" t="s">
        <v>2080</v>
      </c>
      <c r="W560" s="1" t="s">
        <v>93</v>
      </c>
      <c r="X560" s="1" t="s">
        <v>298</v>
      </c>
      <c r="Y560" s="1">
        <v>2307177512</v>
      </c>
      <c r="Z560" s="1" t="s">
        <v>46</v>
      </c>
      <c r="AA560" s="1" t="s">
        <v>93</v>
      </c>
      <c r="AB560" s="1">
        <v>2237.2600000000002</v>
      </c>
      <c r="AC560" s="1">
        <v>87.73</v>
      </c>
      <c r="AD560" s="1">
        <v>0</v>
      </c>
      <c r="AE560" s="1">
        <v>0</v>
      </c>
      <c r="AF560" s="1">
        <v>0</v>
      </c>
      <c r="AG560" s="1">
        <v>0</v>
      </c>
      <c r="AH560" s="1">
        <v>0</v>
      </c>
      <c r="AI560" s="1" t="s">
        <v>93</v>
      </c>
      <c r="AJ560" s="1" t="s">
        <v>2081</v>
      </c>
      <c r="AK560" s="1" t="s">
        <v>46</v>
      </c>
      <c r="AL560" s="1" t="s">
        <v>80</v>
      </c>
      <c r="AM560" s="1" t="s">
        <v>279</v>
      </c>
      <c r="AN560" s="1" t="s">
        <v>21</v>
      </c>
      <c r="AO560" s="1" t="s">
        <v>280</v>
      </c>
      <c r="AP560" s="1" t="s">
        <v>2048</v>
      </c>
      <c r="AQ560" s="1" t="s">
        <v>124</v>
      </c>
    </row>
    <row r="561" spans="1:43" x14ac:dyDescent="0.3">
      <c r="A561" s="1">
        <v>24868264</v>
      </c>
      <c r="B561" s="1">
        <v>25708081</v>
      </c>
      <c r="C561" s="1" t="s">
        <v>266</v>
      </c>
      <c r="D561" s="4">
        <v>46207.711261574077</v>
      </c>
      <c r="E561" s="4">
        <v>46207.713287037041</v>
      </c>
      <c r="F561" s="1" t="s">
        <v>19</v>
      </c>
      <c r="G561" s="1" t="s">
        <v>19</v>
      </c>
      <c r="H561" s="1" t="s">
        <v>2084</v>
      </c>
      <c r="I561" s="1" t="s">
        <v>1020</v>
      </c>
      <c r="J561" s="1" t="s">
        <v>2085</v>
      </c>
      <c r="K561" s="1" t="s">
        <v>2046</v>
      </c>
      <c r="L561" s="1" t="s">
        <v>2046</v>
      </c>
      <c r="M561" s="4">
        <v>46207.710416666669</v>
      </c>
      <c r="N561" s="1">
        <v>7548357</v>
      </c>
      <c r="O561" s="1" t="s">
        <v>93</v>
      </c>
      <c r="P561" s="1" t="s">
        <v>342</v>
      </c>
      <c r="Q561" s="1" t="s">
        <v>303</v>
      </c>
      <c r="R561" s="1" t="s">
        <v>273</v>
      </c>
      <c r="S561" s="1" t="s">
        <v>7</v>
      </c>
      <c r="T561" s="1" t="s">
        <v>274</v>
      </c>
      <c r="U561" s="1" t="s">
        <v>169</v>
      </c>
      <c r="V561" s="1" t="s">
        <v>2086</v>
      </c>
      <c r="W561" s="1" t="s">
        <v>93</v>
      </c>
      <c r="X561" s="1" t="s">
        <v>298</v>
      </c>
      <c r="Y561" s="1">
        <v>2307188987</v>
      </c>
      <c r="Z561" s="1" t="s">
        <v>46</v>
      </c>
      <c r="AA561" s="1" t="s">
        <v>93</v>
      </c>
      <c r="AB561" s="1">
        <v>1410.55</v>
      </c>
      <c r="AC561" s="1">
        <v>51.44</v>
      </c>
      <c r="AD561" s="1">
        <v>0</v>
      </c>
      <c r="AE561" s="1">
        <v>0</v>
      </c>
      <c r="AF561" s="1">
        <v>0</v>
      </c>
      <c r="AG561" s="1">
        <v>0</v>
      </c>
      <c r="AH561" s="1">
        <v>977.41</v>
      </c>
      <c r="AI561" s="1" t="s">
        <v>93</v>
      </c>
      <c r="AJ561" s="1" t="s">
        <v>2058</v>
      </c>
      <c r="AK561" s="1" t="s">
        <v>46</v>
      </c>
      <c r="AL561" s="1" t="s">
        <v>82</v>
      </c>
      <c r="AM561" s="1" t="s">
        <v>2059</v>
      </c>
      <c r="AN561" s="1" t="s">
        <v>32</v>
      </c>
      <c r="AO561" s="1" t="s">
        <v>293</v>
      </c>
      <c r="AP561" s="1" t="s">
        <v>2048</v>
      </c>
      <c r="AQ561" s="1" t="s">
        <v>124</v>
      </c>
    </row>
    <row r="562" spans="1:43" x14ac:dyDescent="0.3">
      <c r="A562" s="1">
        <v>24868264</v>
      </c>
      <c r="B562" s="1">
        <v>25708082</v>
      </c>
      <c r="C562" s="1" t="s">
        <v>294</v>
      </c>
      <c r="D562" s="4">
        <v>46207.711261574077</v>
      </c>
      <c r="E562" s="4">
        <v>46207.713287037041</v>
      </c>
      <c r="F562" s="1" t="s">
        <v>19</v>
      </c>
      <c r="G562" s="1" t="s">
        <v>19</v>
      </c>
      <c r="H562" s="1" t="s">
        <v>2084</v>
      </c>
      <c r="I562" s="1" t="s">
        <v>1020</v>
      </c>
      <c r="J562" s="1" t="s">
        <v>2087</v>
      </c>
      <c r="K562" s="1" t="s">
        <v>2046</v>
      </c>
      <c r="L562" s="1" t="s">
        <v>2046</v>
      </c>
      <c r="M562" s="4">
        <v>46207.710416666669</v>
      </c>
      <c r="N562" s="1">
        <v>7548357</v>
      </c>
      <c r="O562" s="1" t="s">
        <v>93</v>
      </c>
      <c r="P562" s="1" t="s">
        <v>342</v>
      </c>
      <c r="Q562" s="1" t="s">
        <v>303</v>
      </c>
      <c r="R562" s="1" t="s">
        <v>273</v>
      </c>
      <c r="S562" s="1" t="s">
        <v>7</v>
      </c>
      <c r="T562" s="1" t="s">
        <v>274</v>
      </c>
      <c r="U562" s="1" t="s">
        <v>169</v>
      </c>
      <c r="V562" s="1" t="s">
        <v>2086</v>
      </c>
      <c r="W562" s="1" t="s">
        <v>93</v>
      </c>
      <c r="X562" s="1" t="s">
        <v>298</v>
      </c>
      <c r="Y562" s="1">
        <v>2307188988</v>
      </c>
      <c r="Z562" s="1" t="s">
        <v>46</v>
      </c>
      <c r="AA562" s="1" t="s">
        <v>93</v>
      </c>
      <c r="AB562" s="1">
        <v>1410.55</v>
      </c>
      <c r="AC562" s="1">
        <v>51.44</v>
      </c>
      <c r="AD562" s="1">
        <v>0</v>
      </c>
      <c r="AE562" s="1">
        <v>0</v>
      </c>
      <c r="AF562" s="1">
        <v>0</v>
      </c>
      <c r="AG562" s="1">
        <v>0</v>
      </c>
      <c r="AH562" s="1">
        <v>0</v>
      </c>
      <c r="AI562" s="1" t="s">
        <v>93</v>
      </c>
      <c r="AJ562" s="1" t="s">
        <v>2058</v>
      </c>
      <c r="AK562" s="1" t="s">
        <v>46</v>
      </c>
      <c r="AL562" s="1" t="s">
        <v>82</v>
      </c>
      <c r="AM562" s="1" t="s">
        <v>2059</v>
      </c>
      <c r="AN562" s="1" t="s">
        <v>32</v>
      </c>
      <c r="AO562" s="1" t="s">
        <v>293</v>
      </c>
      <c r="AP562" s="1" t="s">
        <v>2048</v>
      </c>
      <c r="AQ562" s="1" t="s">
        <v>124</v>
      </c>
    </row>
    <row r="563" spans="1:43" x14ac:dyDescent="0.3">
      <c r="A563" s="1">
        <v>24871874</v>
      </c>
      <c r="B563" s="1">
        <v>25712412</v>
      </c>
      <c r="C563" s="1" t="s">
        <v>266</v>
      </c>
      <c r="D563" s="4">
        <v>46208.878634259258</v>
      </c>
      <c r="E563" s="4">
        <v>46208.879895833343</v>
      </c>
      <c r="F563" s="1" t="s">
        <v>19</v>
      </c>
      <c r="G563" s="1" t="s">
        <v>19</v>
      </c>
      <c r="H563" s="1" t="s">
        <v>2088</v>
      </c>
      <c r="I563" s="1" t="s">
        <v>1020</v>
      </c>
      <c r="J563" s="1" t="s">
        <v>2089</v>
      </c>
      <c r="K563" s="1" t="s">
        <v>2046</v>
      </c>
      <c r="L563" s="1" t="s">
        <v>2046</v>
      </c>
      <c r="M563" s="4">
        <v>46208.87777777778</v>
      </c>
      <c r="N563" s="1">
        <v>7551450</v>
      </c>
      <c r="O563" s="1" t="s">
        <v>93</v>
      </c>
      <c r="P563" s="1" t="s">
        <v>342</v>
      </c>
      <c r="Q563" s="1" t="s">
        <v>286</v>
      </c>
      <c r="R563" s="1" t="s">
        <v>286</v>
      </c>
      <c r="S563" s="1" t="s">
        <v>7</v>
      </c>
      <c r="T563" s="1" t="s">
        <v>274</v>
      </c>
      <c r="U563" s="1" t="s">
        <v>169</v>
      </c>
      <c r="V563" s="1" t="s">
        <v>2090</v>
      </c>
      <c r="W563" s="1" t="s">
        <v>93</v>
      </c>
      <c r="X563" s="1" t="s">
        <v>298</v>
      </c>
      <c r="Y563" s="1">
        <v>2307253451</v>
      </c>
      <c r="Z563" s="1" t="s">
        <v>46</v>
      </c>
      <c r="AA563" s="1" t="s">
        <v>93</v>
      </c>
      <c r="AB563" s="1">
        <v>354.86</v>
      </c>
      <c r="AC563" s="1">
        <v>33.64</v>
      </c>
      <c r="AD563" s="1">
        <v>0</v>
      </c>
      <c r="AE563" s="1">
        <v>0</v>
      </c>
      <c r="AF563" s="1">
        <v>0</v>
      </c>
      <c r="AG563" s="1">
        <v>0</v>
      </c>
      <c r="AH563" s="1">
        <v>32.94</v>
      </c>
      <c r="AI563" s="1" t="s">
        <v>93</v>
      </c>
      <c r="AJ563" s="1" t="s">
        <v>2058</v>
      </c>
      <c r="AK563" s="1" t="s">
        <v>46</v>
      </c>
      <c r="AL563" s="1" t="s">
        <v>82</v>
      </c>
      <c r="AM563" s="1" t="s">
        <v>2059</v>
      </c>
      <c r="AN563" s="1" t="s">
        <v>32</v>
      </c>
      <c r="AO563" s="1" t="s">
        <v>293</v>
      </c>
      <c r="AP563" s="1" t="s">
        <v>2048</v>
      </c>
      <c r="AQ563" s="1" t="s">
        <v>124</v>
      </c>
    </row>
    <row r="564" spans="1:43" x14ac:dyDescent="0.3">
      <c r="A564" s="1">
        <v>24868819</v>
      </c>
      <c r="B564" s="1">
        <v>25708764</v>
      </c>
      <c r="C564" s="1" t="s">
        <v>266</v>
      </c>
      <c r="D564" s="4">
        <v>46207.841840277782</v>
      </c>
      <c r="E564" s="4">
        <v>46207.842048611114</v>
      </c>
      <c r="F564" s="1" t="s">
        <v>19</v>
      </c>
      <c r="G564" s="1" t="s">
        <v>19</v>
      </c>
      <c r="H564" s="1" t="s">
        <v>2091</v>
      </c>
      <c r="I564" s="1" t="s">
        <v>14</v>
      </c>
      <c r="J564" s="1" t="s">
        <v>2092</v>
      </c>
      <c r="K564" s="1" t="s">
        <v>487</v>
      </c>
      <c r="L564" s="1" t="s">
        <v>487</v>
      </c>
      <c r="M564" s="4">
        <v>46208.802083333343</v>
      </c>
      <c r="N564" s="1">
        <v>4718546</v>
      </c>
      <c r="O564" s="1" t="s">
        <v>93</v>
      </c>
      <c r="P564" s="1" t="s">
        <v>342</v>
      </c>
      <c r="Q564" s="1" t="s">
        <v>286</v>
      </c>
      <c r="R564" s="1" t="s">
        <v>286</v>
      </c>
      <c r="S564" s="1" t="s">
        <v>7</v>
      </c>
      <c r="T564" s="1" t="s">
        <v>274</v>
      </c>
      <c r="U564" s="1" t="s">
        <v>1812</v>
      </c>
      <c r="V564" s="1" t="s">
        <v>1813</v>
      </c>
      <c r="W564" s="1" t="s">
        <v>93</v>
      </c>
      <c r="X564" s="1" t="s">
        <v>276</v>
      </c>
      <c r="Y564" s="1">
        <v>2294627234</v>
      </c>
      <c r="Z564" s="1" t="s">
        <v>1814</v>
      </c>
      <c r="AA564" s="1" t="s">
        <v>93</v>
      </c>
      <c r="AB564" s="1">
        <v>1341.24</v>
      </c>
      <c r="AC564" s="1">
        <v>450</v>
      </c>
      <c r="AD564" s="1">
        <v>0</v>
      </c>
      <c r="AE564" s="1">
        <v>0</v>
      </c>
      <c r="AF564" s="1">
        <v>0</v>
      </c>
      <c r="AG564" s="1">
        <v>0</v>
      </c>
      <c r="AH564" s="1">
        <v>0</v>
      </c>
      <c r="AI564" s="1" t="s">
        <v>2093</v>
      </c>
      <c r="AJ564" s="1" t="s">
        <v>702</v>
      </c>
      <c r="AK564" s="1" t="s">
        <v>14</v>
      </c>
      <c r="AL564" s="1" t="s">
        <v>67</v>
      </c>
      <c r="AM564" s="1" t="s">
        <v>323</v>
      </c>
      <c r="AN564" s="1" t="s">
        <v>21</v>
      </c>
      <c r="AO564" s="1" t="s">
        <v>280</v>
      </c>
      <c r="AP564" s="1" t="s">
        <v>324</v>
      </c>
      <c r="AQ564" s="1" t="s">
        <v>125</v>
      </c>
    </row>
    <row r="565" spans="1:43" x14ac:dyDescent="0.3">
      <c r="A565" s="1">
        <v>24863249</v>
      </c>
      <c r="B565" s="1">
        <v>25702390</v>
      </c>
      <c r="C565" s="1" t="s">
        <v>266</v>
      </c>
      <c r="D565" s="4">
        <v>46206.712361111109</v>
      </c>
      <c r="E565" s="4">
        <v>46206.729953703703</v>
      </c>
      <c r="F565" s="1" t="s">
        <v>22</v>
      </c>
      <c r="G565" s="1" t="s">
        <v>22</v>
      </c>
      <c r="H565" s="1" t="s">
        <v>2094</v>
      </c>
      <c r="I565" s="1" t="s">
        <v>17</v>
      </c>
      <c r="J565" s="1" t="s">
        <v>2095</v>
      </c>
      <c r="K565" s="1" t="s">
        <v>472</v>
      </c>
      <c r="L565" s="1" t="s">
        <v>319</v>
      </c>
      <c r="M565" s="4">
        <v>46205.578472222223</v>
      </c>
      <c r="N565" s="1" t="s">
        <v>2094</v>
      </c>
      <c r="O565" s="1" t="s">
        <v>93</v>
      </c>
      <c r="P565" s="1" t="s">
        <v>271</v>
      </c>
      <c r="Q565" s="1" t="s">
        <v>286</v>
      </c>
      <c r="R565" s="1" t="s">
        <v>286</v>
      </c>
      <c r="S565" s="1" t="s">
        <v>7</v>
      </c>
      <c r="T565" s="1" t="s">
        <v>274</v>
      </c>
      <c r="U565" s="1" t="s">
        <v>200</v>
      </c>
      <c r="V565" s="1" t="s">
        <v>644</v>
      </c>
      <c r="W565" s="1" t="s">
        <v>93</v>
      </c>
      <c r="X565" s="1" t="s">
        <v>276</v>
      </c>
      <c r="Y565" s="1">
        <v>5232184622</v>
      </c>
      <c r="Z565" s="1" t="s">
        <v>53</v>
      </c>
      <c r="AA565" s="1" t="s">
        <v>93</v>
      </c>
      <c r="AB565" s="1">
        <v>2560.08</v>
      </c>
      <c r="AC565" s="1">
        <v>48.63</v>
      </c>
      <c r="AD565" s="1">
        <v>0</v>
      </c>
      <c r="AE565" s="1">
        <v>0</v>
      </c>
      <c r="AF565" s="1">
        <v>48.63</v>
      </c>
      <c r="AG565" s="1">
        <v>0</v>
      </c>
      <c r="AH565" s="1">
        <v>0</v>
      </c>
      <c r="AI565" s="1" t="s">
        <v>290</v>
      </c>
      <c r="AJ565" s="1" t="s">
        <v>2096</v>
      </c>
      <c r="AK565" s="1" t="s">
        <v>17</v>
      </c>
      <c r="AL565" s="1" t="s">
        <v>71</v>
      </c>
      <c r="AM565" s="1" t="s">
        <v>337</v>
      </c>
      <c r="AN565" s="1" t="s">
        <v>21</v>
      </c>
      <c r="AO565" s="1" t="s">
        <v>280</v>
      </c>
      <c r="AP565" s="1" t="s">
        <v>324</v>
      </c>
      <c r="AQ565" s="1" t="s">
        <v>27</v>
      </c>
    </row>
    <row r="566" spans="1:43" x14ac:dyDescent="0.3">
      <c r="A566" s="1">
        <v>24863254</v>
      </c>
      <c r="B566" s="1">
        <v>25702395</v>
      </c>
      <c r="C566" s="1" t="s">
        <v>266</v>
      </c>
      <c r="D566" s="4">
        <v>46206.712442129632</v>
      </c>
      <c r="E566" s="4">
        <v>46206.729953703703</v>
      </c>
      <c r="F566" s="1" t="s">
        <v>22</v>
      </c>
      <c r="G566" s="1" t="s">
        <v>22</v>
      </c>
      <c r="H566" s="1" t="s">
        <v>2097</v>
      </c>
      <c r="I566" s="1" t="s">
        <v>17</v>
      </c>
      <c r="J566" s="1" t="s">
        <v>2098</v>
      </c>
      <c r="K566" s="1" t="s">
        <v>472</v>
      </c>
      <c r="L566" s="1" t="s">
        <v>319</v>
      </c>
      <c r="M566" s="4">
        <v>46205.63958333333</v>
      </c>
      <c r="N566" s="1" t="s">
        <v>2097</v>
      </c>
      <c r="O566" s="1" t="s">
        <v>93</v>
      </c>
      <c r="P566" s="1" t="s">
        <v>271</v>
      </c>
      <c r="Q566" s="1" t="s">
        <v>286</v>
      </c>
      <c r="R566" s="1" t="s">
        <v>286</v>
      </c>
      <c r="S566" s="1" t="s">
        <v>7</v>
      </c>
      <c r="T566" s="1" t="s">
        <v>274</v>
      </c>
      <c r="U566" s="1" t="s">
        <v>200</v>
      </c>
      <c r="V566" s="1" t="s">
        <v>644</v>
      </c>
      <c r="W566" s="1" t="s">
        <v>93</v>
      </c>
      <c r="X566" s="1" t="s">
        <v>276</v>
      </c>
      <c r="Y566" s="1">
        <v>5232184626</v>
      </c>
      <c r="Z566" s="1" t="s">
        <v>53</v>
      </c>
      <c r="AA566" s="1" t="s">
        <v>93</v>
      </c>
      <c r="AB566" s="1">
        <v>799.23</v>
      </c>
      <c r="AC566" s="1">
        <v>48.63</v>
      </c>
      <c r="AD566" s="1">
        <v>0</v>
      </c>
      <c r="AE566" s="1">
        <v>0</v>
      </c>
      <c r="AF566" s="1">
        <v>48.63</v>
      </c>
      <c r="AG566" s="1">
        <v>0</v>
      </c>
      <c r="AH566" s="1">
        <v>0</v>
      </c>
      <c r="AI566" s="1" t="s">
        <v>290</v>
      </c>
      <c r="AJ566" s="1" t="s">
        <v>2096</v>
      </c>
      <c r="AK566" s="1" t="s">
        <v>17</v>
      </c>
      <c r="AL566" s="1" t="s">
        <v>71</v>
      </c>
      <c r="AM566" s="1" t="s">
        <v>337</v>
      </c>
      <c r="AN566" s="1" t="s">
        <v>21</v>
      </c>
      <c r="AO566" s="1" t="s">
        <v>280</v>
      </c>
      <c r="AP566" s="1" t="s">
        <v>324</v>
      </c>
      <c r="AQ566" s="1" t="s">
        <v>27</v>
      </c>
    </row>
    <row r="567" spans="1:43" x14ac:dyDescent="0.3">
      <c r="A567" s="1">
        <v>24864449</v>
      </c>
      <c r="B567" s="1">
        <v>25703682</v>
      </c>
      <c r="C567" s="1" t="s">
        <v>266</v>
      </c>
      <c r="D567" s="4">
        <v>46206.758645833332</v>
      </c>
      <c r="E567" s="4">
        <v>46206.771481481483</v>
      </c>
      <c r="F567" s="1" t="s">
        <v>22</v>
      </c>
      <c r="G567" s="1" t="s">
        <v>22</v>
      </c>
      <c r="H567" s="1" t="s">
        <v>2099</v>
      </c>
      <c r="I567" s="1" t="s">
        <v>17</v>
      </c>
      <c r="J567" s="1" t="s">
        <v>2100</v>
      </c>
      <c r="K567" s="1" t="s">
        <v>284</v>
      </c>
      <c r="L567" s="1" t="s">
        <v>284</v>
      </c>
      <c r="M567" s="4">
        <v>46206.57916666667</v>
      </c>
      <c r="N567" s="1" t="s">
        <v>2099</v>
      </c>
      <c r="O567" s="1" t="s">
        <v>93</v>
      </c>
      <c r="P567" s="1" t="s">
        <v>271</v>
      </c>
      <c r="Q567" s="1" t="s">
        <v>286</v>
      </c>
      <c r="R567" s="1" t="s">
        <v>286</v>
      </c>
      <c r="S567" s="1" t="s">
        <v>7</v>
      </c>
      <c r="T567" s="1" t="s">
        <v>274</v>
      </c>
      <c r="U567" s="1" t="s">
        <v>200</v>
      </c>
      <c r="V567" s="1" t="s">
        <v>644</v>
      </c>
      <c r="W567" s="1" t="s">
        <v>93</v>
      </c>
      <c r="X567" s="1" t="s">
        <v>276</v>
      </c>
      <c r="Y567" s="1" t="s">
        <v>93</v>
      </c>
      <c r="Z567" s="1" t="s">
        <v>53</v>
      </c>
      <c r="AA567" s="1" t="s">
        <v>93</v>
      </c>
      <c r="AB567" s="1">
        <v>3190.87</v>
      </c>
      <c r="AC567" s="1">
        <v>35.15</v>
      </c>
      <c r="AD567" s="1">
        <v>0</v>
      </c>
      <c r="AE567" s="1">
        <v>0</v>
      </c>
      <c r="AF567" s="1">
        <v>0</v>
      </c>
      <c r="AG567" s="1">
        <v>0</v>
      </c>
      <c r="AH567" s="1">
        <v>0</v>
      </c>
      <c r="AI567" s="1" t="s">
        <v>290</v>
      </c>
      <c r="AJ567" s="1" t="s">
        <v>645</v>
      </c>
      <c r="AK567" s="1" t="s">
        <v>17</v>
      </c>
      <c r="AL567" s="1" t="s">
        <v>86</v>
      </c>
      <c r="AM567" s="1" t="s">
        <v>279</v>
      </c>
      <c r="AN567" s="1" t="s">
        <v>21</v>
      </c>
      <c r="AO567" s="1" t="s">
        <v>280</v>
      </c>
      <c r="AP567" s="1" t="s">
        <v>324</v>
      </c>
      <c r="AQ567" s="1" t="s">
        <v>20</v>
      </c>
    </row>
    <row r="568" spans="1:43" x14ac:dyDescent="0.3">
      <c r="A568" s="1">
        <v>24864461</v>
      </c>
      <c r="B568" s="1">
        <v>25703690</v>
      </c>
      <c r="C568" s="1" t="s">
        <v>266</v>
      </c>
      <c r="D568" s="4">
        <v>46206.758784722217</v>
      </c>
      <c r="E568" s="4">
        <v>46206.761562500003</v>
      </c>
      <c r="F568" s="1" t="s">
        <v>22</v>
      </c>
      <c r="G568" s="1" t="s">
        <v>22</v>
      </c>
      <c r="H568" s="1" t="s">
        <v>2101</v>
      </c>
      <c r="I568" s="1" t="s">
        <v>14</v>
      </c>
      <c r="J568" s="1" t="s">
        <v>2102</v>
      </c>
      <c r="K568" s="1" t="s">
        <v>547</v>
      </c>
      <c r="L568" s="1" t="s">
        <v>547</v>
      </c>
      <c r="M568" s="4">
        <v>46213.749305555553</v>
      </c>
      <c r="N568" s="1">
        <v>4718683</v>
      </c>
      <c r="O568" s="1" t="s">
        <v>93</v>
      </c>
      <c r="P568" s="1" t="s">
        <v>342</v>
      </c>
      <c r="Q568" s="1" t="s">
        <v>286</v>
      </c>
      <c r="R568" s="1" t="s">
        <v>439</v>
      </c>
      <c r="S568" s="1" t="s">
        <v>7</v>
      </c>
      <c r="T568" s="1" t="s">
        <v>274</v>
      </c>
      <c r="U568" s="1" t="s">
        <v>167</v>
      </c>
      <c r="V568" s="1" t="s">
        <v>510</v>
      </c>
      <c r="W568" s="1" t="s">
        <v>93</v>
      </c>
      <c r="X568" s="1" t="s">
        <v>276</v>
      </c>
      <c r="Y568" s="1">
        <v>2294481909</v>
      </c>
      <c r="Z568" s="1" t="s">
        <v>83</v>
      </c>
      <c r="AA568" s="1" t="s">
        <v>93</v>
      </c>
      <c r="AB568" s="1">
        <v>1804.92</v>
      </c>
      <c r="AC568" s="1">
        <v>72.569999999999993</v>
      </c>
      <c r="AD568" s="1">
        <v>0</v>
      </c>
      <c r="AE568" s="1">
        <v>0</v>
      </c>
      <c r="AF568" s="1">
        <v>0</v>
      </c>
      <c r="AG568" s="1">
        <v>0</v>
      </c>
      <c r="AH568" s="1">
        <v>0</v>
      </c>
      <c r="AI568" s="1" t="s">
        <v>2103</v>
      </c>
      <c r="AJ568" s="1" t="s">
        <v>702</v>
      </c>
      <c r="AK568" s="1" t="s">
        <v>14</v>
      </c>
      <c r="AL568" s="1" t="s">
        <v>67</v>
      </c>
      <c r="AM568" s="1" t="s">
        <v>323</v>
      </c>
      <c r="AN568" s="1" t="s">
        <v>21</v>
      </c>
      <c r="AO568" s="1" t="s">
        <v>280</v>
      </c>
      <c r="AP568" s="1" t="s">
        <v>324</v>
      </c>
      <c r="AQ568" s="1" t="s">
        <v>125</v>
      </c>
    </row>
    <row r="569" spans="1:43" x14ac:dyDescent="0.3">
      <c r="A569" s="1">
        <v>24862372</v>
      </c>
      <c r="B569" s="1">
        <v>25701363</v>
      </c>
      <c r="C569" s="1" t="s">
        <v>266</v>
      </c>
      <c r="D569" s="4">
        <v>46206.629895833343</v>
      </c>
      <c r="E569" s="4">
        <v>46206.722650462973</v>
      </c>
      <c r="F569" s="1" t="s">
        <v>22</v>
      </c>
      <c r="G569" s="1" t="s">
        <v>22</v>
      </c>
      <c r="H569" s="1" t="s">
        <v>2104</v>
      </c>
      <c r="I569" s="1" t="s">
        <v>17</v>
      </c>
      <c r="J569" s="1" t="s">
        <v>2105</v>
      </c>
      <c r="K569" s="1" t="s">
        <v>284</v>
      </c>
      <c r="L569" s="1" t="s">
        <v>284</v>
      </c>
      <c r="M569" s="4">
        <v>46206.352777777778</v>
      </c>
      <c r="N569" s="1" t="s">
        <v>2104</v>
      </c>
      <c r="O569" s="1" t="s">
        <v>93</v>
      </c>
      <c r="P569" s="1" t="s">
        <v>271</v>
      </c>
      <c r="Q569" s="1" t="s">
        <v>286</v>
      </c>
      <c r="R569" s="1" t="s">
        <v>286</v>
      </c>
      <c r="S569" s="1" t="s">
        <v>7</v>
      </c>
      <c r="T569" s="1" t="s">
        <v>274</v>
      </c>
      <c r="U569" s="1" t="s">
        <v>177</v>
      </c>
      <c r="V569" s="1" t="s">
        <v>334</v>
      </c>
      <c r="W569" s="1" t="s">
        <v>288</v>
      </c>
      <c r="X569" s="1" t="s">
        <v>276</v>
      </c>
      <c r="Y569" s="1" t="s">
        <v>93</v>
      </c>
      <c r="Z569" s="1" t="s">
        <v>56</v>
      </c>
      <c r="AA569" s="1" t="s">
        <v>93</v>
      </c>
      <c r="AB569" s="1">
        <v>676.15</v>
      </c>
      <c r="AC569" s="1">
        <v>124.76</v>
      </c>
      <c r="AD569" s="1">
        <v>0</v>
      </c>
      <c r="AE569" s="1">
        <v>0</v>
      </c>
      <c r="AF569" s="1">
        <v>0</v>
      </c>
      <c r="AG569" s="1">
        <v>0</v>
      </c>
      <c r="AH569" s="1">
        <v>0</v>
      </c>
      <c r="AI569" s="1" t="s">
        <v>290</v>
      </c>
      <c r="AJ569" s="1" t="s">
        <v>645</v>
      </c>
      <c r="AK569" s="1" t="s">
        <v>17</v>
      </c>
      <c r="AL569" s="1" t="s">
        <v>86</v>
      </c>
      <c r="AM569" s="1" t="s">
        <v>279</v>
      </c>
      <c r="AN569" s="1" t="s">
        <v>21</v>
      </c>
      <c r="AO569" s="1" t="s">
        <v>280</v>
      </c>
      <c r="AP569" s="1" t="s">
        <v>324</v>
      </c>
      <c r="AQ569" s="1" t="s">
        <v>20</v>
      </c>
    </row>
    <row r="570" spans="1:43" x14ac:dyDescent="0.3">
      <c r="A570" s="1">
        <v>24862910</v>
      </c>
      <c r="B570" s="1">
        <v>25702003</v>
      </c>
      <c r="C570" s="1" t="s">
        <v>266</v>
      </c>
      <c r="D570" s="4">
        <v>46206.690671296303</v>
      </c>
      <c r="E570" s="4">
        <v>46206.694513888891</v>
      </c>
      <c r="F570" s="1" t="s">
        <v>22</v>
      </c>
      <c r="G570" s="1" t="s">
        <v>22</v>
      </c>
      <c r="H570" s="1" t="s">
        <v>2106</v>
      </c>
      <c r="I570" s="1" t="s">
        <v>14</v>
      </c>
      <c r="J570" s="1" t="s">
        <v>2107</v>
      </c>
      <c r="K570" s="1" t="s">
        <v>2108</v>
      </c>
      <c r="L570" s="1" t="s">
        <v>2108</v>
      </c>
      <c r="M570" s="4">
        <v>46203.942361111112</v>
      </c>
      <c r="N570" s="1">
        <v>4716611</v>
      </c>
      <c r="O570" s="1" t="s">
        <v>93</v>
      </c>
      <c r="P570" s="1" t="s">
        <v>271</v>
      </c>
      <c r="Q570" s="1" t="s">
        <v>286</v>
      </c>
      <c r="R570" s="1" t="s">
        <v>439</v>
      </c>
      <c r="S570" s="1" t="s">
        <v>7</v>
      </c>
      <c r="T570" s="1" t="s">
        <v>274</v>
      </c>
      <c r="U570" s="1" t="s">
        <v>142</v>
      </c>
      <c r="V570" s="1" t="s">
        <v>575</v>
      </c>
      <c r="W570" s="1" t="s">
        <v>93</v>
      </c>
      <c r="X570" s="1" t="s">
        <v>276</v>
      </c>
      <c r="Y570" s="1">
        <v>5232183995</v>
      </c>
      <c r="Z570" s="1" t="s">
        <v>50</v>
      </c>
      <c r="AA570" s="1" t="s">
        <v>93</v>
      </c>
      <c r="AB570" s="1">
        <v>0</v>
      </c>
      <c r="AC570" s="1">
        <v>62.62</v>
      </c>
      <c r="AD570" s="1">
        <v>0</v>
      </c>
      <c r="AE570" s="1">
        <v>0</v>
      </c>
      <c r="AF570" s="1">
        <v>0</v>
      </c>
      <c r="AG570" s="1">
        <v>0</v>
      </c>
      <c r="AH570" s="1">
        <v>0</v>
      </c>
      <c r="AI570" s="1" t="s">
        <v>2109</v>
      </c>
      <c r="AJ570" s="1" t="s">
        <v>604</v>
      </c>
      <c r="AK570" s="1" t="s">
        <v>14</v>
      </c>
      <c r="AL570" s="1" t="s">
        <v>71</v>
      </c>
      <c r="AM570" s="1" t="s">
        <v>337</v>
      </c>
      <c r="AN570" s="1" t="s">
        <v>21</v>
      </c>
      <c r="AO570" s="1" t="s">
        <v>280</v>
      </c>
      <c r="AP570" s="1" t="s">
        <v>324</v>
      </c>
      <c r="AQ570" s="1" t="s">
        <v>20</v>
      </c>
    </row>
    <row r="571" spans="1:43" x14ac:dyDescent="0.3">
      <c r="A571" s="1">
        <v>24864691</v>
      </c>
      <c r="B571" s="1">
        <v>25703954</v>
      </c>
      <c r="C571" s="1" t="s">
        <v>266</v>
      </c>
      <c r="D571" s="4">
        <v>46206.792175925933</v>
      </c>
      <c r="E571" s="4">
        <v>46206.797476851847</v>
      </c>
      <c r="F571" s="1" t="s">
        <v>22</v>
      </c>
      <c r="G571" s="1" t="s">
        <v>22</v>
      </c>
      <c r="H571" s="1" t="s">
        <v>2110</v>
      </c>
      <c r="I571" s="1" t="s">
        <v>268</v>
      </c>
      <c r="J571" s="1" t="s">
        <v>2111</v>
      </c>
      <c r="K571" s="1" t="s">
        <v>270</v>
      </c>
      <c r="L571" s="1" t="s">
        <v>270</v>
      </c>
      <c r="M571" s="4">
        <v>46206.636805555558</v>
      </c>
      <c r="N571" s="1">
        <v>9660</v>
      </c>
      <c r="O571" s="1" t="s">
        <v>93</v>
      </c>
      <c r="P571" s="1" t="s">
        <v>271</v>
      </c>
      <c r="Q571" s="1" t="s">
        <v>286</v>
      </c>
      <c r="R571" s="1" t="s">
        <v>286</v>
      </c>
      <c r="S571" s="1" t="s">
        <v>7</v>
      </c>
      <c r="T571" s="1" t="s">
        <v>274</v>
      </c>
      <c r="U571" s="1" t="s">
        <v>196</v>
      </c>
      <c r="V571" s="1" t="s">
        <v>1992</v>
      </c>
      <c r="W571" s="1" t="s">
        <v>93</v>
      </c>
      <c r="X571" s="1" t="s">
        <v>276</v>
      </c>
      <c r="Y571" s="1">
        <v>2294455309</v>
      </c>
      <c r="Z571" s="1" t="s">
        <v>112</v>
      </c>
      <c r="AA571" s="1" t="s">
        <v>93</v>
      </c>
      <c r="AB571" s="1">
        <v>3186.93</v>
      </c>
      <c r="AC571" s="1">
        <v>87.88</v>
      </c>
      <c r="AD571" s="1">
        <v>0</v>
      </c>
      <c r="AE571" s="1">
        <v>0</v>
      </c>
      <c r="AF571" s="1">
        <v>0</v>
      </c>
      <c r="AG571" s="1">
        <v>0</v>
      </c>
      <c r="AH571" s="1">
        <v>0</v>
      </c>
      <c r="AI571" s="1" t="s">
        <v>2112</v>
      </c>
      <c r="AJ571" s="1" t="s">
        <v>380</v>
      </c>
      <c r="AK571" s="1" t="s">
        <v>13</v>
      </c>
      <c r="AL571" s="1" t="s">
        <v>75</v>
      </c>
      <c r="AM571" s="1" t="s">
        <v>337</v>
      </c>
      <c r="AN571" s="1" t="s">
        <v>21</v>
      </c>
      <c r="AO571" s="1" t="s">
        <v>280</v>
      </c>
      <c r="AP571" s="1" t="s">
        <v>324</v>
      </c>
      <c r="AQ571" s="1" t="s">
        <v>27</v>
      </c>
    </row>
    <row r="572" spans="1:43" x14ac:dyDescent="0.3">
      <c r="A572" s="1">
        <v>24864604</v>
      </c>
      <c r="B572" s="1">
        <v>25703850</v>
      </c>
      <c r="C572" s="1" t="s">
        <v>266</v>
      </c>
      <c r="D572" s="4">
        <v>46206.783391203702</v>
      </c>
      <c r="E572" s="4">
        <v>46206.78769675926</v>
      </c>
      <c r="F572" s="1" t="s">
        <v>22</v>
      </c>
      <c r="G572" s="1" t="s">
        <v>22</v>
      </c>
      <c r="H572" s="1" t="s">
        <v>1835</v>
      </c>
      <c r="I572" s="1" t="s">
        <v>17</v>
      </c>
      <c r="J572" s="1" t="s">
        <v>2113</v>
      </c>
      <c r="K572" s="1" t="s">
        <v>528</v>
      </c>
      <c r="L572" s="1" t="s">
        <v>505</v>
      </c>
      <c r="M572" s="4">
        <v>46185.581250000003</v>
      </c>
      <c r="N572" s="1" t="s">
        <v>1835</v>
      </c>
      <c r="O572" s="1" t="s">
        <v>93</v>
      </c>
      <c r="P572" s="1" t="s">
        <v>271</v>
      </c>
      <c r="Q572" s="1" t="s">
        <v>286</v>
      </c>
      <c r="R572" s="1" t="s">
        <v>286</v>
      </c>
      <c r="S572" s="1" t="s">
        <v>7</v>
      </c>
      <c r="T572" s="1" t="s">
        <v>274</v>
      </c>
      <c r="U572" s="1" t="s">
        <v>221</v>
      </c>
      <c r="V572" s="1" t="s">
        <v>751</v>
      </c>
      <c r="W572" s="1" t="s">
        <v>93</v>
      </c>
      <c r="X572" s="1" t="s">
        <v>1643</v>
      </c>
      <c r="Y572" s="1">
        <v>9552292819</v>
      </c>
      <c r="Z572" s="1" t="s">
        <v>137</v>
      </c>
      <c r="AA572" s="1" t="s">
        <v>93</v>
      </c>
      <c r="AB572" s="1">
        <v>18635.03</v>
      </c>
      <c r="AC572" s="1">
        <v>64.56</v>
      </c>
      <c r="AD572" s="1">
        <v>415.53</v>
      </c>
      <c r="AE572" s="1">
        <v>0</v>
      </c>
      <c r="AF572" s="1">
        <v>64.56</v>
      </c>
      <c r="AG572" s="1">
        <v>0</v>
      </c>
      <c r="AH572" s="1">
        <v>0</v>
      </c>
      <c r="AI572" s="1" t="s">
        <v>290</v>
      </c>
      <c r="AJ572" s="1" t="s">
        <v>380</v>
      </c>
      <c r="AK572" s="1" t="s">
        <v>17</v>
      </c>
      <c r="AL572" s="1" t="s">
        <v>75</v>
      </c>
      <c r="AM572" s="1" t="s">
        <v>337</v>
      </c>
      <c r="AN572" s="1" t="s">
        <v>21</v>
      </c>
      <c r="AO572" s="1" t="s">
        <v>280</v>
      </c>
      <c r="AP572" s="1" t="s">
        <v>324</v>
      </c>
      <c r="AQ572" s="1" t="s">
        <v>27</v>
      </c>
    </row>
    <row r="573" spans="1:43" x14ac:dyDescent="0.3">
      <c r="A573" s="1">
        <v>24862371</v>
      </c>
      <c r="B573" s="1">
        <v>25701362</v>
      </c>
      <c r="C573" s="1" t="s">
        <v>266</v>
      </c>
      <c r="D573" s="4">
        <v>46206.629849537043</v>
      </c>
      <c r="E573" s="4">
        <v>46206.722638888888</v>
      </c>
      <c r="F573" s="1" t="s">
        <v>22</v>
      </c>
      <c r="G573" s="1" t="s">
        <v>22</v>
      </c>
      <c r="H573" s="1" t="s">
        <v>2114</v>
      </c>
      <c r="I573" s="1" t="s">
        <v>17</v>
      </c>
      <c r="J573" s="1" t="s">
        <v>2115</v>
      </c>
      <c r="K573" s="1" t="s">
        <v>284</v>
      </c>
      <c r="L573" s="1" t="s">
        <v>284</v>
      </c>
      <c r="M573" s="4">
        <v>46205.957638888889</v>
      </c>
      <c r="N573" s="1" t="s">
        <v>2114</v>
      </c>
      <c r="O573" s="1" t="s">
        <v>93</v>
      </c>
      <c r="P573" s="1" t="s">
        <v>271</v>
      </c>
      <c r="Q573" s="1" t="s">
        <v>286</v>
      </c>
      <c r="R573" s="1" t="s">
        <v>286</v>
      </c>
      <c r="S573" s="1" t="s">
        <v>7</v>
      </c>
      <c r="T573" s="1" t="s">
        <v>274</v>
      </c>
      <c r="U573" s="1" t="s">
        <v>177</v>
      </c>
      <c r="V573" s="1" t="s">
        <v>321</v>
      </c>
      <c r="W573" s="1" t="s">
        <v>288</v>
      </c>
      <c r="X573" s="1" t="s">
        <v>2116</v>
      </c>
      <c r="Y573" s="1" t="s">
        <v>93</v>
      </c>
      <c r="Z573" s="1" t="s">
        <v>111</v>
      </c>
      <c r="AA573" s="1" t="s">
        <v>93</v>
      </c>
      <c r="AB573" s="1">
        <v>3506.28</v>
      </c>
      <c r="AC573" s="1">
        <v>64.56</v>
      </c>
      <c r="AD573" s="1">
        <v>483.74</v>
      </c>
      <c r="AE573" s="1">
        <v>0</v>
      </c>
      <c r="AF573" s="1">
        <v>0</v>
      </c>
      <c r="AG573" s="1">
        <v>0</v>
      </c>
      <c r="AH573" s="1">
        <v>0</v>
      </c>
      <c r="AI573" s="1" t="s">
        <v>290</v>
      </c>
      <c r="AJ573" s="1" t="s">
        <v>645</v>
      </c>
      <c r="AK573" s="1" t="s">
        <v>17</v>
      </c>
      <c r="AL573" s="1" t="s">
        <v>86</v>
      </c>
      <c r="AM573" s="1" t="s">
        <v>279</v>
      </c>
      <c r="AN573" s="1" t="s">
        <v>21</v>
      </c>
      <c r="AO573" s="1" t="s">
        <v>280</v>
      </c>
      <c r="AP573" s="1" t="s">
        <v>324</v>
      </c>
      <c r="AQ573" s="1" t="s">
        <v>20</v>
      </c>
    </row>
    <row r="574" spans="1:43" x14ac:dyDescent="0.3">
      <c r="A574" s="1">
        <v>24862497</v>
      </c>
      <c r="B574" s="1">
        <v>25701529</v>
      </c>
      <c r="C574" s="1" t="s">
        <v>266</v>
      </c>
      <c r="D574" s="4">
        <v>46206.647997685177</v>
      </c>
      <c r="E574" s="4">
        <v>46206.650405092587</v>
      </c>
      <c r="F574" s="1" t="s">
        <v>22</v>
      </c>
      <c r="G574" s="1" t="s">
        <v>22</v>
      </c>
      <c r="H574" s="1" t="s">
        <v>2117</v>
      </c>
      <c r="I574" s="1" t="s">
        <v>14</v>
      </c>
      <c r="J574" s="1" t="s">
        <v>2118</v>
      </c>
      <c r="K574" s="1" t="s">
        <v>698</v>
      </c>
      <c r="L574" s="1" t="s">
        <v>698</v>
      </c>
      <c r="M574" s="4">
        <v>46207.632638888892</v>
      </c>
      <c r="N574" s="1">
        <v>4717883</v>
      </c>
      <c r="O574" s="1" t="s">
        <v>93</v>
      </c>
      <c r="P574" s="1" t="s">
        <v>271</v>
      </c>
      <c r="Q574" s="1" t="s">
        <v>286</v>
      </c>
      <c r="R574" s="1" t="s">
        <v>286</v>
      </c>
      <c r="S574" s="1" t="s">
        <v>7</v>
      </c>
      <c r="T574" s="1" t="s">
        <v>274</v>
      </c>
      <c r="U574" s="1" t="s">
        <v>219</v>
      </c>
      <c r="V574" s="1" t="s">
        <v>2119</v>
      </c>
      <c r="W574" s="1" t="s">
        <v>93</v>
      </c>
      <c r="X574" s="1" t="s">
        <v>661</v>
      </c>
      <c r="Y574" s="1">
        <v>5232179839</v>
      </c>
      <c r="Z574" s="1" t="s">
        <v>107</v>
      </c>
      <c r="AA574" s="1" t="s">
        <v>93</v>
      </c>
      <c r="AB574" s="1">
        <v>6608.04</v>
      </c>
      <c r="AC574" s="1">
        <v>483.91</v>
      </c>
      <c r="AD574" s="1">
        <v>0</v>
      </c>
      <c r="AE574" s="1">
        <v>0</v>
      </c>
      <c r="AF574" s="1">
        <v>0</v>
      </c>
      <c r="AG574" s="1">
        <v>0</v>
      </c>
      <c r="AH574" s="1">
        <v>0</v>
      </c>
      <c r="AI574" s="1" t="s">
        <v>2120</v>
      </c>
      <c r="AJ574" s="1" t="s">
        <v>702</v>
      </c>
      <c r="AK574" s="1" t="s">
        <v>14</v>
      </c>
      <c r="AL574" s="1" t="s">
        <v>67</v>
      </c>
      <c r="AM574" s="1" t="s">
        <v>323</v>
      </c>
      <c r="AN574" s="1" t="s">
        <v>21</v>
      </c>
      <c r="AO574" s="1" t="s">
        <v>280</v>
      </c>
      <c r="AP574" s="1" t="s">
        <v>324</v>
      </c>
      <c r="AQ574" s="1" t="s">
        <v>20</v>
      </c>
    </row>
    <row r="575" spans="1:43" x14ac:dyDescent="0.3">
      <c r="A575" s="1">
        <v>24864434</v>
      </c>
      <c r="B575" s="1">
        <v>25703660</v>
      </c>
      <c r="C575" s="1" t="s">
        <v>266</v>
      </c>
      <c r="D575" s="4">
        <v>46206.757777777777</v>
      </c>
      <c r="E575" s="4">
        <v>46207.201331018521</v>
      </c>
      <c r="F575" s="1" t="s">
        <v>19</v>
      </c>
      <c r="G575" s="1" t="s">
        <v>22</v>
      </c>
      <c r="H575" s="1" t="s">
        <v>2121</v>
      </c>
      <c r="I575" s="1" t="s">
        <v>17</v>
      </c>
      <c r="J575" s="1" t="s">
        <v>2122</v>
      </c>
      <c r="K575" s="1" t="s">
        <v>284</v>
      </c>
      <c r="L575" s="1" t="s">
        <v>284</v>
      </c>
      <c r="M575" s="4">
        <v>46206.567361111112</v>
      </c>
      <c r="N575" s="1" t="s">
        <v>2123</v>
      </c>
      <c r="O575" s="1" t="s">
        <v>93</v>
      </c>
      <c r="P575" s="1" t="s">
        <v>271</v>
      </c>
      <c r="Q575" s="1" t="s">
        <v>286</v>
      </c>
      <c r="R575" s="1" t="s">
        <v>286</v>
      </c>
      <c r="S575" s="1" t="s">
        <v>9</v>
      </c>
      <c r="T575" s="1" t="s">
        <v>274</v>
      </c>
      <c r="U575" s="1" t="s">
        <v>191</v>
      </c>
      <c r="V575" s="1" t="s">
        <v>1231</v>
      </c>
      <c r="W575" s="1" t="s">
        <v>288</v>
      </c>
      <c r="X575" s="1" t="s">
        <v>2124</v>
      </c>
      <c r="Y575" s="1" t="s">
        <v>93</v>
      </c>
      <c r="Z575" s="1" t="s">
        <v>53</v>
      </c>
      <c r="AA575" s="1" t="s">
        <v>93</v>
      </c>
      <c r="AB575" s="1">
        <v>1350</v>
      </c>
      <c r="AC575" s="1">
        <v>66.150000000000006</v>
      </c>
      <c r="AD575" s="1">
        <v>0</v>
      </c>
      <c r="AE575" s="1">
        <v>0</v>
      </c>
      <c r="AF575" s="1">
        <v>0</v>
      </c>
      <c r="AG575" s="1">
        <v>0</v>
      </c>
      <c r="AH575" s="1">
        <v>8</v>
      </c>
      <c r="AI575" s="1" t="s">
        <v>290</v>
      </c>
      <c r="AJ575" s="1" t="s">
        <v>707</v>
      </c>
      <c r="AK575" s="1" t="s">
        <v>17</v>
      </c>
      <c r="AL575" s="1" t="s">
        <v>69</v>
      </c>
      <c r="AM575" s="1" t="s">
        <v>337</v>
      </c>
      <c r="AN575" s="1" t="s">
        <v>21</v>
      </c>
      <c r="AO575" s="1" t="s">
        <v>280</v>
      </c>
      <c r="AP575" s="1" t="s">
        <v>324</v>
      </c>
      <c r="AQ575" s="1" t="s">
        <v>20</v>
      </c>
    </row>
    <row r="576" spans="1:43" x14ac:dyDescent="0.3">
      <c r="A576" s="1">
        <v>24862761</v>
      </c>
      <c r="B576" s="1">
        <v>25701843</v>
      </c>
      <c r="C576" s="1" t="s">
        <v>266</v>
      </c>
      <c r="D576" s="4">
        <v>46206.685231481482</v>
      </c>
      <c r="E576" s="4">
        <v>46206.687800925924</v>
      </c>
      <c r="F576" s="1" t="s">
        <v>22</v>
      </c>
      <c r="G576" s="1" t="s">
        <v>22</v>
      </c>
      <c r="H576" s="1" t="s">
        <v>2125</v>
      </c>
      <c r="I576" s="1" t="s">
        <v>18</v>
      </c>
      <c r="J576" s="1" t="s">
        <v>2126</v>
      </c>
      <c r="K576" s="1" t="s">
        <v>2127</v>
      </c>
      <c r="L576" s="1" t="s">
        <v>2127</v>
      </c>
      <c r="M576" s="4">
        <v>46206.645138888889</v>
      </c>
      <c r="N576" s="1" t="s">
        <v>93</v>
      </c>
      <c r="O576" s="1" t="s">
        <v>93</v>
      </c>
      <c r="P576" s="1" t="s">
        <v>342</v>
      </c>
      <c r="Q576" s="1" t="s">
        <v>303</v>
      </c>
      <c r="R576" s="1" t="s">
        <v>273</v>
      </c>
      <c r="S576" s="1" t="s">
        <v>7</v>
      </c>
      <c r="T576" s="1" t="s">
        <v>274</v>
      </c>
      <c r="U576" s="1" t="s">
        <v>2128</v>
      </c>
      <c r="V576" s="1" t="s">
        <v>2129</v>
      </c>
      <c r="W576" s="1" t="s">
        <v>93</v>
      </c>
      <c r="X576" s="1" t="s">
        <v>500</v>
      </c>
      <c r="Y576" s="1">
        <v>5001736</v>
      </c>
      <c r="Z576" s="1" t="s">
        <v>93</v>
      </c>
      <c r="AA576" s="1" t="s">
        <v>93</v>
      </c>
      <c r="AB576" s="1">
        <v>216.9</v>
      </c>
      <c r="AC576" s="1">
        <v>33.64</v>
      </c>
      <c r="AD576" s="1">
        <v>0</v>
      </c>
      <c r="AE576" s="1">
        <v>0</v>
      </c>
      <c r="AF576" s="1">
        <v>0</v>
      </c>
      <c r="AG576" s="1">
        <v>0</v>
      </c>
      <c r="AH576" s="1">
        <v>0</v>
      </c>
      <c r="AI576" s="1" t="s">
        <v>2130</v>
      </c>
      <c r="AJ576" s="1" t="s">
        <v>741</v>
      </c>
      <c r="AK576" s="1" t="s">
        <v>18</v>
      </c>
      <c r="AL576" s="1" t="s">
        <v>106</v>
      </c>
      <c r="AM576" s="1" t="s">
        <v>337</v>
      </c>
      <c r="AN576" s="1" t="s">
        <v>21</v>
      </c>
      <c r="AO576" s="1" t="s">
        <v>280</v>
      </c>
      <c r="AP576" s="1" t="s">
        <v>281</v>
      </c>
      <c r="AQ576" s="1" t="s">
        <v>37</v>
      </c>
    </row>
    <row r="577" spans="1:43" x14ac:dyDescent="0.3">
      <c r="A577" s="1">
        <v>24862400</v>
      </c>
      <c r="B577" s="1">
        <v>25701395</v>
      </c>
      <c r="C577" s="1" t="s">
        <v>266</v>
      </c>
      <c r="D577" s="4">
        <v>46206.634108796286</v>
      </c>
      <c r="E577" s="4">
        <v>46207.147152777783</v>
      </c>
      <c r="F577" s="1" t="s">
        <v>19</v>
      </c>
      <c r="G577" s="1" t="s">
        <v>22</v>
      </c>
      <c r="H577" s="1" t="s">
        <v>2131</v>
      </c>
      <c r="I577" s="1" t="s">
        <v>14</v>
      </c>
      <c r="J577" s="1" t="s">
        <v>717</v>
      </c>
      <c r="K577" s="1" t="s">
        <v>547</v>
      </c>
      <c r="L577" s="1" t="s">
        <v>547</v>
      </c>
      <c r="M577" s="4">
        <v>46206.628472222219</v>
      </c>
      <c r="N577" s="1">
        <v>4718434</v>
      </c>
      <c r="O577" s="1" t="s">
        <v>93</v>
      </c>
      <c r="P577" s="1" t="s">
        <v>342</v>
      </c>
      <c r="Q577" s="1" t="s">
        <v>286</v>
      </c>
      <c r="R577" s="1" t="s">
        <v>286</v>
      </c>
      <c r="S577" s="1" t="s">
        <v>9</v>
      </c>
      <c r="T577" s="1" t="s">
        <v>274</v>
      </c>
      <c r="U577" s="1" t="s">
        <v>142</v>
      </c>
      <c r="V577" s="1" t="s">
        <v>575</v>
      </c>
      <c r="W577" s="1" t="s">
        <v>93</v>
      </c>
      <c r="X577" s="1" t="s">
        <v>2132</v>
      </c>
      <c r="Y577" s="1" t="s">
        <v>93</v>
      </c>
      <c r="Z577" s="1" t="s">
        <v>50</v>
      </c>
      <c r="AA577" s="1" t="s">
        <v>93</v>
      </c>
      <c r="AB577" s="1">
        <v>1050</v>
      </c>
      <c r="AC577" s="1">
        <v>0</v>
      </c>
      <c r="AD577" s="1">
        <v>0</v>
      </c>
      <c r="AE577" s="1">
        <v>0</v>
      </c>
      <c r="AF577" s="1">
        <v>0</v>
      </c>
      <c r="AG577" s="1">
        <v>0</v>
      </c>
      <c r="AH577" s="1">
        <v>0</v>
      </c>
      <c r="AI577" s="1" t="s">
        <v>2133</v>
      </c>
      <c r="AJ577" s="1" t="s">
        <v>707</v>
      </c>
      <c r="AK577" s="1" t="s">
        <v>14</v>
      </c>
      <c r="AL577" s="1" t="s">
        <v>69</v>
      </c>
      <c r="AM577" s="1" t="s">
        <v>337</v>
      </c>
      <c r="AN577" s="1" t="s">
        <v>21</v>
      </c>
      <c r="AO577" s="1" t="s">
        <v>280</v>
      </c>
      <c r="AP577" s="1" t="s">
        <v>324</v>
      </c>
      <c r="AQ577" s="1" t="s">
        <v>27</v>
      </c>
    </row>
    <row r="578" spans="1:43" x14ac:dyDescent="0.3">
      <c r="A578" s="1">
        <v>24862576</v>
      </c>
      <c r="B578" s="1">
        <v>25701627</v>
      </c>
      <c r="C578" s="1" t="s">
        <v>266</v>
      </c>
      <c r="D578" s="4">
        <v>46206.661805555559</v>
      </c>
      <c r="E578" s="4">
        <v>46206.664803240739</v>
      </c>
      <c r="F578" s="1" t="s">
        <v>22</v>
      </c>
      <c r="G578" s="1" t="s">
        <v>22</v>
      </c>
      <c r="H578" s="1">
        <v>23580866</v>
      </c>
      <c r="I578" s="1" t="s">
        <v>14</v>
      </c>
      <c r="J578" s="1" t="s">
        <v>2134</v>
      </c>
      <c r="K578" s="1" t="s">
        <v>547</v>
      </c>
      <c r="L578" s="1" t="s">
        <v>547</v>
      </c>
      <c r="M578" s="4">
        <v>46206.645833333343</v>
      </c>
      <c r="N578" s="1">
        <v>4718561</v>
      </c>
      <c r="O578" s="1" t="s">
        <v>93</v>
      </c>
      <c r="P578" s="1" t="s">
        <v>271</v>
      </c>
      <c r="Q578" s="1" t="s">
        <v>286</v>
      </c>
      <c r="R578" s="1" t="s">
        <v>286</v>
      </c>
      <c r="S578" s="1" t="s">
        <v>9</v>
      </c>
      <c r="T578" s="1" t="s">
        <v>274</v>
      </c>
      <c r="U578" s="1" t="s">
        <v>192</v>
      </c>
      <c r="V578" s="1" t="s">
        <v>1748</v>
      </c>
      <c r="W578" s="1" t="s">
        <v>93</v>
      </c>
      <c r="X578" s="1" t="s">
        <v>1749</v>
      </c>
      <c r="Y578" s="1" t="s">
        <v>93</v>
      </c>
      <c r="Z578" s="1" t="s">
        <v>56</v>
      </c>
      <c r="AA578" s="1" t="s">
        <v>93</v>
      </c>
      <c r="AB578" s="1">
        <v>220</v>
      </c>
      <c r="AC578" s="1">
        <v>0</v>
      </c>
      <c r="AD578" s="1">
        <v>0</v>
      </c>
      <c r="AE578" s="1">
        <v>0</v>
      </c>
      <c r="AF578" s="1">
        <v>0</v>
      </c>
      <c r="AG578" s="1">
        <v>0</v>
      </c>
      <c r="AH578" s="1">
        <v>0</v>
      </c>
      <c r="AI578" s="1" t="s">
        <v>2135</v>
      </c>
      <c r="AJ578" s="1" t="s">
        <v>1751</v>
      </c>
      <c r="AK578" s="1" t="s">
        <v>14</v>
      </c>
      <c r="AL578" s="1" t="s">
        <v>84</v>
      </c>
      <c r="AM578" s="1" t="s">
        <v>452</v>
      </c>
      <c r="AN578" s="1" t="s">
        <v>21</v>
      </c>
      <c r="AO578" s="1" t="s">
        <v>280</v>
      </c>
      <c r="AP578" s="1" t="s">
        <v>324</v>
      </c>
      <c r="AQ578" s="1" t="s">
        <v>20</v>
      </c>
    </row>
    <row r="579" spans="1:43" x14ac:dyDescent="0.3">
      <c r="A579" s="1">
        <v>24864534</v>
      </c>
      <c r="B579" s="1">
        <v>25703760</v>
      </c>
      <c r="C579" s="1" t="s">
        <v>266</v>
      </c>
      <c r="D579" s="4">
        <v>46206.766018518523</v>
      </c>
      <c r="E579" s="4">
        <v>46206.768449074072</v>
      </c>
      <c r="F579" s="1" t="s">
        <v>22</v>
      </c>
      <c r="G579" s="1" t="s">
        <v>22</v>
      </c>
      <c r="H579" s="1">
        <v>16566</v>
      </c>
      <c r="I579" s="1" t="s">
        <v>14</v>
      </c>
      <c r="J579" s="1" t="s">
        <v>2136</v>
      </c>
      <c r="K579" s="1" t="s">
        <v>770</v>
      </c>
      <c r="L579" s="1" t="s">
        <v>770</v>
      </c>
      <c r="M579" s="4">
        <v>46207.759027777778</v>
      </c>
      <c r="N579" s="1">
        <v>4718557</v>
      </c>
      <c r="O579" s="1" t="s">
        <v>93</v>
      </c>
      <c r="P579" s="1" t="s">
        <v>342</v>
      </c>
      <c r="Q579" s="1" t="s">
        <v>286</v>
      </c>
      <c r="R579" s="1" t="s">
        <v>286</v>
      </c>
      <c r="S579" s="1" t="s">
        <v>9</v>
      </c>
      <c r="T579" s="1" t="s">
        <v>274</v>
      </c>
      <c r="U579" s="1" t="s">
        <v>184</v>
      </c>
      <c r="V579" s="1" t="s">
        <v>772</v>
      </c>
      <c r="W579" s="1" t="s">
        <v>93</v>
      </c>
      <c r="X579" s="1" t="s">
        <v>2137</v>
      </c>
      <c r="Y579" s="1" t="s">
        <v>93</v>
      </c>
      <c r="Z579" s="1" t="s">
        <v>103</v>
      </c>
      <c r="AA579" s="1" t="s">
        <v>93</v>
      </c>
      <c r="AB579" s="1">
        <v>200</v>
      </c>
      <c r="AC579" s="1">
        <v>0</v>
      </c>
      <c r="AD579" s="1">
        <v>0</v>
      </c>
      <c r="AE579" s="1">
        <v>0</v>
      </c>
      <c r="AF579" s="1">
        <v>0</v>
      </c>
      <c r="AG579" s="1">
        <v>0</v>
      </c>
      <c r="AH579" s="1">
        <v>0</v>
      </c>
      <c r="AI579" s="1" t="s">
        <v>2138</v>
      </c>
      <c r="AJ579" s="1" t="s">
        <v>702</v>
      </c>
      <c r="AK579" s="1" t="s">
        <v>14</v>
      </c>
      <c r="AL579" s="1" t="s">
        <v>67</v>
      </c>
      <c r="AM579" s="1" t="s">
        <v>323</v>
      </c>
      <c r="AN579" s="1" t="s">
        <v>21</v>
      </c>
      <c r="AO579" s="1" t="s">
        <v>280</v>
      </c>
      <c r="AP579" s="1" t="s">
        <v>324</v>
      </c>
      <c r="AQ579" s="1" t="s">
        <v>125</v>
      </c>
    </row>
    <row r="580" spans="1:43" x14ac:dyDescent="0.3">
      <c r="A580" s="1">
        <v>24862780</v>
      </c>
      <c r="B580" s="1">
        <v>25701866</v>
      </c>
      <c r="C580" s="1" t="s">
        <v>266</v>
      </c>
      <c r="D580" s="4">
        <v>46206.686053240737</v>
      </c>
      <c r="E580" s="4">
        <v>46206.721261574072</v>
      </c>
      <c r="F580" s="1" t="s">
        <v>22</v>
      </c>
      <c r="G580" s="1" t="s">
        <v>22</v>
      </c>
      <c r="H580" s="1" t="s">
        <v>2139</v>
      </c>
      <c r="I580" s="1" t="s">
        <v>17</v>
      </c>
      <c r="J580" s="1" t="s">
        <v>1639</v>
      </c>
      <c r="K580" s="1" t="s">
        <v>1059</v>
      </c>
      <c r="L580" s="1" t="s">
        <v>1059</v>
      </c>
      <c r="M580" s="4">
        <v>46206.397222222222</v>
      </c>
      <c r="N580" s="1" t="s">
        <v>1640</v>
      </c>
      <c r="O580" s="1" t="s">
        <v>93</v>
      </c>
      <c r="P580" s="1" t="s">
        <v>271</v>
      </c>
      <c r="Q580" s="1" t="s">
        <v>286</v>
      </c>
      <c r="R580" s="1" t="s">
        <v>286</v>
      </c>
      <c r="S580" s="1" t="s">
        <v>9</v>
      </c>
      <c r="T580" s="1" t="s">
        <v>274</v>
      </c>
      <c r="U580" s="1" t="s">
        <v>216</v>
      </c>
      <c r="V580" s="1" t="s">
        <v>1066</v>
      </c>
      <c r="W580" s="1" t="s">
        <v>93</v>
      </c>
      <c r="X580" s="1" t="s">
        <v>2140</v>
      </c>
      <c r="Y580" s="1" t="s">
        <v>93</v>
      </c>
      <c r="Z580" s="1" t="s">
        <v>128</v>
      </c>
      <c r="AA580" s="1" t="s">
        <v>93</v>
      </c>
      <c r="AB580" s="1">
        <v>3777.3883999999998</v>
      </c>
      <c r="AC580" s="1">
        <v>131.68</v>
      </c>
      <c r="AD580" s="1">
        <v>0</v>
      </c>
      <c r="AE580" s="1">
        <v>0</v>
      </c>
      <c r="AF580" s="1">
        <v>0</v>
      </c>
      <c r="AG580" s="1">
        <v>0</v>
      </c>
      <c r="AH580" s="1">
        <v>0</v>
      </c>
      <c r="AI580" s="1" t="s">
        <v>290</v>
      </c>
      <c r="AJ580" s="1" t="s">
        <v>707</v>
      </c>
      <c r="AK580" s="1" t="s">
        <v>17</v>
      </c>
      <c r="AL580" s="1" t="s">
        <v>69</v>
      </c>
      <c r="AM580" s="1" t="s">
        <v>337</v>
      </c>
      <c r="AN580" s="1" t="s">
        <v>21</v>
      </c>
      <c r="AO580" s="1" t="s">
        <v>280</v>
      </c>
      <c r="AP580" s="1" t="s">
        <v>324</v>
      </c>
      <c r="AQ580" s="1" t="s">
        <v>27</v>
      </c>
    </row>
    <row r="581" spans="1:43" x14ac:dyDescent="0.3">
      <c r="A581" s="1">
        <v>24864605</v>
      </c>
      <c r="B581" s="1">
        <v>25703851</v>
      </c>
      <c r="C581" s="1" t="s">
        <v>266</v>
      </c>
      <c r="D581" s="4">
        <v>46206.783425925933</v>
      </c>
      <c r="E581" s="4">
        <v>46206.78769675926</v>
      </c>
      <c r="F581" s="1" t="s">
        <v>22</v>
      </c>
      <c r="G581" s="1" t="s">
        <v>22</v>
      </c>
      <c r="H581" s="1" t="s">
        <v>2141</v>
      </c>
      <c r="I581" s="1" t="s">
        <v>17</v>
      </c>
      <c r="J581" s="1" t="s">
        <v>1834</v>
      </c>
      <c r="K581" s="1" t="s">
        <v>505</v>
      </c>
      <c r="L581" s="1" t="s">
        <v>505</v>
      </c>
      <c r="M581" s="4">
        <v>46185.581250000003</v>
      </c>
      <c r="N581" s="1" t="s">
        <v>1835</v>
      </c>
      <c r="O581" s="1" t="s">
        <v>93</v>
      </c>
      <c r="P581" s="1" t="s">
        <v>271</v>
      </c>
      <c r="Q581" s="1" t="s">
        <v>286</v>
      </c>
      <c r="R581" s="1" t="s">
        <v>286</v>
      </c>
      <c r="S581" s="1" t="s">
        <v>9</v>
      </c>
      <c r="T581" s="1" t="s">
        <v>274</v>
      </c>
      <c r="U581" s="1" t="s">
        <v>221</v>
      </c>
      <c r="V581" s="1" t="s">
        <v>751</v>
      </c>
      <c r="W581" s="1" t="s">
        <v>93</v>
      </c>
      <c r="X581" s="1" t="s">
        <v>2142</v>
      </c>
      <c r="Y581" s="1" t="s">
        <v>93</v>
      </c>
      <c r="Z581" s="1" t="s">
        <v>137</v>
      </c>
      <c r="AA581" s="1" t="s">
        <v>93</v>
      </c>
      <c r="AB581" s="1">
        <v>11673.396000000001</v>
      </c>
      <c r="AC581" s="1">
        <v>408.24</v>
      </c>
      <c r="AD581" s="1">
        <v>0</v>
      </c>
      <c r="AE581" s="1">
        <v>0</v>
      </c>
      <c r="AF581" s="1">
        <v>0</v>
      </c>
      <c r="AG581" s="1">
        <v>0</v>
      </c>
      <c r="AH581" s="1">
        <v>0</v>
      </c>
      <c r="AI581" s="1" t="s">
        <v>290</v>
      </c>
      <c r="AJ581" s="1" t="s">
        <v>380</v>
      </c>
      <c r="AK581" s="1" t="s">
        <v>17</v>
      </c>
      <c r="AL581" s="1" t="s">
        <v>75</v>
      </c>
      <c r="AM581" s="1" t="s">
        <v>337</v>
      </c>
      <c r="AN581" s="1" t="s">
        <v>21</v>
      </c>
      <c r="AO581" s="1" t="s">
        <v>280</v>
      </c>
      <c r="AP581" s="1" t="s">
        <v>324</v>
      </c>
      <c r="AQ581" s="1" t="s">
        <v>27</v>
      </c>
    </row>
    <row r="582" spans="1:43" x14ac:dyDescent="0.3">
      <c r="A582" s="1">
        <v>24862886</v>
      </c>
      <c r="B582" s="1">
        <v>25701977</v>
      </c>
      <c r="C582" s="1" t="s">
        <v>266</v>
      </c>
      <c r="D582" s="4">
        <v>46206.690474537027</v>
      </c>
      <c r="E582" s="4">
        <v>46207.157881944448</v>
      </c>
      <c r="F582" s="1" t="s">
        <v>19</v>
      </c>
      <c r="G582" s="1" t="s">
        <v>22</v>
      </c>
      <c r="H582" s="1" t="s">
        <v>2143</v>
      </c>
      <c r="I582" s="1" t="s">
        <v>14</v>
      </c>
      <c r="J582" s="1" t="s">
        <v>717</v>
      </c>
      <c r="K582" s="1" t="s">
        <v>651</v>
      </c>
      <c r="L582" s="1" t="s">
        <v>651</v>
      </c>
      <c r="M582" s="4">
        <v>46203.791666666657</v>
      </c>
      <c r="N582" s="1">
        <v>4716472</v>
      </c>
      <c r="O582" s="1" t="s">
        <v>93</v>
      </c>
      <c r="P582" s="1" t="s">
        <v>342</v>
      </c>
      <c r="Q582" s="1" t="s">
        <v>286</v>
      </c>
      <c r="R582" s="1" t="s">
        <v>286</v>
      </c>
      <c r="S582" s="1" t="s">
        <v>9</v>
      </c>
      <c r="T582" s="1" t="s">
        <v>274</v>
      </c>
      <c r="U582" s="1" t="s">
        <v>142</v>
      </c>
      <c r="V582" s="1" t="s">
        <v>575</v>
      </c>
      <c r="W582" s="1" t="s">
        <v>93</v>
      </c>
      <c r="X582" s="1" t="s">
        <v>1769</v>
      </c>
      <c r="Y582" s="1" t="s">
        <v>93</v>
      </c>
      <c r="Z582" s="1" t="s">
        <v>50</v>
      </c>
      <c r="AA582" s="1" t="s">
        <v>93</v>
      </c>
      <c r="AB582" s="1">
        <v>924</v>
      </c>
      <c r="AC582" s="1">
        <v>0</v>
      </c>
      <c r="AD582" s="1">
        <v>0</v>
      </c>
      <c r="AE582" s="1">
        <v>0</v>
      </c>
      <c r="AF582" s="1">
        <v>0</v>
      </c>
      <c r="AG582" s="1">
        <v>0</v>
      </c>
      <c r="AH582" s="1">
        <v>0</v>
      </c>
      <c r="AI582" s="1" t="s">
        <v>2144</v>
      </c>
      <c r="AJ582" s="1" t="s">
        <v>707</v>
      </c>
      <c r="AK582" s="1" t="s">
        <v>14</v>
      </c>
      <c r="AL582" s="1" t="s">
        <v>69</v>
      </c>
      <c r="AM582" s="1" t="s">
        <v>337</v>
      </c>
      <c r="AN582" s="1" t="s">
        <v>21</v>
      </c>
      <c r="AO582" s="1" t="s">
        <v>280</v>
      </c>
      <c r="AP582" s="1" t="s">
        <v>324</v>
      </c>
      <c r="AQ582" s="1" t="s">
        <v>27</v>
      </c>
    </row>
    <row r="583" spans="1:43" x14ac:dyDescent="0.3">
      <c r="A583" s="1">
        <v>24862886</v>
      </c>
      <c r="B583" s="1">
        <v>25701978</v>
      </c>
      <c r="C583" s="1" t="s">
        <v>294</v>
      </c>
      <c r="D583" s="4">
        <v>46206.690474537027</v>
      </c>
      <c r="E583" s="4">
        <v>46207.157881944448</v>
      </c>
      <c r="F583" s="1" t="s">
        <v>19</v>
      </c>
      <c r="G583" s="1" t="s">
        <v>22</v>
      </c>
      <c r="H583" s="1" t="s">
        <v>2143</v>
      </c>
      <c r="I583" s="1" t="s">
        <v>14</v>
      </c>
      <c r="J583" s="1" t="s">
        <v>2145</v>
      </c>
      <c r="K583" s="1" t="s">
        <v>651</v>
      </c>
      <c r="L583" s="1" t="s">
        <v>651</v>
      </c>
      <c r="M583" s="4">
        <v>46203.791666666657</v>
      </c>
      <c r="N583" s="1">
        <v>4716472</v>
      </c>
      <c r="O583" s="1" t="s">
        <v>93</v>
      </c>
      <c r="P583" s="1" t="s">
        <v>342</v>
      </c>
      <c r="Q583" s="1" t="s">
        <v>286</v>
      </c>
      <c r="R583" s="1" t="s">
        <v>286</v>
      </c>
      <c r="S583" s="1" t="s">
        <v>9</v>
      </c>
      <c r="T583" s="1" t="s">
        <v>274</v>
      </c>
      <c r="U583" s="1" t="s">
        <v>142</v>
      </c>
      <c r="V583" s="1" t="s">
        <v>575</v>
      </c>
      <c r="W583" s="1" t="s">
        <v>93</v>
      </c>
      <c r="X583" s="1" t="s">
        <v>1769</v>
      </c>
      <c r="Y583" s="1" t="s">
        <v>93</v>
      </c>
      <c r="Z583" s="1" t="s">
        <v>50</v>
      </c>
      <c r="AA583" s="1" t="s">
        <v>93</v>
      </c>
      <c r="AB583" s="1">
        <v>924</v>
      </c>
      <c r="AC583" s="1">
        <v>0</v>
      </c>
      <c r="AD583" s="1">
        <v>0</v>
      </c>
      <c r="AE583" s="1">
        <v>0</v>
      </c>
      <c r="AF583" s="1">
        <v>0</v>
      </c>
      <c r="AG583" s="1">
        <v>0</v>
      </c>
      <c r="AH583" s="1">
        <v>0</v>
      </c>
      <c r="AI583" s="1" t="s">
        <v>2144</v>
      </c>
      <c r="AJ583" s="1" t="s">
        <v>707</v>
      </c>
      <c r="AK583" s="1" t="s">
        <v>14</v>
      </c>
      <c r="AL583" s="1" t="s">
        <v>69</v>
      </c>
      <c r="AM583" s="1" t="s">
        <v>337</v>
      </c>
      <c r="AN583" s="1" t="s">
        <v>21</v>
      </c>
      <c r="AO583" s="1" t="s">
        <v>280</v>
      </c>
      <c r="AP583" s="1" t="s">
        <v>324</v>
      </c>
      <c r="AQ583" s="1" t="s">
        <v>27</v>
      </c>
    </row>
  </sheetData>
  <autoFilter ref="A1:AQ1444" xr:uid="{00000000-0009-0000-0000-000001000000}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Dashboard</vt:lpstr>
      <vt:lpstr>Processado Erro - 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Igor Freitas dos Santos</cp:lastModifiedBy>
  <cp:lastPrinted>2025-07-02T11:14:42Z</cp:lastPrinted>
  <dcterms:created xsi:type="dcterms:W3CDTF">2023-06-15T13:30:00Z</dcterms:created>
  <dcterms:modified xsi:type="dcterms:W3CDTF">2026-07-06T10:41:25Z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0x010100A0C64AEBC6938045854C56BA4D8C77CF</vt:lpwstr>
  </property>
</Properties>
</file>